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BC-to-ABC_Weekday" sheetId="1" r:id="rId5"/>
    <sheet state="hidden" name="PRETORIA - IRENE - KEMPTON PARK" sheetId="2" r:id="rId6"/>
    <sheet state="hidden" name="Archive_2025" sheetId="3" r:id="rId7"/>
    <sheet state="visible" name="Config_GridOrder" sheetId="4" r:id="rId8"/>
    <sheet state="visible" name="PTA-to-PIEN_Weekday" sheetId="5" r:id="rId9"/>
    <sheet state="visible" name="PIEN-to-PTA_Weekday" sheetId="6" r:id="rId10"/>
    <sheet state="visible" name="PTA-to-PIEN_Sat" sheetId="7" r:id="rId11"/>
    <sheet state="visible" name="PIEN-to-PTA_Sat" sheetId="8" r:id="rId12"/>
    <sheet state="visible" name="PTA-to-MAB_Weekday" sheetId="9" r:id="rId13"/>
    <sheet state="visible" name="MAB-to-PTA_Weekday" sheetId="10" r:id="rId14"/>
    <sheet state="visible" name="PTA-to-MAB_Sat" sheetId="11" r:id="rId15"/>
    <sheet state="visible" name="MAB-to-PTA_Sat" sheetId="12" r:id="rId16"/>
    <sheet state="visible" name="GERM-to-LERL_Weekday" sheetId="13" r:id="rId17"/>
    <sheet state="visible" name="LERL-to-GERM_Weekday" sheetId="14" r:id="rId18"/>
    <sheet state="visible" name="GERM-to-LERL_Sat" sheetId="15" r:id="rId19"/>
    <sheet state="visible" name="LERL-to-GERM_Sat" sheetId="16" r:id="rId20"/>
    <sheet state="visible" name="PTA-to-DEWIL_Weekday" sheetId="17" r:id="rId21"/>
    <sheet state="visible" name="DEWIL-to-PTA_Weekday" sheetId="18" r:id="rId22"/>
    <sheet state="visible" name="PTA-to-DEWIL_Sat" sheetId="19" r:id="rId23"/>
    <sheet state="visible" name="DEWIL-to-PTA_Sat" sheetId="20" r:id="rId24"/>
    <sheet state="visible" name="PTA-to-IRENE_Weekday" sheetId="21" r:id="rId25"/>
    <sheet state="visible" name="IRENE-to-PTA_Weekday" sheetId="22" r:id="rId26"/>
    <sheet state="visible" name="PTA-to-IRENE_Sat" sheetId="23" r:id="rId27"/>
    <sheet state="visible" name="IRENE-to-PTA_Sat" sheetId="24" r:id="rId28"/>
    <sheet state="visible" name="JHB-to-GERM_Weekday" sheetId="25" r:id="rId29"/>
    <sheet state="visible" name="GERM-to-JHB_Weekday" sheetId="26" r:id="rId30"/>
    <sheet state="visible" name="JHB-to-GERM_Sat" sheetId="27" r:id="rId31"/>
    <sheet state="visible" name="GERM-to-JHB_Sat" sheetId="28" r:id="rId32"/>
    <sheet state="visible" name="PTA-to-KEMP_Weekday" sheetId="29" r:id="rId33"/>
    <sheet state="visible" name="KEMP-to-PTA_Weekday" sheetId="30" r:id="rId34"/>
    <sheet state="visible" name="PTA-to-KEMP_Sat" sheetId="31" r:id="rId35"/>
    <sheet state="visible" name="KEMP-to-PTA_Sat" sheetId="32" r:id="rId36"/>
    <sheet state="visible" name="PTA-to-SAUL_Weekday" sheetId="33" r:id="rId37"/>
    <sheet state="visible" name="SAUL-to-PTA_Weekday" sheetId="34" r:id="rId38"/>
    <sheet state="visible" name="PTA-to-SAUL_Sat" sheetId="35" r:id="rId39"/>
    <sheet state="visible" name="SAUL-to-PTA_Sat" sheetId="36" r:id="rId40"/>
    <sheet state="visible" name="MAB-to-BELLE_Weekday" sheetId="37" r:id="rId41"/>
    <sheet state="visible" name="BELLE-to-MAB_Weekday" sheetId="38" r:id="rId42"/>
    <sheet state="visible" name="MAB-to-BELLE_Sat" sheetId="39" r:id="rId43"/>
    <sheet state="visible" name="BELLE-to-MAB_Sat" sheetId="40" r:id="rId44"/>
    <sheet state="visible" name="GERM-to-KWESI_Weekday" sheetId="41" r:id="rId45"/>
    <sheet state="visible" name="KWESI-to-GERM_Weekday" sheetId="42" r:id="rId46"/>
    <sheet state="visible" name="GERM-to-KWESI_Sat" sheetId="43" r:id="rId47"/>
    <sheet state="visible" name="KWESI-to-GERM_Sat" sheetId="44" r:id="rId48"/>
    <sheet state="visible" name="JHB-to-RAND_Weekday" sheetId="45" r:id="rId49"/>
    <sheet state="visible" name="RAND-to-JHB_Weekday" sheetId="46" r:id="rId50"/>
    <sheet state="visible" name="JHB-to-RAND_Sat" sheetId="47" r:id="rId51"/>
    <sheet state="visible" name="RAND-to-JHB_Sat" sheetId="48" r:id="rId52"/>
    <sheet state="visible" name="JHB-to-NALD_Weekday" sheetId="49" r:id="rId53"/>
    <sheet state="visible" name="NALD-to-JHB_Weekday" sheetId="50" r:id="rId54"/>
    <sheet state="visible" name="JHB-to-NALD_Sat" sheetId="51" r:id="rId55"/>
    <sheet state="visible" name="NALD-to-JHB_Sat" sheetId="52" r:id="rId56"/>
    <sheet state="visible" name="JHB-to-MIDWY_Weekday" sheetId="53" r:id="rId57"/>
    <sheet state="visible" name="MIDWY-to-JHB_Weekday" sheetId="54" r:id="rId58"/>
    <sheet state="visible" name="JHB-to-MIDWY_Sat" sheetId="55" r:id="rId59"/>
    <sheet state="visible" name="MIDWY-to-JHB_Sat" sheetId="56" r:id="rId60"/>
  </sheets>
  <definedNames/>
  <calcPr/>
</workbook>
</file>

<file path=xl/sharedStrings.xml><?xml version="1.0" encoding="utf-8"?>
<sst xmlns="http://schemas.openxmlformats.org/spreadsheetml/2006/main" count="2437" uniqueCount="576">
  <si>
    <t>Last Updated:</t>
  </si>
  <si>
    <t>Z1</t>
  </si>
  <si>
    <t>STATION</t>
  </si>
  <si>
    <t>COORDINATES</t>
  </si>
  <si>
    <t>DE WILDT</t>
  </si>
  <si>
    <t>-25.624641315648187, 27.944111334913465</t>
  </si>
  <si>
    <t>TAILLARDSHOOP</t>
  </si>
  <si>
    <t>-25.617806769500547, 27.972401220150644</t>
  </si>
  <si>
    <t>GA-RANKUWA</t>
  </si>
  <si>
    <t>-25.619463521827942, 27.991787773598496</t>
  </si>
  <si>
    <t>ROSSLYN</t>
  </si>
  <si>
    <t>-25.637700722357806, 28.094920182723996</t>
  </si>
  <si>
    <t>WINTERSNEST</t>
  </si>
  <si>
    <t>-25.646665143468105, 28.128664081235527</t>
  </si>
  <si>
    <t>WOLMERTON</t>
  </si>
  <si>
    <t>-25.656754583256834, 28.166308537943245</t>
  </si>
  <si>
    <t>PRETORIA-N</t>
  </si>
  <si>
    <t>-25.672156912459837, 28.181972182122085</t>
  </si>
  <si>
    <t>MOUNTAIN VIEW</t>
  </si>
  <si>
    <t>-25.701154966265122, 28.1710407244521</t>
  </si>
  <si>
    <t>HERCULES</t>
  </si>
  <si>
    <t>-25.724426332570793, 28.16740145328856</t>
  </si>
  <si>
    <t>PRETORIA WES</t>
  </si>
  <si>
    <t>-25.75612607001734, 28.167454033423436</t>
  </si>
  <si>
    <t>PRETORIA</t>
  </si>
  <si>
    <t>-25.75864361043285, 28.189866445989118</t>
  </si>
  <si>
    <t>=SORT(A2:A14, ROW(A2:A14), 0)</t>
  </si>
  <si>
    <t>Train No.</t>
  </si>
  <si>
    <t>0500</t>
  </si>
  <si>
    <t>FONTEINE</t>
  </si>
  <si>
    <t>KLOOFSIG</t>
  </si>
  <si>
    <t>SPORTPARK</t>
  </si>
  <si>
    <t>CENTURION</t>
  </si>
  <si>
    <t>IRENE</t>
  </si>
  <si>
    <t>PINEDENE</t>
  </si>
  <si>
    <t>OLIFANTSFONTEIN</t>
  </si>
  <si>
    <t>OAKMOOR</t>
  </si>
  <si>
    <t>LERALLA</t>
  </si>
  <si>
    <t>LIMINDLELA</t>
  </si>
  <si>
    <t>TEMBISA</t>
  </si>
  <si>
    <t>KAALFONTEIN</t>
  </si>
  <si>
    <t>BIRCHLEIGH</t>
  </si>
  <si>
    <t>VAN RIEBEECKPARK</t>
  </si>
  <si>
    <t>KEMPTON PARK</t>
  </si>
  <si>
    <t>RHODESFIELD</t>
  </si>
  <si>
    <t>ISANDO</t>
  </si>
  <si>
    <t>ELANDSFONTEIN</t>
  </si>
  <si>
    <t>RAVENSKLIP</t>
  </si>
  <si>
    <t>KNIGHTS</t>
  </si>
  <si>
    <t>GERMISTON</t>
  </si>
  <si>
    <t>PRETORIA-&gt;</t>
  </si>
  <si>
    <t>KEMPTON PARK-&gt;</t>
  </si>
  <si>
    <t>IRENE-&gt;</t>
  </si>
  <si>
    <t>PTA-to-PIEN_Weekday</t>
  </si>
  <si>
    <t>Inter-station times</t>
  </si>
  <si>
    <t xml:space="preserve">PRETORIA </t>
  </si>
  <si>
    <t>40min TRIP</t>
  </si>
  <si>
    <t>45min TRIP</t>
  </si>
  <si>
    <t xml:space="preserve">MEARS STREET </t>
  </si>
  <si>
    <t>-25.759836388884576, 28.201559350093763</t>
  </si>
  <si>
    <t xml:space="preserve">DEVENISH STREET </t>
  </si>
  <si>
    <t>-25.760571651064055, 28.209966455924803</t>
  </si>
  <si>
    <t xml:space="preserve">WALKER STREET </t>
  </si>
  <si>
    <t>-25.76012800529803, 28.213499980098053</t>
  </si>
  <si>
    <t xml:space="preserve">LOFTUS VERSFELD PARK </t>
  </si>
  <si>
    <t>-25.754940155678536, 28.22535667426071</t>
  </si>
  <si>
    <t xml:space="preserve">RISSIK </t>
  </si>
  <si>
    <t>-25.749263370927064, 28.232274866782785</t>
  </si>
  <si>
    <t xml:space="preserve">HARTBEESSPRUIT </t>
  </si>
  <si>
    <t>-25.746516360305577, 28.2411523995095</t>
  </si>
  <si>
    <t xml:space="preserve">KOEDOESPOORT </t>
  </si>
  <si>
    <t>-25.72608149772232, 28.27872645216183</t>
  </si>
  <si>
    <t xml:space="preserve">SILVERTON </t>
  </si>
  <si>
    <t>-25.727434500448368, 28.296925669958974</t>
  </si>
  <si>
    <t xml:space="preserve">WALTOO </t>
  </si>
  <si>
    <t>-25.716968225345873, 28.321353261409016</t>
  </si>
  <si>
    <t xml:space="preserve">DENNEBOOM </t>
  </si>
  <si>
    <t>-25.719077472725353, 28.336637070658863</t>
  </si>
  <si>
    <t xml:space="preserve">EERSTE FABRIEKE </t>
  </si>
  <si>
    <t>-25.7221815801619, 28.359894081240192</t>
  </si>
  <si>
    <t xml:space="preserve">MAMELODI GARDENS </t>
  </si>
  <si>
    <t>-25.727137148700365, 28.38522516947939</t>
  </si>
  <si>
    <t xml:space="preserve">PIENAARSPOORT </t>
  </si>
  <si>
    <t>-25.734672061252613, 28.426968817228143</t>
  </si>
  <si>
    <t>PIEN - PTA (Weekday)</t>
  </si>
  <si>
    <t>1150</t>
  </si>
  <si>
    <t>Cummulative times</t>
  </si>
  <si>
    <t/>
  </si>
  <si>
    <t>PTA-to-DEWIL_Weekday</t>
  </si>
  <si>
    <t>DEWIL-to-PTA_Weekday</t>
  </si>
  <si>
    <t>PTA-to-MAB_Weekday</t>
  </si>
  <si>
    <t>PRETORIA-B</t>
  </si>
  <si>
    <t>-25.756676856613193, 28.185038595618654</t>
  </si>
  <si>
    <t>BARRACKS</t>
  </si>
  <si>
    <t>-25.755574101903797, 28.179303473039578</t>
  </si>
  <si>
    <t>MITCHELLSTRAAT</t>
  </si>
  <si>
    <t>-25.75622307580123, 28.162751428886452</t>
  </si>
  <si>
    <t>SCHUTTESTRAAT</t>
  </si>
  <si>
    <t>-25.750415192351678, 28.15981508027586</t>
  </si>
  <si>
    <t>GOLF</t>
  </si>
  <si>
    <t>-25.73976641543697, 28.16133154377941</t>
  </si>
  <si>
    <t>TECHNIKON RANT</t>
  </si>
  <si>
    <t>-25.732094233731814, 28.167478537946376</t>
  </si>
  <si>
    <t>DASPOORT</t>
  </si>
  <si>
    <t>-25.71389154994833, 28.16610216678128</t>
  </si>
  <si>
    <t>WONDERBOOM</t>
  </si>
  <si>
    <t>-25.679398283013505, 28.182541636641577</t>
  </si>
  <si>
    <t>AKASIABOOM</t>
  </si>
  <si>
    <t>-25.62343788217021, 28.107351095613126</t>
  </si>
  <si>
    <t>KOPANONG</t>
  </si>
  <si>
    <t>-25.581315356478292, 28.0903223133063</t>
  </si>
  <si>
    <t>LEBALENG</t>
  </si>
  <si>
    <t>-25.541710548406016, 28.076425164924746</t>
  </si>
  <si>
    <t>SOSHANGUVE</t>
  </si>
  <si>
    <t>-25.520916877100483, 28.082831418476943</t>
  </si>
  <si>
    <t>MABOPANE</t>
  </si>
  <si>
    <t>-25.495963167301053, 28.089659387779985</t>
  </si>
  <si>
    <t>MAB-to-PTA_Weekday</t>
  </si>
  <si>
    <t>PRETORIA - IRENE</t>
  </si>
  <si>
    <t>-25.78377087728504, 28.1932784</t>
  </si>
  <si>
    <t>-25.81354583485274, 28.201211703182715</t>
  </si>
  <si>
    <t>-25.82467276464524, 28.20570286536511</t>
  </si>
  <si>
    <t>-25.83486600288455, 28.210815277978245</t>
  </si>
  <si>
    <t>-25.875543329741795, 28.22408282846379</t>
  </si>
  <si>
    <t>IRENE - PRETORIA</t>
  </si>
  <si>
    <t>Key,SheetName,RowNumber,StartCol</t>
  </si>
  <si>
    <t>pta_to_pien_weekday,PTA-to-PIEN_Weekday,2,C</t>
  </si>
  <si>
    <t>pien_to_pta_weekday,PIEN-to-PTA_Weekday,2,C</t>
  </si>
  <si>
    <t>pta_to_pien_sat,PTA-to-PIEN_Sat,2,C</t>
  </si>
  <si>
    <t>pien_to_pta_sat,PIEN-to-PTA_Sat,2,C</t>
  </si>
  <si>
    <t>pta_to_pien_sun,PTA-to-PIEN_Sun,2,C</t>
  </si>
  <si>
    <t>pien_to_pta_sun,PIEN-to-PTA_Sun,2,C</t>
  </si>
  <si>
    <t>pta_to_dewil_weekday,PTA-to-DEWIL_Weekday,2,C</t>
  </si>
  <si>
    <t>dewil_to_pta_weekday,DEWIL-to-PTA_Weekday,2,C</t>
  </si>
  <si>
    <t>pta_to_dewil_sat,PTA-to-DEWIL_Sat,2,C</t>
  </si>
  <si>
    <t>dewil_to_pta_sat,DEWIL-to-PTA_Sat,2,C</t>
  </si>
  <si>
    <t>pta_to_dewil_sun,PTA-to-DEWIL_Sun,2,C</t>
  </si>
  <si>
    <t>dewil_to_pta_sun,DEWIL-to-PTA_Sun,2,C</t>
  </si>
  <si>
    <t>pta_to_mab_weekday,PTA-to-MAB_Weekday,2,C</t>
  </si>
  <si>
    <t>mab_to_pta_weekday,MAB-to-PTA_Weekday,2,C</t>
  </si>
  <si>
    <t>pta_to_mab_sat,PTA-to-MAB_Sat,2,C</t>
  </si>
  <si>
    <t>mab_to_pta_sat,MAB-to-PTA_Sat,2,C</t>
  </si>
  <si>
    <t>pta_to_mab_sun,PTA-to-MAB_Sun,2,C</t>
  </si>
  <si>
    <t>mab_to_pta_sun,MAB-to-PTA_Sun,2,C</t>
  </si>
  <si>
    <t>pta_to_saul_weekday,PTA-to-SAUL_Weekday,2,C</t>
  </si>
  <si>
    <t>saul_to_pta_weekday,SAUL-to-PTA_Weekday,2,C</t>
  </si>
  <si>
    <t>pta_to_saul_sat,PTA-to-SAUL_Sat,2,C</t>
  </si>
  <si>
    <t>saul_to_pta_sat,SAUL-to-PTA_Sat,2,C</t>
  </si>
  <si>
    <t>pta_to_saul_sun,PTA-to-SAUL_Sun,2,C</t>
  </si>
  <si>
    <t>saul_to_pta_sun,SAUL-to-PTA_Sun,2,C</t>
  </si>
  <si>
    <t>belle_to_mab_weekday,BELLE-to-MAB_Weekday,2,C</t>
  </si>
  <si>
    <t>mab_to_belle_weekday,MAB-to-BELLE_Weekday,2,C</t>
  </si>
  <si>
    <t>belle_to_mab_sat,BELLE-to-MAB_Sat,2,C</t>
  </si>
  <si>
    <t>mab_to_belle_sat,MAB-to-BELLE_Sat,2,C</t>
  </si>
  <si>
    <t>germ_to_lerl_weekday,GERM-to-LERL_Weekday,2,C</t>
  </si>
  <si>
    <t>lerl_to_germ_weekday,LERL-to-GERM_Weekday,2,C</t>
  </si>
  <si>
    <t>germ_to_lerl_sat,GERM-to-LERL_Sat,2,C</t>
  </si>
  <si>
    <t>lerl_to_germ_sat,LERL-to-GERM_Sat,2,C</t>
  </si>
  <si>
    <t>germ_to_kwesi_weekday,GERM-to-KWESI_Weekday,2,C</t>
  </si>
  <si>
    <t>kwesi_to_germ_weekday,KWESI-to-GERM_Weekday,2,C</t>
  </si>
  <si>
    <t>germ_to_kwesi_sat,GERM-to-KWESI_Sat,2,C</t>
  </si>
  <si>
    <t>kwesi_to_germ_sat,KWESI-to-GERM_Sat,2,C</t>
  </si>
  <si>
    <t>jhb_to_midwy_weekday,JHB-to-MIDWY_Weekday,2,C</t>
  </si>
  <si>
    <t>midwy_to_jhb_weekday,MIDWY-to-JHB_Weekday,2,C</t>
  </si>
  <si>
    <t>jhb_to_midwy_sat,JHB-to-MIDWY_Sat,2,C</t>
  </si>
  <si>
    <t>midwy_to_jhb_sat,MIDWY-to-JHB_Sat,2,C</t>
  </si>
  <si>
    <t>jhb_to_nald_weekday,JHB-to-NALD_Weekday,2,C</t>
  </si>
  <si>
    <t>nald_to_jhb_weekday,NALD-to-JHB_Weekday,2,C</t>
  </si>
  <si>
    <t>jhb_to_nald_sat,JHB-to-NALD_Sat,2,C</t>
  </si>
  <si>
    <t>nald_to_jhb_sat,NALD-to-JHB_Sat,2,C</t>
  </si>
  <si>
    <t>jhb_to_rand_weekday,JHB-to-RAND_Weekday,2,C</t>
  </si>
  <si>
    <t>rand_to_jhb_weekday,RAND-to-JHB_Weekday,2,C</t>
  </si>
  <si>
    <t>jhb_to_rand_sat,JHB-to-RAND_Sat,2,C</t>
  </si>
  <si>
    <t>rand_to_jhb_sat,RAND-to-JHB_Sat,2,C</t>
  </si>
  <si>
    <t>pta_to_kemp_weekday,PTA-to-KEMP_Weekday,2,C</t>
  </si>
  <si>
    <t>kemp_to_pta_weekday,KEMP-to-PTA_Weekday,2,C</t>
  </si>
  <si>
    <t>pta_to_kemp_sat,PTA-to-KEMP_Sat,2,C</t>
  </si>
  <si>
    <t>kemp_to_pta_sat,KEMP-to-PTA_Sat,2,C</t>
  </si>
  <si>
    <t>pta_to_irene_weekday,PTA-to-IRENE_Weekday,2,C</t>
  </si>
  <si>
    <t>irene_to_pta_weekday,IRENE-to-PTA_Weekday,2,C</t>
  </si>
  <si>
    <t>pta_to_irene_sat,PTA-to-IRENE_Sat,2,C</t>
  </si>
  <si>
    <t>irene_to_pta_sat,IRENE-to-PTA_Sat,2,C</t>
  </si>
  <si>
    <t>germ_to_jhb_weekday,GERM-to-JHB_Weekday,2,C</t>
  </si>
  <si>
    <t>jhb_to_germ_weekday,JHB-to-GERM_Weekday,2,C</t>
  </si>
  <si>
    <t>germ_to_jhb_sat,GERM-to-JHB_Sat,2,C</t>
  </si>
  <si>
    <t>jhb_to_germ_sat,JHB-to-GERM_Sat,2,C</t>
  </si>
  <si>
    <t>Z2</t>
  </si>
  <si>
    <t>QUEENSWOOD</t>
  </si>
  <si>
    <t>-25.721853760563217, 28.25178790666072</t>
  </si>
  <si>
    <t>-25.727388634278455, 28.29699912151972</t>
  </si>
  <si>
    <t>EERSTERUS</t>
  </si>
  <si>
    <t>-25.720262104484497, 28.30708446350365</t>
  </si>
  <si>
    <t>-25.716964535181983, 28.32134413848142</t>
  </si>
  <si>
    <t>GREENVIEW</t>
  </si>
  <si>
    <t>-25.73018814715231, 28.406238121914445</t>
  </si>
  <si>
    <t>-25.716950166393737, 28.32134413848142</t>
  </si>
  <si>
    <t>Unspecified</t>
  </si>
  <si>
    <t>0501</t>
  </si>
  <si>
    <t>0503</t>
  </si>
  <si>
    <t>0505</t>
  </si>
  <si>
    <t>0507</t>
  </si>
  <si>
    <t>0509</t>
  </si>
  <si>
    <t>0511</t>
  </si>
  <si>
    <t>0515</t>
  </si>
  <si>
    <t>0517</t>
  </si>
  <si>
    <t>0519</t>
  </si>
  <si>
    <t>0521</t>
  </si>
  <si>
    <t>0523</t>
  </si>
  <si>
    <t>0527</t>
  </si>
  <si>
    <t>0529</t>
  </si>
  <si>
    <t>0531</t>
  </si>
  <si>
    <t>0533</t>
  </si>
  <si>
    <t>0535</t>
  </si>
  <si>
    <t>-26.209629310943757, 28.16775038029468</t>
  </si>
  <si>
    <t>-26.19566598383361, 28.196166697507</t>
  </si>
  <si>
    <t>-26.180916686844835, 28.19981212632109</t>
  </si>
  <si>
    <t>-26.16670702075184, 28.20530291097802</t>
  </si>
  <si>
    <t>-26.135629334887778, 28.221811980118165</t>
  </si>
  <si>
    <t>-26.126491398917288, 28.22477839248156</t>
  </si>
  <si>
    <t>-26.10627314041378, 28.22733384351009</t>
  </si>
  <si>
    <t>-26.08799580477522, 28.221739995632177</t>
  </si>
  <si>
    <t>-26.066977064619714, 28.234569695631336</t>
  </si>
  <si>
    <t>-26.03555593578171, 28.25416120912308</t>
  </si>
  <si>
    <t>-26.009687133196852, 28.231477162611803</t>
  </si>
  <si>
    <t>-26.011188907434516, 28.214689000778122</t>
  </si>
  <si>
    <t>-26.02917658612082, 28.196411826993103</t>
  </si>
  <si>
    <t>0502</t>
  </si>
  <si>
    <t>0504</t>
  </si>
  <si>
    <t>0506</t>
  </si>
  <si>
    <t>0508</t>
  </si>
  <si>
    <t>0510</t>
  </si>
  <si>
    <t>0512</t>
  </si>
  <si>
    <t>0514</t>
  </si>
  <si>
    <t>0518</t>
  </si>
  <si>
    <t>0520</t>
  </si>
  <si>
    <t>0522</t>
  </si>
  <si>
    <t>0524</t>
  </si>
  <si>
    <t>0526</t>
  </si>
  <si>
    <t>0528</t>
  </si>
  <si>
    <t>0532</t>
  </si>
  <si>
    <t>0534</t>
  </si>
  <si>
    <t>0536</t>
  </si>
  <si>
    <t>LYNROSS</t>
  </si>
  <si>
    <t>-25.634315463162178, 28.08215105744163</t>
  </si>
  <si>
    <t>MEDUNSA</t>
  </si>
  <si>
    <t>-25.621899788193396, 28.018859666777605</t>
  </si>
  <si>
    <t>0624</t>
  </si>
  <si>
    <t>0626</t>
  </si>
  <si>
    <t>0628</t>
  </si>
  <si>
    <t>0630</t>
  </si>
  <si>
    <t>0632</t>
  </si>
  <si>
    <t>0634</t>
  </si>
  <si>
    <t>0636</t>
  </si>
  <si>
    <t>0638</t>
  </si>
  <si>
    <t>0640</t>
  </si>
  <si>
    <t>0642</t>
  </si>
  <si>
    <t>0644</t>
  </si>
  <si>
    <t>0646</t>
  </si>
  <si>
    <t>0625</t>
  </si>
  <si>
    <t>0627</t>
  </si>
  <si>
    <t>0629</t>
  </si>
  <si>
    <t>0631</t>
  </si>
  <si>
    <t>0633</t>
  </si>
  <si>
    <t>0635</t>
  </si>
  <si>
    <t>0637</t>
  </si>
  <si>
    <t>0639</t>
  </si>
  <si>
    <t>0641</t>
  </si>
  <si>
    <t>0643</t>
  </si>
  <si>
    <t>0645</t>
  </si>
  <si>
    <t>0647</t>
  </si>
  <si>
    <t>JOHANNESBURG</t>
  </si>
  <si>
    <t>-26.19744781552406, 28.042341453307994</t>
  </si>
  <si>
    <t>DOORNFONTEIN</t>
  </si>
  <si>
    <t>-26.19692478075003, 28.054170880294237</t>
  </si>
  <si>
    <t>ELLIS PARK</t>
  </si>
  <si>
    <t>-26.198718312467125, 28.059031479241852</t>
  </si>
  <si>
    <t>JEPPE</t>
  </si>
  <si>
    <t>-26.203925808444886, 28.06346159144729</t>
  </si>
  <si>
    <t>GEORGE GOCH</t>
  </si>
  <si>
    <t>-26.207362180909303, 28.08040019563714</t>
  </si>
  <si>
    <t>DENVER</t>
  </si>
  <si>
    <t>-26.20565353546564, 28.09711574417819</t>
  </si>
  <si>
    <t>TOORONGA</t>
  </si>
  <si>
    <t>-26.203940084237757, 28.110387300000003</t>
  </si>
  <si>
    <t>CLEVELAND</t>
  </si>
  <si>
    <t>-26.20833436358959, 28.11835882447283</t>
  </si>
  <si>
    <t>GELDENHUIS</t>
  </si>
  <si>
    <t>-26.20778570409101, 28.132917922623346</t>
  </si>
  <si>
    <t>DRIEHOEK</t>
  </si>
  <si>
    <t>-26.21349039399697, 28.14960493666655</t>
  </si>
  <si>
    <t>PRESIDENT</t>
  </si>
  <si>
    <t>-26.211589161672503, 28.159915894140354</t>
  </si>
  <si>
    <t>Z3</t>
  </si>
  <si>
    <t>0604</t>
  </si>
  <si>
    <t>0616</t>
  </si>
  <si>
    <t>0618 (Tue-Thu Only)</t>
  </si>
  <si>
    <t>0620</t>
  </si>
  <si>
    <t>0622</t>
  </si>
  <si>
    <t>0654</t>
  </si>
  <si>
    <t>-25.783934589307606, 28.193278224251035</t>
  </si>
  <si>
    <t>-25.913781667224402, 28.228800685979607</t>
  </si>
  <si>
    <t>-25.964142125962706, 28.235515817897813</t>
  </si>
  <si>
    <t>-26.00579639391282, 28.248566233475742</t>
  </si>
  <si>
    <t>-26.127779713576295, 28.22489605946647</t>
  </si>
  <si>
    <t>-26.16687928991135, 28.20526073136343</t>
  </si>
  <si>
    <t>0603</t>
  </si>
  <si>
    <t>0615</t>
  </si>
  <si>
    <t>0617</t>
  </si>
  <si>
    <t>0619 (Tue-Thu Only)</t>
  </si>
  <si>
    <t>0621</t>
  </si>
  <si>
    <t>0623</t>
  </si>
  <si>
    <t>0606</t>
  </si>
  <si>
    <t>0608</t>
  </si>
  <si>
    <t>0610</t>
  </si>
  <si>
    <t>0605</t>
  </si>
  <si>
    <t>0607</t>
  </si>
  <si>
    <t>0609</t>
  </si>
  <si>
    <t>0003</t>
  </si>
  <si>
    <t>0005</t>
  </si>
  <si>
    <t>0007</t>
  </si>
  <si>
    <t>0009</t>
  </si>
  <si>
    <t>0011</t>
  </si>
  <si>
    <t>0013</t>
  </si>
  <si>
    <t>0015</t>
  </si>
  <si>
    <t>0017</t>
  </si>
  <si>
    <t>0019</t>
  </si>
  <si>
    <t>0021</t>
  </si>
  <si>
    <t>0023</t>
  </si>
  <si>
    <t>0025</t>
  </si>
  <si>
    <t>0027</t>
  </si>
  <si>
    <t>0029</t>
  </si>
  <si>
    <t>0031</t>
  </si>
  <si>
    <t>0043</t>
  </si>
  <si>
    <t>0041</t>
  </si>
  <si>
    <t>0045</t>
  </si>
  <si>
    <t>0047</t>
  </si>
  <si>
    <t>0049</t>
  </si>
  <si>
    <t>0051</t>
  </si>
  <si>
    <t>0053</t>
  </si>
  <si>
    <t>0055</t>
  </si>
  <si>
    <t>0059</t>
  </si>
  <si>
    <t>0039</t>
  </si>
  <si>
    <t>0061</t>
  </si>
  <si>
    <t>0063</t>
  </si>
  <si>
    <t>0065</t>
  </si>
  <si>
    <t>0067</t>
  </si>
  <si>
    <t>0069</t>
  </si>
  <si>
    <t>0071</t>
  </si>
  <si>
    <t>0073</t>
  </si>
  <si>
    <t>0075</t>
  </si>
  <si>
    <t>0079</t>
  </si>
  <si>
    <t>0081</t>
  </si>
  <si>
    <t>0083</t>
  </si>
  <si>
    <t>0085</t>
  </si>
  <si>
    <t>0087</t>
  </si>
  <si>
    <t>0089</t>
  </si>
  <si>
    <t>0091</t>
  </si>
  <si>
    <t>0093</t>
  </si>
  <si>
    <t>0095</t>
  </si>
  <si>
    <t>0097</t>
  </si>
  <si>
    <t>0099</t>
  </si>
  <si>
    <t>REBECCA</t>
  </si>
  <si>
    <t>-25.758140068440945, 28.153531689466263</t>
  </si>
  <si>
    <t>ELECTRO</t>
  </si>
  <si>
    <t>-25.761019788942832, 28.14543245780906</t>
  </si>
  <si>
    <t>COR DELFOS</t>
  </si>
  <si>
    <t>-25.766926398225326, 28.132950724454595</t>
  </si>
  <si>
    <t>KALAFONG</t>
  </si>
  <si>
    <t>-25.760158250653994, 28.088193742988445</t>
  </si>
  <si>
    <t>ATTERIDGEVILLE</t>
  </si>
  <si>
    <t>-25.76284784698717, 28.07501926678321</t>
  </si>
  <si>
    <t>SAULSVILLE</t>
  </si>
  <si>
    <t>-25.76414387754825, 28.06212905285695</t>
  </si>
  <si>
    <t>0002</t>
  </si>
  <si>
    <t>0004</t>
  </si>
  <si>
    <t>0006</t>
  </si>
  <si>
    <t>0008</t>
  </si>
  <si>
    <t>0010</t>
  </si>
  <si>
    <t>0012</t>
  </si>
  <si>
    <t>0014</t>
  </si>
  <si>
    <t>0016</t>
  </si>
  <si>
    <t>0018</t>
  </si>
  <si>
    <t>0020</t>
  </si>
  <si>
    <t>0022</t>
  </si>
  <si>
    <t>0024</t>
  </si>
  <si>
    <t>0026</t>
  </si>
  <si>
    <t>0028</t>
  </si>
  <si>
    <t>0030</t>
  </si>
  <si>
    <t>0032</t>
  </si>
  <si>
    <t>0034</t>
  </si>
  <si>
    <t>0036</t>
  </si>
  <si>
    <t>0038</t>
  </si>
  <si>
    <t>0040</t>
  </si>
  <si>
    <t>0044</t>
  </si>
  <si>
    <t>0046</t>
  </si>
  <si>
    <t>0048</t>
  </si>
  <si>
    <t>0050</t>
  </si>
  <si>
    <t>0052</t>
  </si>
  <si>
    <t>0054</t>
  </si>
  <si>
    <t>0056</t>
  </si>
  <si>
    <t>0058</t>
  </si>
  <si>
    <t>0060</t>
  </si>
  <si>
    <t>0062</t>
  </si>
  <si>
    <t>0072</t>
  </si>
  <si>
    <t>0074</t>
  </si>
  <si>
    <t>0076</t>
  </si>
  <si>
    <t>0078</t>
  </si>
  <si>
    <t>0080</t>
  </si>
  <si>
    <t>0082</t>
  </si>
  <si>
    <t>0084</t>
  </si>
  <si>
    <t>0086</t>
  </si>
  <si>
    <t>0088</t>
  </si>
  <si>
    <t>0090</t>
  </si>
  <si>
    <t>0092</t>
  </si>
  <si>
    <t>0094</t>
  </si>
  <si>
    <t>0096</t>
  </si>
  <si>
    <t>0098</t>
  </si>
  <si>
    <t>0800</t>
  </si>
  <si>
    <t>0802</t>
  </si>
  <si>
    <t>0804</t>
  </si>
  <si>
    <t>0806</t>
  </si>
  <si>
    <t>0808</t>
  </si>
  <si>
    <t>0810</t>
  </si>
  <si>
    <t>0812</t>
  </si>
  <si>
    <t>0822</t>
  </si>
  <si>
    <t>0814</t>
  </si>
  <si>
    <t>0824</t>
  </si>
  <si>
    <t>0816</t>
  </si>
  <si>
    <t>0818</t>
  </si>
  <si>
    <t>BELLE-OMBRE</t>
  </si>
  <si>
    <t>-25.73740468957095, 28.178914335051033</t>
  </si>
  <si>
    <t>0801</t>
  </si>
  <si>
    <t>0803</t>
  </si>
  <si>
    <t>0805</t>
  </si>
  <si>
    <t>0807</t>
  </si>
  <si>
    <t>0809</t>
  </si>
  <si>
    <t>0821</t>
  </si>
  <si>
    <t>0811</t>
  </si>
  <si>
    <t>0823</t>
  </si>
  <si>
    <t>0813</t>
  </si>
  <si>
    <t>0815</t>
  </si>
  <si>
    <t>0817</t>
  </si>
  <si>
    <t>0819</t>
  </si>
  <si>
    <t>ELSBURG</t>
  </si>
  <si>
    <t>-26.242074536681013, 28.193485066234086</t>
  </si>
  <si>
    <t>KATLEHONG</t>
  </si>
  <si>
    <t>-26.307539143135436, 28.161448064536795</t>
  </si>
  <si>
    <t>LINDELA</t>
  </si>
  <si>
    <t>-26.326156380004434, 28.158191665672334</t>
  </si>
  <si>
    <t>PILOT</t>
  </si>
  <si>
    <t>-26.340713981819974, 28.152496274644147</t>
  </si>
  <si>
    <t>KWESINE</t>
  </si>
  <si>
    <t>-26.365394305815887, 28.152781379926747</t>
  </si>
  <si>
    <t>0204</t>
  </si>
  <si>
    <t>0224</t>
  </si>
  <si>
    <t>0206</t>
  </si>
  <si>
    <t>0226</t>
  </si>
  <si>
    <t>0208</t>
  </si>
  <si>
    <t>0228</t>
  </si>
  <si>
    <t>0210</t>
  </si>
  <si>
    <t>0230</t>
  </si>
  <si>
    <t>0212</t>
  </si>
  <si>
    <t>0232</t>
  </si>
  <si>
    <t>0214</t>
  </si>
  <si>
    <t>0234</t>
  </si>
  <si>
    <t>0216</t>
  </si>
  <si>
    <t>0236</t>
  </si>
  <si>
    <t>0218</t>
  </si>
  <si>
    <t>-26.197647593316965, 28.04233618836466</t>
  </si>
  <si>
    <t>BRAAMFONTEIN</t>
  </si>
  <si>
    <t>-26.19785038795819, 28.022075850924722</t>
  </si>
  <si>
    <t>MAYFAIR</t>
  </si>
  <si>
    <t>-26.204357573800028, 28.014409877846887</t>
  </si>
  <si>
    <t>GROSVENOR</t>
  </si>
  <si>
    <t>-26.202962977069127, 28.00593136680137</t>
  </si>
  <si>
    <t>LANGLAAGTE</t>
  </si>
  <si>
    <t>-26.201719229862785, 27.990539266801267</t>
  </si>
  <si>
    <t>INDUSTRIA</t>
  </si>
  <si>
    <t>-26.20064761351068, 27.980791038193363</t>
  </si>
  <si>
    <t>WESTBURY</t>
  </si>
  <si>
    <t>-26.188443766734295, 27.968076039514422</t>
  </si>
  <si>
    <t>NEWCLARE</t>
  </si>
  <si>
    <t>-26.186220350334334, 27.962106041293232</t>
  </si>
  <si>
    <t>BOSMONT</t>
  </si>
  <si>
    <t>-26.18345940414852, 27.95132529292846</t>
  </si>
  <si>
    <t>MARAISBURG</t>
  </si>
  <si>
    <t>-26.179451103586576, 27.939930801976423</t>
  </si>
  <si>
    <t>UNIFIED</t>
  </si>
  <si>
    <t>-26.17934640087511, 27.926554891892838</t>
  </si>
  <si>
    <t>FLORIDA</t>
  </si>
  <si>
    <t>-26.176752716611063, 27.91426358618772</t>
  </si>
  <si>
    <t>HAMBERG</t>
  </si>
  <si>
    <t>-26.16761329423407, 27.89363955466481</t>
  </si>
  <si>
    <t>GEORGINIA</t>
  </si>
  <si>
    <t>-26.164695347837018, 27.87995514003489</t>
  </si>
  <si>
    <t>ROODEPOORT</t>
  </si>
  <si>
    <t>-26.159057627819767, 27.869960853694568</t>
  </si>
  <si>
    <t>HORISON</t>
  </si>
  <si>
    <t>-26.146612509666905, 27.86374942964767</t>
  </si>
  <si>
    <t>PRINCESS</t>
  </si>
  <si>
    <t>-26.132583466401883, 27.853421824034942</t>
  </si>
  <si>
    <t>WITPOORTJIE</t>
  </si>
  <si>
    <t>-26.127111621322594, 27.830401030605525</t>
  </si>
  <si>
    <t>LUIPAARDSVLEI</t>
  </si>
  <si>
    <t>-26.119650130332165, 27.811365162291754</t>
  </si>
  <si>
    <t>LANWEN</t>
  </si>
  <si>
    <t>-26.114959131467916, 27.793404142525095</t>
  </si>
  <si>
    <t>WINDSOR MINE</t>
  </si>
  <si>
    <t>-26.10947353108213, 27.78092085330434</t>
  </si>
  <si>
    <t>KRUGERSDORP</t>
  </si>
  <si>
    <t>-26.108673106302327, 27.77054582194475</t>
  </si>
  <si>
    <t>WESRAND</t>
  </si>
  <si>
    <t>-26.111842932573754, 27.748279009896308</t>
  </si>
  <si>
    <t>MILLSITE</t>
  </si>
  <si>
    <t>-26.128472634725075, 27.738984350810526</t>
  </si>
  <si>
    <t>ROBINSON</t>
  </si>
  <si>
    <t>-26.15772328478757, 27.715139426035496</t>
  </si>
  <si>
    <t>HOMELAKE</t>
  </si>
  <si>
    <t>-26.16792472543254, 27.707411915946505</t>
  </si>
  <si>
    <t>RANDFONTEIN</t>
  </si>
  <si>
    <t>-26.18172322656187, 27.69778245070208</t>
  </si>
  <si>
    <t>0203</t>
  </si>
  <si>
    <t>0223</t>
  </si>
  <si>
    <t>0205</t>
  </si>
  <si>
    <t>0225</t>
  </si>
  <si>
    <t>0207</t>
  </si>
  <si>
    <t>0227</t>
  </si>
  <si>
    <t>0209</t>
  </si>
  <si>
    <t>0229</t>
  </si>
  <si>
    <t>0211</t>
  </si>
  <si>
    <t>0231</t>
  </si>
  <si>
    <t>0213</t>
  </si>
  <si>
    <t>0233</t>
  </si>
  <si>
    <t>0215</t>
  </si>
  <si>
    <t>0235</t>
  </si>
  <si>
    <t>0217</t>
  </si>
  <si>
    <t>0237</t>
  </si>
  <si>
    <t>0200</t>
  </si>
  <si>
    <t>0202</t>
  </si>
  <si>
    <t>0220</t>
  </si>
  <si>
    <t>0219</t>
  </si>
  <si>
    <t>0221</t>
  </si>
  <si>
    <t>CROESUS</t>
  </si>
  <si>
    <t>-26.201595050664512, 27.97172133796557</t>
  </si>
  <si>
    <t>LONGDALE</t>
  </si>
  <si>
    <t>-26.198503123750555, 27.962929509129903</t>
  </si>
  <si>
    <t>NEW CANADA</t>
  </si>
  <si>
    <t>-26.214411850342184, 27.94240072447306</t>
  </si>
  <si>
    <t>MZIMHLOPE</t>
  </si>
  <si>
    <t>-26.223861505533936, 27.921532143394266</t>
  </si>
  <si>
    <t>PHOMOLONG</t>
  </si>
  <si>
    <t>-26.226703184419414, 27.90867427408623</t>
  </si>
  <si>
    <t>PHEFENI</t>
  </si>
  <si>
    <t>-26.235333111848036, 27.90499985809428</t>
  </si>
  <si>
    <t>DUBE</t>
  </si>
  <si>
    <t>-26.232994816765324, 27.89235589471589</t>
  </si>
  <si>
    <t>IKWEZI</t>
  </si>
  <si>
    <t>-26.23066586388434, 27.87708944718947</t>
  </si>
  <si>
    <t>INHLAZANE</t>
  </si>
  <si>
    <t>-26.249713244610206, 27.863467738215245</t>
  </si>
  <si>
    <t>MERAFE</t>
  </si>
  <si>
    <t>-26.26213048623854, 27.84657941488496</t>
  </si>
  <si>
    <t>NALEDI</t>
  </si>
  <si>
    <t>-26.257998333942396, 27.822761926970013</t>
  </si>
  <si>
    <t>MLAMLANKUNZI</t>
  </si>
  <si>
    <t>-26.22594835366509, 27.928217035582186</t>
  </si>
  <si>
    <t>ORLANDO</t>
  </si>
  <si>
    <t>-26.237577526260885, 27.91727947272508</t>
  </si>
  <si>
    <t>NANCEFIELD</t>
  </si>
  <si>
    <t>-26.25168123666912, 27.906423465881122</t>
  </si>
  <si>
    <t>KLIPTOWN</t>
  </si>
  <si>
    <t>-26.272809958189928, 27.887633494308975</t>
  </si>
  <si>
    <t>TSHIAWELO</t>
  </si>
  <si>
    <t>-26.288947777153577, 27.87068768853021</t>
  </si>
  <si>
    <t>MIDWAY</t>
  </si>
  <si>
    <t>-26.292695060119772, 27.851230923913732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</si>
</sst>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h&quot;:&quot;mm&quot;:&quot;ss&quot; &quot;"/>
  </numFmts>
  <fonts count="2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u/>
      <color rgb="FF1F1F1F"/>
      <name val="&quot;Google Sans Text&quot;"/>
    </font>
    <font>
      <b/>
      <u/>
      <color rgb="FF1F1F1F"/>
      <name val="&quot;Google Sans Text&quot;"/>
    </font>
    <font>
      <u/>
      <color rgb="FF1F1F1F"/>
      <name val="&quot;Google Sans Text&quot;"/>
    </font>
    <font>
      <color theme="1"/>
      <name val="Arial"/>
    </font>
    <font>
      <color rgb="FF1F1F1F"/>
      <name val="Google Sans Text"/>
    </font>
    <font>
      <b/>
      <color rgb="FF1F1F1F"/>
      <name val="Google Sans Text"/>
    </font>
    <font>
      <b/>
      <u/>
      <color rgb="FF1F1F1F"/>
      <name val="Google Sans Text"/>
    </font>
    <font>
      <b/>
      <color theme="1"/>
      <name val="Arial"/>
    </font>
    <font>
      <u/>
      <color rgb="FF1F1F1F"/>
      <name val="Google Sans Text"/>
    </font>
    <font>
      <sz val="10.0"/>
      <color rgb="FF1F1F1F"/>
      <name val="Google Sans Text"/>
    </font>
    <font>
      <sz val="10.0"/>
      <color theme="1"/>
      <name val="Google Sans Text"/>
    </font>
    <font>
      <sz val="10.0"/>
      <color rgb="FF1F1F1F"/>
      <name val="&quot;Google Sans Text&quot;"/>
    </font>
    <font>
      <sz val="10.0"/>
      <color theme="1"/>
      <name val="Arial"/>
      <scheme val="minor"/>
    </font>
    <font>
      <sz val="10.0"/>
      <color theme="1"/>
      <name val="Arial"/>
    </font>
    <font>
      <b/>
      <sz val="10.0"/>
      <color rgb="FF1F1F1F"/>
      <name val="&quot;Google Sans Text&quot;"/>
    </font>
    <font>
      <b/>
      <sz val="11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rgb="FFF9CB9C"/>
        <bgColor rgb="FFF9CB9C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2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Font="1"/>
    <xf borderId="0" fillId="0" fontId="2" numFmtId="21" xfId="0" applyFont="1" applyNumberFormat="1"/>
    <xf borderId="0" fillId="0" fontId="3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quotePrefix="1" borderId="0" fillId="2" fontId="2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0" xfId="0" applyFont="1"/>
    <xf borderId="0" fillId="0" fontId="4" numFmtId="20" xfId="0" applyAlignment="1" applyFont="1" applyNumberFormat="1">
      <alignment readingOrder="0"/>
    </xf>
    <xf borderId="0" fillId="0" fontId="5" numFmtId="20" xfId="0" applyAlignment="1" applyFont="1" applyNumberFormat="1">
      <alignment readingOrder="0"/>
    </xf>
    <xf borderId="1" fillId="0" fontId="1" numFmtId="0" xfId="0" applyBorder="1" applyFont="1"/>
    <xf borderId="2" fillId="0" fontId="4" numFmtId="0" xfId="0" applyAlignment="1" applyBorder="1" applyFont="1">
      <alignment readingOrder="0"/>
    </xf>
    <xf borderId="2" fillId="0" fontId="4" numFmtId="20" xfId="0" applyAlignment="1" applyBorder="1" applyFont="1" applyNumberFormat="1">
      <alignment readingOrder="0"/>
    </xf>
    <xf borderId="2" fillId="0" fontId="4" numFmtId="0" xfId="0" applyBorder="1" applyFont="1"/>
    <xf borderId="3" fillId="0" fontId="4" numFmtId="20" xfId="0" applyAlignment="1" applyBorder="1" applyFont="1" applyNumberFormat="1">
      <alignment readingOrder="0"/>
    </xf>
    <xf borderId="4" fillId="0" fontId="1" numFmtId="0" xfId="0" applyBorder="1" applyFont="1"/>
    <xf borderId="0" fillId="0" fontId="4" numFmtId="0" xfId="0" applyFont="1"/>
    <xf borderId="5" fillId="0" fontId="4" numFmtId="20" xfId="0" applyAlignment="1" applyBorder="1" applyFont="1" applyNumberFormat="1">
      <alignment readingOrder="0"/>
    </xf>
    <xf borderId="6" fillId="0" fontId="1" numFmtId="0" xfId="0" applyBorder="1" applyFont="1"/>
    <xf borderId="7" fillId="0" fontId="4" numFmtId="0" xfId="0" applyAlignment="1" applyBorder="1" applyFont="1">
      <alignment readingOrder="0"/>
    </xf>
    <xf borderId="7" fillId="0" fontId="4" numFmtId="20" xfId="0" applyAlignment="1" applyBorder="1" applyFont="1" applyNumberFormat="1">
      <alignment readingOrder="0"/>
    </xf>
    <xf borderId="7" fillId="0" fontId="4" numFmtId="0" xfId="0" applyBorder="1" applyFont="1"/>
    <xf borderId="8" fillId="0" fontId="4" numFmtId="20" xfId="0" applyAlignment="1" applyBorder="1" applyFont="1" applyNumberFormat="1">
      <alignment readingOrder="0"/>
    </xf>
    <xf borderId="0" fillId="0" fontId="6" numFmtId="20" xfId="0" applyAlignment="1" applyFont="1" applyNumberFormat="1">
      <alignment readingOrder="0"/>
    </xf>
    <xf borderId="0" fillId="0" fontId="7" numFmtId="0" xfId="0" applyFont="1"/>
    <xf borderId="1" fillId="0" fontId="2" numFmtId="0" xfId="0" applyBorder="1" applyFont="1"/>
    <xf borderId="2" fillId="0" fontId="3" numFmtId="0" xfId="0" applyAlignment="1" applyBorder="1" applyFont="1">
      <alignment readingOrder="0"/>
    </xf>
    <xf borderId="2" fillId="0" fontId="3" numFmtId="0" xfId="0" applyBorder="1" applyFont="1"/>
    <xf borderId="2" fillId="0" fontId="3" numFmtId="20" xfId="0" applyAlignment="1" applyBorder="1" applyFont="1" applyNumberForma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7" fillId="0" fontId="3" numFmtId="20" xfId="0" applyAlignment="1" applyBorder="1" applyFont="1" applyNumberFormat="1">
      <alignment readingOrder="0"/>
    </xf>
    <xf borderId="7" fillId="0" fontId="2" numFmtId="0" xfId="0" applyBorder="1" applyFont="1"/>
    <xf borderId="8" fillId="0" fontId="2" numFmtId="0" xfId="0" applyBorder="1" applyFont="1"/>
    <xf borderId="0" fillId="0" fontId="3" numFmtId="20" xfId="0" applyAlignment="1" applyFont="1" applyNumberForma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1" numFmtId="20" xfId="0" applyAlignment="1" applyFont="1" applyNumberFormat="1">
      <alignment horizontal="right" vertical="bottom"/>
    </xf>
    <xf borderId="0" fillId="0" fontId="9" numFmtId="20" xfId="0" applyAlignment="1" applyFont="1" applyNumberFormat="1">
      <alignment horizontal="right" vertical="bottom"/>
    </xf>
    <xf borderId="0" fillId="0" fontId="12" numFmtId="0" xfId="0" applyAlignment="1" applyFont="1">
      <alignment vertical="bottom"/>
    </xf>
    <xf borderId="0" fillId="0" fontId="10" numFmtId="20" xfId="0" applyAlignment="1" applyFont="1" applyNumberFormat="1">
      <alignment horizontal="right" vertical="bottom"/>
    </xf>
    <xf borderId="0" fillId="0" fontId="13" numFmtId="20" xfId="0" applyAlignment="1" applyFont="1" applyNumberFormat="1">
      <alignment horizontal="right" vertical="bottom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2" fontId="2" numFmtId="0" xfId="0" applyFont="1"/>
    <xf borderId="0" fillId="5" fontId="2" numFmtId="21" xfId="0" applyAlignment="1" applyFill="1" applyFont="1" applyNumberFormat="1">
      <alignment readingOrder="0"/>
    </xf>
    <xf borderId="0" fillId="6" fontId="2" numFmtId="0" xfId="0" applyFill="1" applyFont="1"/>
    <xf borderId="0" fillId="4" fontId="2" numFmtId="0" xfId="0" applyFont="1"/>
    <xf borderId="0" fillId="3" fontId="2" numFmtId="21" xfId="0" applyAlignment="1" applyFont="1" applyNumberFormat="1">
      <alignment readingOrder="0"/>
    </xf>
    <xf borderId="9" fillId="4" fontId="2" numFmtId="0" xfId="0" applyBorder="1" applyFont="1"/>
    <xf borderId="9" fillId="4" fontId="2" numFmtId="21" xfId="0" applyBorder="1" applyFont="1" applyNumberFormat="1"/>
    <xf borderId="10" fillId="0" fontId="2" numFmtId="0" xfId="0" applyBorder="1" applyFont="1"/>
    <xf borderId="11" fillId="0" fontId="2" numFmtId="0" xfId="0" applyBorder="1" applyFont="1"/>
    <xf borderId="11" fillId="0" fontId="2" numFmtId="21" xfId="0" applyAlignment="1" applyBorder="1" applyFont="1" applyNumberFormat="1">
      <alignment readingOrder="0"/>
    </xf>
    <xf borderId="11" fillId="3" fontId="2" numFmtId="21" xfId="0" applyAlignment="1" applyBorder="1" applyFont="1" applyNumberFormat="1">
      <alignment readingOrder="0"/>
    </xf>
    <xf borderId="9" fillId="0" fontId="1" numFmtId="0" xfId="0" applyAlignment="1" applyBorder="1" applyFont="1">
      <alignment readingOrder="0"/>
    </xf>
    <xf quotePrefix="1" borderId="9" fillId="0" fontId="1" numFmtId="0" xfId="0" applyAlignment="1" applyBorder="1" applyFont="1">
      <alignment horizontal="right" readingOrder="0"/>
    </xf>
    <xf borderId="0" fillId="7" fontId="1" numFmtId="0" xfId="0" applyAlignment="1" applyFill="1" applyFont="1">
      <alignment readingOrder="0"/>
    </xf>
    <xf borderId="0" fillId="6" fontId="1" numFmtId="0" xfId="0" applyFont="1"/>
    <xf borderId="0" fillId="8" fontId="2" numFmtId="21" xfId="0" applyAlignment="1" applyFill="1" applyFont="1" applyNumberFormat="1">
      <alignment readingOrder="0"/>
    </xf>
    <xf borderId="11" fillId="0" fontId="2" numFmtId="0" xfId="0" applyAlignment="1" applyBorder="1" applyFont="1">
      <alignment readingOrder="0"/>
    </xf>
    <xf borderId="11" fillId="8" fontId="2" numFmtId="21" xfId="0" applyAlignment="1" applyBorder="1" applyFont="1" applyNumberFormat="1">
      <alignment readingOrder="0"/>
    </xf>
    <xf borderId="12" fillId="0" fontId="2" numFmtId="21" xfId="0" applyAlignment="1" applyBorder="1" applyFont="1" applyNumberFormat="1">
      <alignment readingOrder="0"/>
    </xf>
    <xf borderId="0" fillId="8" fontId="2" numFmtId="0" xfId="0" applyFont="1"/>
    <xf borderId="0" fillId="2" fontId="2" numFmtId="21" xfId="0" applyFont="1" applyNumberFormat="1"/>
    <xf borderId="0" fillId="2" fontId="2" numFmtId="20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20" xfId="0" applyFont="1" applyNumberFormat="1"/>
    <xf borderId="1" fillId="0" fontId="2" numFmtId="20" xfId="0" applyBorder="1" applyFont="1" applyNumberFormat="1"/>
    <xf borderId="2" fillId="0" fontId="2" numFmtId="20" xfId="0" applyBorder="1" applyFont="1" applyNumberFormat="1"/>
    <xf borderId="3" fillId="0" fontId="2" numFmtId="20" xfId="0" applyBorder="1" applyFont="1" applyNumberFormat="1"/>
    <xf borderId="4" fillId="0" fontId="2" numFmtId="20" xfId="0" applyBorder="1" applyFont="1" applyNumberFormat="1"/>
    <xf borderId="5" fillId="0" fontId="2" numFmtId="20" xfId="0" applyBorder="1" applyFont="1" applyNumberFormat="1"/>
    <xf borderId="6" fillId="0" fontId="2" numFmtId="20" xfId="0" applyBorder="1" applyFont="1" applyNumberFormat="1"/>
    <xf borderId="7" fillId="0" fontId="2" numFmtId="20" xfId="0" applyBorder="1" applyFont="1" applyNumberFormat="1"/>
    <xf borderId="8" fillId="0" fontId="2" numFmtId="20" xfId="0" applyBorder="1" applyFont="1" applyNumberFormat="1"/>
    <xf borderId="0" fillId="2" fontId="8" numFmtId="21" xfId="0" applyAlignment="1" applyFont="1" applyNumberFormat="1">
      <alignment horizontal="right" vertical="bottom"/>
    </xf>
    <xf borderId="0" fillId="0" fontId="8" numFmtId="21" xfId="0" applyAlignment="1" applyFont="1" applyNumberFormat="1">
      <alignment vertical="bottom"/>
    </xf>
    <xf borderId="0" fillId="0" fontId="8" numFmtId="21" xfId="0" applyAlignment="1" applyFont="1" applyNumberFormat="1">
      <alignment horizontal="right" vertical="bottom"/>
    </xf>
    <xf borderId="0" fillId="9" fontId="1" numFmtId="0" xfId="0" applyAlignment="1" applyFill="1" applyFont="1">
      <alignment readingOrder="0"/>
    </xf>
    <xf borderId="0" fillId="10" fontId="3" numFmtId="0" xfId="0" applyAlignment="1" applyFill="1" applyFont="1">
      <alignment readingOrder="0"/>
    </xf>
    <xf borderId="0" fillId="0" fontId="8" numFmtId="0" xfId="0" applyAlignment="1" applyFont="1">
      <alignment vertical="bottom"/>
    </xf>
    <xf borderId="0" fillId="0" fontId="14" numFmtId="165" xfId="0" applyAlignment="1" applyFont="1" applyNumberFormat="1">
      <alignment readingOrder="0"/>
    </xf>
    <xf borderId="0" fillId="6" fontId="15" numFmtId="21" xfId="0" applyAlignment="1" applyFont="1" applyNumberFormat="1">
      <alignment vertical="bottom"/>
    </xf>
    <xf borderId="0" fillId="0" fontId="15" numFmtId="21" xfId="0" applyAlignment="1" applyFont="1" applyNumberFormat="1">
      <alignment vertical="bottom"/>
    </xf>
    <xf borderId="0" fillId="10" fontId="14" numFmtId="165" xfId="0" applyAlignment="1" applyFont="1" applyNumberFormat="1">
      <alignment readingOrder="0"/>
    </xf>
    <xf borderId="0" fillId="11" fontId="14" numFmtId="0" xfId="0" applyFill="1" applyFont="1"/>
    <xf borderId="0" fillId="11" fontId="14" numFmtId="20" xfId="0" applyFont="1" applyNumberFormat="1"/>
    <xf borderId="0" fillId="0" fontId="14" numFmtId="20" xfId="0" applyFont="1" applyNumberFormat="1"/>
    <xf borderId="0" fillId="11" fontId="15" numFmtId="0" xfId="0" applyFont="1"/>
    <xf borderId="0" fillId="0" fontId="15" numFmtId="0" xfId="0" applyFont="1"/>
    <xf borderId="0" fillId="0" fontId="15" numFmtId="165" xfId="0" applyAlignment="1" applyFont="1" applyNumberFormat="1">
      <alignment readingOrder="0"/>
    </xf>
    <xf borderId="0" fillId="0" fontId="8" numFmtId="0" xfId="0" applyAlignment="1" applyFont="1">
      <alignment readingOrder="0" vertical="bottom"/>
    </xf>
    <xf borderId="0" fillId="0" fontId="16" numFmtId="0" xfId="0" applyAlignment="1" applyFont="1">
      <alignment readingOrder="0"/>
    </xf>
    <xf borderId="0" fillId="0" fontId="17" numFmtId="0" xfId="0" applyFont="1"/>
    <xf borderId="0" fillId="0" fontId="18" numFmtId="0" xfId="0" applyAlignment="1" applyFont="1">
      <alignment vertical="bottom"/>
    </xf>
    <xf borderId="0" fillId="0" fontId="18" numFmtId="21" xfId="0" applyAlignment="1" applyFont="1" applyNumberFormat="1">
      <alignment vertical="bottom"/>
    </xf>
    <xf borderId="0" fillId="0" fontId="19" numFmtId="0" xfId="0" applyAlignment="1" applyFont="1">
      <alignment readingOrder="0"/>
    </xf>
    <xf borderId="0" fillId="0" fontId="16" numFmtId="165" xfId="0" applyAlignment="1" applyFont="1" applyNumberFormat="1">
      <alignment readingOrder="0"/>
    </xf>
    <xf borderId="0" fillId="0" fontId="16" numFmtId="20" xfId="0" applyFont="1" applyNumberFormat="1"/>
    <xf borderId="0" fillId="0" fontId="1" numFmtId="0" xfId="0" applyAlignment="1" applyFont="1">
      <alignment horizontal="right" readingOrder="0"/>
    </xf>
    <xf borderId="9" fillId="0" fontId="12" numFmtId="0" xfId="0" applyAlignment="1" applyBorder="1" applyFont="1">
      <alignment horizontal="right" readingOrder="0" vertical="bottom"/>
    </xf>
    <xf borderId="0" fillId="7" fontId="12" numFmtId="0" xfId="0" applyAlignment="1" applyFont="1">
      <alignment horizontal="right" readingOrder="0" vertical="bottom"/>
    </xf>
    <xf borderId="0" fillId="6" fontId="8" numFmtId="0" xfId="0" applyAlignment="1" applyFont="1">
      <alignment readingOrder="0" vertical="bottom"/>
    </xf>
    <xf borderId="0" fillId="2" fontId="8" numFmtId="165" xfId="0" applyAlignment="1" applyFont="1" applyNumberFormat="1">
      <alignment horizontal="right" readingOrder="0" vertical="bottom"/>
    </xf>
    <xf borderId="0" fillId="2" fontId="8" numFmtId="165" xfId="0" applyAlignment="1" applyFont="1" applyNumberFormat="1">
      <alignment readingOrder="0" vertical="bottom"/>
    </xf>
    <xf borderId="0" fillId="6" fontId="8" numFmtId="21" xfId="0" applyAlignment="1" applyFont="1" applyNumberFormat="1">
      <alignment readingOrder="0" vertical="bottom"/>
    </xf>
    <xf borderId="0" fillId="0" fontId="8" numFmtId="21" xfId="0" applyAlignment="1" applyFont="1" applyNumberFormat="1">
      <alignment readingOrder="0" vertical="bottom"/>
    </xf>
    <xf borderId="0" fillId="0" fontId="8" numFmtId="165" xfId="0" applyAlignment="1" applyFont="1" applyNumberFormat="1">
      <alignment readingOrder="0" vertical="bottom"/>
    </xf>
    <xf borderId="0" fillId="8" fontId="8" numFmtId="165" xfId="0" applyAlignment="1" applyFont="1" applyNumberFormat="1">
      <alignment readingOrder="0" vertical="bottom"/>
    </xf>
    <xf borderId="0" fillId="6" fontId="8" numFmtId="21" xfId="0" applyAlignment="1" applyFont="1" applyNumberFormat="1">
      <alignment vertical="bottom"/>
    </xf>
    <xf borderId="0" fillId="0" fontId="8" numFmtId="165" xfId="0" applyAlignment="1" applyFont="1" applyNumberFormat="1">
      <alignment horizontal="right" readingOrder="0" vertical="bottom"/>
    </xf>
    <xf borderId="0" fillId="8" fontId="8" numFmtId="165" xfId="0" applyAlignment="1" applyFont="1" applyNumberFormat="1">
      <alignment horizontal="right" readingOrder="0" vertical="bottom"/>
    </xf>
    <xf borderId="11" fillId="0" fontId="8" numFmtId="165" xfId="0" applyAlignment="1" applyBorder="1" applyFont="1" applyNumberFormat="1">
      <alignment horizontal="right" readingOrder="0" vertical="bottom"/>
    </xf>
    <xf borderId="11" fillId="8" fontId="8" numFmtId="165" xfId="0" applyAlignment="1" applyBorder="1" applyFont="1" applyNumberFormat="1">
      <alignment horizontal="right" readingOrder="0" vertical="bottom"/>
    </xf>
    <xf borderId="0" fillId="10" fontId="3" numFmtId="0" xfId="0" applyFont="1"/>
    <xf borderId="0" fillId="10" fontId="2" numFmtId="0" xfId="0" applyFont="1"/>
    <xf borderId="0" fillId="10" fontId="8" numFmtId="0" xfId="0" applyAlignment="1" applyFont="1">
      <alignment vertical="bottom"/>
    </xf>
    <xf borderId="0" fillId="10" fontId="8" numFmtId="21" xfId="0" applyAlignment="1" applyFont="1" applyNumberFormat="1">
      <alignment vertical="bottom"/>
    </xf>
    <xf borderId="0" fillId="10" fontId="4" numFmtId="0" xfId="0" applyAlignment="1" applyFont="1">
      <alignment readingOrder="0"/>
    </xf>
    <xf borderId="0" fillId="10" fontId="3" numFmtId="20" xfId="0" applyAlignment="1" applyFont="1" applyNumberFormat="1">
      <alignment readingOrder="0"/>
    </xf>
    <xf borderId="0" fillId="10" fontId="3" numFmtId="0" xfId="0" applyFont="1"/>
    <xf borderId="0" fillId="10" fontId="3" numFmtId="20" xfId="0" applyFont="1" applyNumberFormat="1"/>
    <xf borderId="0" fillId="4" fontId="8" numFmtId="0" xfId="0" applyAlignment="1" applyFont="1">
      <alignment vertical="bottom"/>
    </xf>
    <xf borderId="0" fillId="4" fontId="12" numFmtId="0" xfId="0" applyAlignment="1" applyFont="1">
      <alignment vertical="bottom"/>
    </xf>
    <xf borderId="9" fillId="4" fontId="8" numFmtId="0" xfId="0" applyAlignment="1" applyBorder="1" applyFont="1">
      <alignment vertical="bottom"/>
    </xf>
    <xf borderId="9" fillId="4" fontId="8" numFmtId="21" xfId="0" applyAlignment="1" applyBorder="1" applyFont="1" applyNumberFormat="1">
      <alignment horizontal="right" vertical="bottom"/>
    </xf>
    <xf borderId="0" fillId="4" fontId="8" numFmtId="21" xfId="0" applyAlignment="1" applyFont="1" applyNumberFormat="1">
      <alignment horizontal="right" vertical="bottom"/>
    </xf>
    <xf borderId="0" fillId="0" fontId="3" numFmtId="20" xfId="0" applyFont="1" applyNumberFormat="1"/>
    <xf borderId="0" fillId="0" fontId="8" numFmtId="0" xfId="0" applyAlignment="1" applyFont="1">
      <alignment horizontal="right" vertical="bottom"/>
    </xf>
    <xf borderId="10" fillId="0" fontId="2" numFmtId="0" xfId="0" applyAlignment="1" applyBorder="1" applyFont="1">
      <alignment readingOrder="0"/>
    </xf>
    <xf borderId="0" fillId="0" fontId="20" numFmtId="164" xfId="0" applyAlignment="1" applyFont="1" applyNumberFormat="1">
      <alignment horizontal="left" readingOrder="0"/>
    </xf>
    <xf borderId="0" fillId="0" fontId="12" numFmtId="0" xfId="0" applyAlignment="1" applyFont="1">
      <alignment horizontal="right" readingOrder="0" vertical="bottom"/>
    </xf>
    <xf borderId="0" fillId="10" fontId="8" numFmtId="21" xfId="0" applyAlignment="1" applyFont="1" applyNumberFormat="1">
      <alignment horizontal="right" vertical="bottom"/>
    </xf>
    <xf borderId="0" fillId="0" fontId="1" numFmtId="0" xfId="0" applyAlignment="1" applyFont="1">
      <alignment horizontal="left" readingOrder="0"/>
    </xf>
    <xf borderId="0" fillId="0" fontId="1" numFmtId="21" xfId="0" applyAlignment="1" applyFont="1" applyNumberFormat="1">
      <alignment readingOrder="0"/>
    </xf>
    <xf borderId="0" fillId="2" fontId="1" numFmtId="0" xfId="0" applyFont="1"/>
    <xf borderId="0" fillId="12" fontId="2" numFmtId="21" xfId="0" applyAlignment="1" applyFill="1" applyFont="1" applyNumberFormat="1">
      <alignment readingOrder="0"/>
    </xf>
    <xf borderId="0" fillId="13" fontId="2" numFmtId="21" xfId="0" applyAlignment="1" applyFill="1" applyFont="1" applyNumberFormat="1">
      <alignment readingOrder="0"/>
    </xf>
    <xf borderId="0" fillId="0" fontId="4" numFmtId="21" xfId="0" applyAlignment="1" applyFont="1" applyNumberFormat="1">
      <alignment readingOrder="0"/>
    </xf>
    <xf borderId="0" fillId="2" fontId="8" numFmtId="21" xfId="0" applyAlignment="1" applyFont="1" applyNumberFormat="1">
      <alignment horizontal="right" readingOrder="0" vertical="bottom"/>
    </xf>
    <xf borderId="0" fillId="0" fontId="8" numFmtId="21" xfId="0" applyAlignment="1" applyFont="1" applyNumberFormat="1">
      <alignment horizontal="right" readingOrder="0" vertical="bottom"/>
    </xf>
    <xf borderId="0" fillId="2" fontId="1" numFmtId="21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3" numFmtId="21" xfId="0" applyFont="1" applyNumberFormat="1"/>
    <xf borderId="0" fillId="0" fontId="3" numFmtId="0" xfId="0" applyFont="1"/>
    <xf borderId="0" fillId="0" fontId="2" numFmtId="0" xfId="0" applyFont="1"/>
    <xf borderId="0" fillId="7" fontId="2" numFmtId="21" xfId="0" applyFont="1" applyNumberFormat="1"/>
    <xf borderId="0" fillId="7" fontId="2" numFmtId="21" xfId="0" applyAlignment="1" applyFont="1" applyNumberFormat="1">
      <alignment readingOrder="0"/>
    </xf>
    <xf borderId="0" fillId="10" fontId="1" numFmtId="0" xfId="0" applyAlignment="1" applyFont="1">
      <alignment readingOrder="0"/>
    </xf>
    <xf borderId="0" fillId="10" fontId="2" numFmtId="0" xfId="0" applyAlignment="1" applyFont="1">
      <alignment readingOrder="0"/>
    </xf>
    <xf borderId="0" fillId="10" fontId="2" numFmtId="21" xfId="0" applyAlignment="1" applyFont="1" applyNumberFormat="1">
      <alignment readingOrder="0"/>
    </xf>
    <xf borderId="0" fillId="0" fontId="2" numFmtId="20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20" xfId="0" applyAlignment="1" applyFont="1" applyNumberFormat="1">
      <alignment horizontal="left"/>
    </xf>
    <xf quotePrefix="1" borderId="0" fillId="0" fontId="1" numFmtId="21" xfId="0" applyAlignment="1" applyFont="1" applyNumberFormat="1">
      <alignment readingOrder="0"/>
    </xf>
    <xf quotePrefix="1" borderId="0" fillId="0" fontId="12" numFmtId="0" xfId="0" applyAlignment="1" applyFont="1">
      <alignment readingOrder="0" vertical="bottom"/>
    </xf>
    <xf borderId="0" fillId="14" fontId="2" numFmtId="21" xfId="0" applyAlignment="1" applyFill="1" applyFont="1" applyNumberFormat="1">
      <alignment readingOrder="0"/>
    </xf>
    <xf borderId="0" fillId="11" fontId="2" numFmtId="0" xfId="0" applyAlignment="1" applyFont="1">
      <alignment readingOrder="0"/>
    </xf>
    <xf borderId="0" fillId="11" fontId="2" numFmtId="21" xfId="0" applyAlignment="1" applyFont="1" applyNumberFormat="1">
      <alignment readingOrder="0"/>
    </xf>
    <xf borderId="0" fillId="11" fontId="2" numFmtId="0" xfId="0" applyFont="1"/>
    <xf borderId="0" fillId="15" fontId="4" numFmtId="0" xfId="0" applyAlignment="1" applyFill="1" applyFont="1">
      <alignment readingOrder="0"/>
    </xf>
    <xf borderId="0" fillId="15" fontId="3" numFmtId="20" xfId="0" applyAlignment="1" applyFont="1" applyNumberFormat="1">
      <alignment readingOrder="0"/>
    </xf>
    <xf borderId="0" fillId="15" fontId="3" numFmtId="21" xfId="0" applyAlignment="1" applyFont="1" applyNumberFormat="1">
      <alignment readingOrder="0"/>
    </xf>
    <xf borderId="0" fillId="15" fontId="2" numFmtId="0" xfId="0" applyFont="1"/>
    <xf borderId="0" fillId="16" fontId="2" numFmtId="21" xfId="0" applyAlignment="1" applyFill="1" applyFont="1" applyNumberFormat="1">
      <alignment readingOrder="0"/>
    </xf>
    <xf borderId="0" fillId="0" fontId="4" numFmtId="0" xfId="0" applyFont="1"/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4400.0</v>
      </c>
      <c r="D2" s="1">
        <v>4402.0</v>
      </c>
      <c r="E2" s="1">
        <v>4420.0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</v>
      </c>
      <c r="B3" s="5" t="s">
        <v>5</v>
      </c>
      <c r="C3" s="6">
        <v>0.19444444444444445</v>
      </c>
      <c r="D3" s="6">
        <v>0.3125</v>
      </c>
      <c r="E3" s="6">
        <v>0.6840277777777778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6</v>
      </c>
      <c r="B4" s="7" t="s">
        <v>7</v>
      </c>
      <c r="C4" s="8">
        <v>0.19791666666666666</v>
      </c>
      <c r="D4" s="8">
        <v>0.3159722222222222</v>
      </c>
      <c r="E4" s="8">
        <v>0.6875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8</v>
      </c>
      <c r="B5" s="7" t="s">
        <v>9</v>
      </c>
      <c r="C5" s="8">
        <v>0.2</v>
      </c>
      <c r="D5" s="8">
        <v>0.31805555555555554</v>
      </c>
      <c r="E5" s="8">
        <v>0.6895833333333333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</v>
      </c>
      <c r="B6" s="7" t="s">
        <v>11</v>
      </c>
      <c r="C6" s="8">
        <v>0.20833333333333334</v>
      </c>
      <c r="D6" s="8">
        <v>0.3263888888888889</v>
      </c>
      <c r="E6" s="8">
        <v>0.6979166666666666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12</v>
      </c>
      <c r="B7" s="9" t="s">
        <v>13</v>
      </c>
      <c r="C7" s="8">
        <v>0.21180555555555555</v>
      </c>
      <c r="D7" s="8">
        <v>0.3298611111111111</v>
      </c>
      <c r="E7" s="8">
        <v>0.7013888888888888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14</v>
      </c>
      <c r="B8" s="9" t="s">
        <v>15</v>
      </c>
      <c r="C8" s="8">
        <v>0.21597222222222223</v>
      </c>
      <c r="D8" s="8">
        <v>0.33402777777777776</v>
      </c>
      <c r="E8" s="8">
        <v>0.7055555555555556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16</v>
      </c>
      <c r="B9" s="9" t="s">
        <v>17</v>
      </c>
      <c r="C9" s="8">
        <v>0.21875</v>
      </c>
      <c r="D9" s="8">
        <v>0.3368055555555556</v>
      </c>
      <c r="E9" s="8">
        <v>0.7083333333333334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18</v>
      </c>
      <c r="B10" s="9" t="s">
        <v>19</v>
      </c>
      <c r="C10" s="8">
        <v>0.22361111111111112</v>
      </c>
      <c r="D10" s="8">
        <v>0.3416666666666667</v>
      </c>
      <c r="E10" s="8">
        <v>0.7131944444444445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9" t="s">
        <v>21</v>
      </c>
      <c r="C11" s="8">
        <v>0.22708333333333333</v>
      </c>
      <c r="D11" s="8">
        <v>0.3451388888888889</v>
      </c>
      <c r="E11" s="8">
        <v>0.7166666666666667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22</v>
      </c>
      <c r="B12" s="9" t="s">
        <v>23</v>
      </c>
      <c r="C12" s="8">
        <v>0.23194444444444445</v>
      </c>
      <c r="D12" s="8">
        <v>0.35</v>
      </c>
      <c r="E12" s="8">
        <v>0.7215277777777778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24</v>
      </c>
      <c r="B13" s="10" t="s">
        <v>25</v>
      </c>
      <c r="C13" s="8">
        <v>0.2361111111111111</v>
      </c>
      <c r="D13" s="8">
        <v>0.3541666666666667</v>
      </c>
      <c r="E13" s="8">
        <v>0.7256944444444444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</cols>
  <sheetData>
    <row r="9">
      <c r="B9" s="11" t="s">
        <v>27</v>
      </c>
      <c r="C9" s="16" t="s">
        <v>28</v>
      </c>
      <c r="D9" s="11">
        <v>502.0</v>
      </c>
      <c r="E9" s="11">
        <v>624.0</v>
      </c>
      <c r="F9" s="11">
        <v>604.0</v>
      </c>
      <c r="G9" s="11">
        <v>506.0</v>
      </c>
      <c r="H9" s="11">
        <v>626.0</v>
      </c>
      <c r="I9" s="11">
        <v>628.0</v>
      </c>
      <c r="J9" s="11">
        <v>512.0</v>
      </c>
      <c r="K9" s="11">
        <v>616.0</v>
      </c>
      <c r="L9" s="11">
        <v>630.0</v>
      </c>
      <c r="M9" s="11">
        <v>514.0</v>
      </c>
      <c r="N9" s="11">
        <v>632.0</v>
      </c>
      <c r="O9" s="11">
        <v>618.0</v>
      </c>
      <c r="P9" s="11">
        <v>516.0</v>
      </c>
      <c r="Q9" s="11">
        <v>634.0</v>
      </c>
      <c r="R9" s="11">
        <v>518.0</v>
      </c>
      <c r="S9" s="11">
        <v>636.0</v>
      </c>
      <c r="T9" s="11">
        <v>520.0</v>
      </c>
      <c r="U9" s="11">
        <v>638.0</v>
      </c>
      <c r="V9" s="11">
        <v>522.0</v>
      </c>
      <c r="W9" s="11">
        <v>620.0</v>
      </c>
      <c r="X9" s="11">
        <v>640.0</v>
      </c>
      <c r="Y9" s="11">
        <v>524.0</v>
      </c>
      <c r="Z9" s="11">
        <v>642.0</v>
      </c>
      <c r="AA9" s="11">
        <v>526.0</v>
      </c>
      <c r="AB9" s="11">
        <v>622.0</v>
      </c>
      <c r="AC9" s="11">
        <v>644.0</v>
      </c>
      <c r="AD9" s="11">
        <v>528.0</v>
      </c>
      <c r="AE9" s="11">
        <v>646.0</v>
      </c>
      <c r="AF9" s="11">
        <v>654.0</v>
      </c>
      <c r="AG9" s="11">
        <v>530.0</v>
      </c>
      <c r="AH9" s="11"/>
      <c r="AI9" s="11"/>
      <c r="AJ9" s="11"/>
      <c r="AK9" s="11"/>
    </row>
    <row r="10">
      <c r="B10" s="13" t="s">
        <v>24</v>
      </c>
      <c r="C10" s="17"/>
      <c r="D10" s="17"/>
      <c r="E10" s="14">
        <v>0.2152777777777778</v>
      </c>
      <c r="F10" s="14">
        <v>0.2361111111111111</v>
      </c>
      <c r="G10" s="17"/>
      <c r="H10" s="14">
        <v>0.2638888888888889</v>
      </c>
      <c r="I10" s="14">
        <v>0.3125</v>
      </c>
      <c r="J10" s="17"/>
      <c r="K10" s="14">
        <v>0.3402777777777778</v>
      </c>
      <c r="L10" s="14">
        <v>0.3645833333333333</v>
      </c>
      <c r="M10" s="17"/>
      <c r="N10" s="14">
        <v>0.4131944444444444</v>
      </c>
      <c r="O10" s="14">
        <v>0.4479166666666667</v>
      </c>
      <c r="P10" s="17"/>
      <c r="Q10" s="14">
        <v>0.4618055555555556</v>
      </c>
      <c r="R10" s="17"/>
      <c r="S10" s="14">
        <v>0.5104166666666666</v>
      </c>
      <c r="T10" s="17"/>
      <c r="U10" s="14">
        <v>0.5590277777777778</v>
      </c>
      <c r="V10" s="17"/>
      <c r="W10" s="14">
        <v>0.6006944444444444</v>
      </c>
      <c r="X10" s="14">
        <v>0.6076388888888888</v>
      </c>
      <c r="Y10" s="17"/>
      <c r="Z10" s="14">
        <v>0.65625</v>
      </c>
      <c r="AA10" s="17"/>
      <c r="AB10" s="14">
        <v>0.7013888888888888</v>
      </c>
      <c r="AC10" s="14">
        <v>0.7118055555555556</v>
      </c>
      <c r="AD10" s="17"/>
      <c r="AE10" s="14">
        <v>0.7604166666666666</v>
      </c>
      <c r="AF10" s="14">
        <v>0.8055555555555556</v>
      </c>
      <c r="AG10" s="17"/>
      <c r="AH10" s="17"/>
      <c r="AI10" s="17"/>
      <c r="AJ10" s="17"/>
      <c r="AK10" s="17"/>
    </row>
    <row r="11">
      <c r="B11" s="11" t="s">
        <v>29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>
      <c r="B12" s="11" t="s">
        <v>30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>
      <c r="B13" s="11" t="s">
        <v>31</v>
      </c>
      <c r="C13" s="17"/>
      <c r="D13" s="17"/>
      <c r="E13" s="14">
        <v>0.22361111111111112</v>
      </c>
      <c r="F13" s="14">
        <v>0.24375</v>
      </c>
      <c r="G13" s="17"/>
      <c r="H13" s="14">
        <v>0.2722222222222222</v>
      </c>
      <c r="I13" s="14">
        <v>0.32083333333333336</v>
      </c>
      <c r="J13" s="17"/>
      <c r="K13" s="14">
        <v>0.34791666666666665</v>
      </c>
      <c r="L13" s="14">
        <v>0.3729166666666667</v>
      </c>
      <c r="M13" s="17"/>
      <c r="N13" s="14">
        <v>0.4215277777777778</v>
      </c>
      <c r="O13" s="14">
        <v>0.45555555555555555</v>
      </c>
      <c r="P13" s="17"/>
      <c r="Q13" s="14">
        <v>0.4701388888888889</v>
      </c>
      <c r="R13" s="17"/>
      <c r="S13" s="14">
        <v>0.51875</v>
      </c>
      <c r="T13" s="17"/>
      <c r="U13" s="14">
        <v>0.5673611111111111</v>
      </c>
      <c r="V13" s="17"/>
      <c r="W13" s="14">
        <v>0.6083333333333333</v>
      </c>
      <c r="X13" s="14">
        <v>0.6159722222222223</v>
      </c>
      <c r="Y13" s="17"/>
      <c r="Z13" s="14">
        <v>0.6645833333333333</v>
      </c>
      <c r="AA13" s="17"/>
      <c r="AB13" s="14">
        <v>0.7090277777777778</v>
      </c>
      <c r="AC13" s="14">
        <v>0.7201388888888889</v>
      </c>
      <c r="AD13" s="17"/>
      <c r="AE13" s="14">
        <v>0.76875</v>
      </c>
      <c r="AF13" s="14">
        <v>0.8138888888888889</v>
      </c>
      <c r="AG13" s="17"/>
      <c r="AH13" s="17"/>
      <c r="AI13" s="17"/>
      <c r="AJ13" s="17"/>
      <c r="AK13" s="17"/>
    </row>
    <row r="14">
      <c r="B14" s="11" t="s">
        <v>32</v>
      </c>
      <c r="C14" s="17"/>
      <c r="D14" s="17"/>
      <c r="E14" s="14">
        <v>0.2263888888888889</v>
      </c>
      <c r="F14" s="14">
        <v>0.2465277777777778</v>
      </c>
      <c r="G14" s="17"/>
      <c r="H14" s="14">
        <v>0.275</v>
      </c>
      <c r="I14" s="14">
        <v>0.3236111111111111</v>
      </c>
      <c r="J14" s="17"/>
      <c r="K14" s="14">
        <v>0.3506944444444444</v>
      </c>
      <c r="L14" s="14">
        <v>0.37569444444444444</v>
      </c>
      <c r="M14" s="17"/>
      <c r="N14" s="14">
        <v>0.42430555555555555</v>
      </c>
      <c r="O14" s="14">
        <v>0.4583333333333333</v>
      </c>
      <c r="P14" s="17"/>
      <c r="Q14" s="14">
        <v>0.47291666666666665</v>
      </c>
      <c r="R14" s="17"/>
      <c r="S14" s="14">
        <v>0.5215277777777778</v>
      </c>
      <c r="T14" s="17"/>
      <c r="U14" s="14">
        <v>0.5701388888888889</v>
      </c>
      <c r="V14" s="17"/>
      <c r="W14" s="14">
        <v>0.6111111111111112</v>
      </c>
      <c r="X14" s="14">
        <v>0.61875</v>
      </c>
      <c r="Y14" s="17"/>
      <c r="Z14" s="14">
        <v>0.6673611111111111</v>
      </c>
      <c r="AA14" s="17"/>
      <c r="AB14" s="14">
        <v>0.7118055555555556</v>
      </c>
      <c r="AC14" s="14">
        <v>0.7229166666666667</v>
      </c>
      <c r="AD14" s="17"/>
      <c r="AE14" s="14">
        <v>0.7715277777777778</v>
      </c>
      <c r="AF14" s="14">
        <v>0.8173611111111111</v>
      </c>
      <c r="AG14" s="17"/>
      <c r="AH14" s="17"/>
      <c r="AI14" s="17"/>
      <c r="AJ14" s="17"/>
      <c r="AK14" s="17"/>
    </row>
    <row r="15">
      <c r="B15" s="11" t="s">
        <v>33</v>
      </c>
      <c r="C15" s="17"/>
      <c r="D15" s="17"/>
      <c r="E15" s="18">
        <v>0.2326388888888889</v>
      </c>
      <c r="F15" s="14">
        <v>0.2520833333333333</v>
      </c>
      <c r="G15" s="17"/>
      <c r="H15" s="18">
        <v>0.28125</v>
      </c>
      <c r="I15" s="18">
        <v>0.3298611111111111</v>
      </c>
      <c r="J15" s="17"/>
      <c r="K15" s="14">
        <v>0.35625</v>
      </c>
      <c r="L15" s="18">
        <v>0.3819444444444444</v>
      </c>
      <c r="M15" s="17"/>
      <c r="N15" s="14">
        <v>0.4305555555555556</v>
      </c>
      <c r="O15" s="14">
        <v>0.4638888888888889</v>
      </c>
      <c r="P15" s="17"/>
      <c r="Q15" s="19">
        <v>0.4791666666666667</v>
      </c>
      <c r="R15" s="17"/>
      <c r="S15" s="19">
        <v>0.5277777777777778</v>
      </c>
      <c r="T15" s="17"/>
      <c r="U15" s="19">
        <v>0.5763888888888888</v>
      </c>
      <c r="V15" s="17"/>
      <c r="W15" s="14">
        <v>0.6166666666666667</v>
      </c>
      <c r="X15" s="19">
        <v>0.625</v>
      </c>
      <c r="Y15" s="17"/>
      <c r="Z15" s="19">
        <v>0.6736111111111112</v>
      </c>
      <c r="AA15" s="17"/>
      <c r="AB15" s="19">
        <v>0.7173611111111111</v>
      </c>
      <c r="AC15" s="19">
        <v>0.7291666666666666</v>
      </c>
      <c r="AD15" s="17"/>
      <c r="AE15" s="19">
        <v>0.7777777777777778</v>
      </c>
      <c r="AF15" s="14">
        <v>0.8229166666666666</v>
      </c>
      <c r="AG15" s="17"/>
      <c r="AH15" s="17"/>
      <c r="AI15" s="17"/>
      <c r="AJ15" s="17"/>
      <c r="AK15" s="17"/>
    </row>
    <row r="16">
      <c r="B16" s="11" t="s">
        <v>34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>
      <c r="B17" s="11" t="s">
        <v>35</v>
      </c>
      <c r="C17" s="17"/>
      <c r="D17" s="17"/>
      <c r="E17" s="17"/>
      <c r="F17" s="14">
        <v>0.2611111111111111</v>
      </c>
      <c r="G17" s="17"/>
      <c r="H17" s="17"/>
      <c r="I17" s="17"/>
      <c r="J17" s="17"/>
      <c r="K17" s="14">
        <v>0.36527777777777776</v>
      </c>
      <c r="L17" s="17"/>
      <c r="M17" s="17"/>
      <c r="N17" s="17"/>
      <c r="O17" s="14">
        <v>0.47291666666666665</v>
      </c>
      <c r="P17" s="17"/>
      <c r="Q17" s="17"/>
      <c r="R17" s="17"/>
      <c r="S17" s="17"/>
      <c r="T17" s="17"/>
      <c r="U17" s="17"/>
      <c r="V17" s="17"/>
      <c r="W17" s="14">
        <v>0.6256944444444444</v>
      </c>
      <c r="X17" s="17"/>
      <c r="Y17" s="17"/>
      <c r="Z17" s="17"/>
      <c r="AA17" s="17"/>
      <c r="AB17" s="17"/>
      <c r="AC17" s="17"/>
      <c r="AD17" s="17"/>
      <c r="AE17" s="17"/>
      <c r="AF17" s="14">
        <v>0.8333333333333334</v>
      </c>
      <c r="AG17" s="17"/>
      <c r="AH17" s="17"/>
      <c r="AI17" s="17"/>
      <c r="AJ17" s="17"/>
      <c r="AK17" s="17"/>
    </row>
    <row r="18">
      <c r="B18" s="11" t="s">
        <v>36</v>
      </c>
      <c r="C18" s="17"/>
      <c r="D18" s="17"/>
      <c r="E18" s="17"/>
      <c r="F18" s="14">
        <v>0.26666666666666666</v>
      </c>
      <c r="G18" s="17"/>
      <c r="H18" s="17"/>
      <c r="I18" s="17"/>
      <c r="J18" s="17"/>
      <c r="K18" s="14">
        <v>0.37083333333333335</v>
      </c>
      <c r="L18" s="17"/>
      <c r="M18" s="17"/>
      <c r="N18" s="17"/>
      <c r="O18" s="14">
        <v>0.47847222222222224</v>
      </c>
      <c r="P18" s="17"/>
      <c r="Q18" s="17"/>
      <c r="R18" s="17"/>
      <c r="S18" s="17"/>
      <c r="T18" s="17"/>
      <c r="U18" s="17"/>
      <c r="V18" s="17"/>
      <c r="W18" s="14">
        <v>0.63125</v>
      </c>
      <c r="X18" s="17"/>
      <c r="Y18" s="17"/>
      <c r="Z18" s="17"/>
      <c r="AA18" s="17"/>
      <c r="AB18" s="17"/>
      <c r="AC18" s="17"/>
      <c r="AD18" s="17"/>
      <c r="AE18" s="17"/>
      <c r="AF18" s="14">
        <v>0.8388888888888889</v>
      </c>
      <c r="AG18" s="17"/>
      <c r="AH18" s="17"/>
      <c r="AI18" s="17"/>
      <c r="AJ18" s="17"/>
      <c r="AK18" s="17"/>
    </row>
    <row r="19">
      <c r="A19" s="20"/>
      <c r="B19" s="21" t="s">
        <v>37</v>
      </c>
      <c r="C19" s="22">
        <v>0.1527777777777778</v>
      </c>
      <c r="D19" s="22">
        <v>0.21180555555555555</v>
      </c>
      <c r="E19" s="23"/>
      <c r="F19" s="23"/>
      <c r="G19" s="22">
        <v>0.2569444444444444</v>
      </c>
      <c r="H19" s="23"/>
      <c r="I19" s="23"/>
      <c r="J19" s="22">
        <v>0.3229166666666667</v>
      </c>
      <c r="K19" s="23"/>
      <c r="L19" s="23"/>
      <c r="M19" s="22">
        <v>0.3715277777777778</v>
      </c>
      <c r="N19" s="23"/>
      <c r="O19" s="23"/>
      <c r="P19" s="22">
        <v>0.4479166666666667</v>
      </c>
      <c r="Q19" s="23"/>
      <c r="R19" s="22">
        <v>0.4895833333333333</v>
      </c>
      <c r="S19" s="23"/>
      <c r="T19" s="22">
        <v>0.5520833333333334</v>
      </c>
      <c r="U19" s="23"/>
      <c r="V19" s="22">
        <v>0.59375</v>
      </c>
      <c r="W19" s="23"/>
      <c r="X19" s="23"/>
      <c r="Y19" s="22">
        <v>0.65625</v>
      </c>
      <c r="Z19" s="23"/>
      <c r="AA19" s="22">
        <v>0.6979166666666666</v>
      </c>
      <c r="AB19" s="23"/>
      <c r="AC19" s="23"/>
      <c r="AD19" s="22">
        <v>0.7604166666666666</v>
      </c>
      <c r="AE19" s="23"/>
      <c r="AF19" s="23"/>
      <c r="AG19" s="22">
        <v>0.8159722222222222</v>
      </c>
      <c r="AH19" s="22"/>
      <c r="AI19" s="22"/>
      <c r="AJ19" s="22"/>
      <c r="AK19" s="24"/>
    </row>
    <row r="20">
      <c r="A20" s="25"/>
      <c r="B20" s="13" t="s">
        <v>38</v>
      </c>
      <c r="C20" s="18">
        <v>0.15694444444444444</v>
      </c>
      <c r="D20" s="18">
        <v>0.21597222222222223</v>
      </c>
      <c r="E20" s="26"/>
      <c r="F20" s="26"/>
      <c r="G20" s="18">
        <v>0.2611111111111111</v>
      </c>
      <c r="H20" s="26"/>
      <c r="I20" s="26"/>
      <c r="J20" s="18">
        <v>0.32708333333333334</v>
      </c>
      <c r="K20" s="26"/>
      <c r="L20" s="26"/>
      <c r="M20" s="18">
        <v>0.37569444444444444</v>
      </c>
      <c r="N20" s="26"/>
      <c r="O20" s="26"/>
      <c r="P20" s="18">
        <v>0.45208333333333334</v>
      </c>
      <c r="Q20" s="26"/>
      <c r="R20" s="18">
        <v>0.49375</v>
      </c>
      <c r="S20" s="26"/>
      <c r="T20" s="18">
        <v>0.55625</v>
      </c>
      <c r="U20" s="26"/>
      <c r="V20" s="18">
        <v>0.5979166666666667</v>
      </c>
      <c r="W20" s="26"/>
      <c r="X20" s="26"/>
      <c r="Y20" s="18">
        <v>0.6604166666666667</v>
      </c>
      <c r="Z20" s="26"/>
      <c r="AA20" s="18">
        <v>0.7020833333333333</v>
      </c>
      <c r="AB20" s="26"/>
      <c r="AC20" s="26"/>
      <c r="AD20" s="18">
        <v>0.7645833333333333</v>
      </c>
      <c r="AE20" s="26"/>
      <c r="AF20" s="26"/>
      <c r="AG20" s="18">
        <v>0.8201388888888889</v>
      </c>
      <c r="AH20" s="18"/>
      <c r="AI20" s="18"/>
      <c r="AJ20" s="18"/>
      <c r="AK20" s="27"/>
    </row>
    <row r="21">
      <c r="A21" s="28"/>
      <c r="B21" s="29" t="s">
        <v>39</v>
      </c>
      <c r="C21" s="30">
        <v>0.16111111111111112</v>
      </c>
      <c r="D21" s="30">
        <v>0.22013888888888888</v>
      </c>
      <c r="E21" s="31"/>
      <c r="F21" s="31"/>
      <c r="G21" s="30">
        <v>0.2652777777777778</v>
      </c>
      <c r="H21" s="31"/>
      <c r="I21" s="31"/>
      <c r="J21" s="30">
        <v>0.33125</v>
      </c>
      <c r="K21" s="31"/>
      <c r="L21" s="31"/>
      <c r="M21" s="30">
        <v>0.3798611111111111</v>
      </c>
      <c r="N21" s="31"/>
      <c r="O21" s="31"/>
      <c r="P21" s="30">
        <v>0.45625</v>
      </c>
      <c r="Q21" s="31"/>
      <c r="R21" s="30">
        <v>0.4979166666666667</v>
      </c>
      <c r="S21" s="31"/>
      <c r="T21" s="30">
        <v>0.5604166666666667</v>
      </c>
      <c r="U21" s="31"/>
      <c r="V21" s="30">
        <v>0.6020833333333333</v>
      </c>
      <c r="W21" s="31"/>
      <c r="X21" s="31"/>
      <c r="Y21" s="30">
        <v>0.6645833333333333</v>
      </c>
      <c r="Z21" s="31"/>
      <c r="AA21" s="30">
        <v>0.70625</v>
      </c>
      <c r="AB21" s="31"/>
      <c r="AC21" s="31"/>
      <c r="AD21" s="30">
        <v>0.76875</v>
      </c>
      <c r="AE21" s="31"/>
      <c r="AF21" s="31"/>
      <c r="AG21" s="30">
        <v>0.8243055555555555</v>
      </c>
      <c r="AH21" s="30"/>
      <c r="AI21" s="30"/>
      <c r="AJ21" s="30"/>
      <c r="AK21" s="32"/>
    </row>
    <row r="22">
      <c r="B22" s="11" t="s">
        <v>40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>
      <c r="B23" s="11" t="s">
        <v>41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>
      <c r="B24" s="11" t="s">
        <v>42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>
      <c r="B25" s="11" t="s">
        <v>43</v>
      </c>
      <c r="C25" s="14">
        <v>0.17777777777777778</v>
      </c>
      <c r="D25" s="14">
        <v>0.23680555555555555</v>
      </c>
      <c r="E25" s="17"/>
      <c r="F25" s="33">
        <v>0.2777777777777778</v>
      </c>
      <c r="G25" s="14">
        <v>0.28194444444444444</v>
      </c>
      <c r="H25" s="17"/>
      <c r="I25" s="17"/>
      <c r="J25" s="14">
        <v>0.34791666666666665</v>
      </c>
      <c r="K25" s="33">
        <v>0.3819444444444444</v>
      </c>
      <c r="L25" s="17"/>
      <c r="M25" s="14">
        <v>0.39652777777777776</v>
      </c>
      <c r="N25" s="17"/>
      <c r="O25" s="19">
        <v>0.4895833333333333</v>
      </c>
      <c r="P25" s="14">
        <v>0.47291666666666665</v>
      </c>
      <c r="Q25" s="17"/>
      <c r="R25" s="14">
        <v>0.5145833333333333</v>
      </c>
      <c r="S25" s="17"/>
      <c r="T25" s="14">
        <v>0.5770833333333333</v>
      </c>
      <c r="U25" s="17"/>
      <c r="V25" s="14">
        <v>0.61875</v>
      </c>
      <c r="W25" s="19">
        <v>0.6423611111111112</v>
      </c>
      <c r="X25" s="17"/>
      <c r="Y25" s="14">
        <v>0.68125</v>
      </c>
      <c r="Z25" s="17"/>
      <c r="AA25" s="14">
        <v>0.7229166666666667</v>
      </c>
      <c r="AB25" s="19">
        <v>0.7430555555555556</v>
      </c>
      <c r="AC25" s="17"/>
      <c r="AD25" s="14">
        <v>0.7854166666666667</v>
      </c>
      <c r="AE25" s="17"/>
      <c r="AF25" s="14">
        <v>0.8520833333333333</v>
      </c>
      <c r="AG25" s="14">
        <v>0.8409722222222222</v>
      </c>
      <c r="AH25" s="14"/>
      <c r="AI25" s="14"/>
      <c r="AJ25" s="14"/>
      <c r="AK25" s="14"/>
    </row>
    <row r="26">
      <c r="B26" s="11" t="s">
        <v>44</v>
      </c>
      <c r="C26" s="14">
        <v>0.18125</v>
      </c>
      <c r="D26" s="14">
        <v>0.24027777777777778</v>
      </c>
      <c r="E26" s="17"/>
      <c r="F26" s="17"/>
      <c r="G26" s="14">
        <v>0.28541666666666665</v>
      </c>
      <c r="H26" s="17"/>
      <c r="I26" s="17"/>
      <c r="J26" s="14">
        <v>0.35138888888888886</v>
      </c>
      <c r="K26" s="17"/>
      <c r="L26" s="17"/>
      <c r="M26" s="14">
        <v>0.4</v>
      </c>
      <c r="N26" s="17"/>
      <c r="O26" s="17"/>
      <c r="P26" s="14">
        <v>0.47638888888888886</v>
      </c>
      <c r="Q26" s="17"/>
      <c r="R26" s="14">
        <v>0.5180555555555556</v>
      </c>
      <c r="S26" s="17"/>
      <c r="T26" s="14">
        <v>0.5805555555555556</v>
      </c>
      <c r="U26" s="17"/>
      <c r="V26" s="14">
        <v>0.6222222222222222</v>
      </c>
      <c r="W26" s="17"/>
      <c r="X26" s="17"/>
      <c r="Y26" s="14">
        <v>0.6847222222222222</v>
      </c>
      <c r="Z26" s="17"/>
      <c r="AA26" s="14">
        <v>0.7263888888888889</v>
      </c>
      <c r="AB26" s="17"/>
      <c r="AC26" s="17"/>
      <c r="AD26" s="14">
        <v>0.7888888888888889</v>
      </c>
      <c r="AE26" s="17"/>
      <c r="AF26" s="14">
        <v>0.8548611111111111</v>
      </c>
      <c r="AG26" s="14">
        <v>0.8444444444444444</v>
      </c>
      <c r="AH26" s="14"/>
      <c r="AI26" s="14"/>
      <c r="AJ26" s="14"/>
      <c r="AK26" s="14"/>
    </row>
    <row r="27">
      <c r="B27" s="11" t="s">
        <v>45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>
      <c r="B28" s="11" t="s">
        <v>46</v>
      </c>
    </row>
    <row r="29">
      <c r="B29" s="11" t="s">
        <v>47</v>
      </c>
      <c r="C29" s="14">
        <v>0.18819444444444444</v>
      </c>
      <c r="D29" s="14">
        <v>0.24722222222222223</v>
      </c>
      <c r="E29" s="17"/>
      <c r="G29" s="14">
        <v>0.2923611111111111</v>
      </c>
      <c r="H29" s="17"/>
      <c r="I29" s="17"/>
      <c r="J29" s="14">
        <v>0.3590277777777778</v>
      </c>
      <c r="K29" s="17"/>
      <c r="L29" s="17"/>
      <c r="M29" s="14">
        <v>0.4076388888888889</v>
      </c>
      <c r="N29" s="17"/>
      <c r="O29" s="17"/>
      <c r="P29" s="14">
        <v>0.4840277777777778</v>
      </c>
      <c r="Q29" s="17"/>
      <c r="R29" s="14">
        <v>0.5256944444444445</v>
      </c>
      <c r="S29" s="17"/>
      <c r="T29" s="14">
        <v>0.5881944444444445</v>
      </c>
      <c r="U29" s="17"/>
      <c r="V29" s="14">
        <v>0.6298611111111111</v>
      </c>
      <c r="W29" s="17"/>
      <c r="X29" s="17"/>
      <c r="Y29" s="14">
        <v>0.6923611111111111</v>
      </c>
      <c r="Z29" s="17"/>
      <c r="AA29" s="14">
        <v>0.7340277777777777</v>
      </c>
      <c r="AB29" s="17"/>
      <c r="AC29" s="17"/>
      <c r="AD29" s="14">
        <v>0.7965277777777777</v>
      </c>
      <c r="AE29" s="17"/>
      <c r="AF29" s="19">
        <v>0.8590277777777777</v>
      </c>
      <c r="AG29" s="14">
        <v>0.8520833333333333</v>
      </c>
      <c r="AH29" s="14"/>
      <c r="AI29" s="14"/>
      <c r="AJ29" s="14"/>
      <c r="AK29" s="14"/>
    </row>
    <row r="30">
      <c r="B30" s="11" t="s">
        <v>48</v>
      </c>
      <c r="C30" s="17"/>
      <c r="D30" s="17"/>
      <c r="E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>
      <c r="B31" s="13" t="s">
        <v>49</v>
      </c>
      <c r="C31" s="14">
        <v>0.19791666666666666</v>
      </c>
      <c r="D31" s="14">
        <v>0.2569444444444444</v>
      </c>
      <c r="E31" s="17"/>
      <c r="G31" s="14">
        <v>0.3020833333333333</v>
      </c>
      <c r="H31" s="17"/>
      <c r="I31" s="17"/>
      <c r="J31" s="14">
        <v>0.36875</v>
      </c>
      <c r="K31" s="17"/>
      <c r="L31" s="17"/>
      <c r="M31" s="14">
        <v>0.4173611111111111</v>
      </c>
      <c r="N31" s="17"/>
      <c r="O31" s="17"/>
      <c r="P31" s="14">
        <v>0.49375</v>
      </c>
      <c r="Q31" s="17"/>
      <c r="R31" s="14">
        <v>0.5354166666666667</v>
      </c>
      <c r="S31" s="17"/>
      <c r="T31" s="14">
        <v>0.5979166666666667</v>
      </c>
      <c r="U31" s="17"/>
      <c r="V31" s="14">
        <v>0.6395833333333333</v>
      </c>
      <c r="W31" s="17"/>
      <c r="X31" s="17"/>
      <c r="Y31" s="14">
        <v>0.7020833333333333</v>
      </c>
      <c r="Z31" s="17"/>
      <c r="AA31" s="14">
        <v>0.74375</v>
      </c>
      <c r="AB31" s="17"/>
      <c r="AC31" s="17"/>
      <c r="AD31" s="14">
        <v>0.80625</v>
      </c>
      <c r="AE31" s="17"/>
      <c r="AF31" s="17"/>
      <c r="AG31" s="14">
        <v>0.8618055555555556</v>
      </c>
      <c r="AH31" s="14"/>
      <c r="AI31" s="14"/>
      <c r="AJ31" s="14"/>
      <c r="AK31" s="14"/>
    </row>
    <row r="43">
      <c r="B43" s="11" t="s">
        <v>27</v>
      </c>
      <c r="C43" s="11">
        <v>603.0</v>
      </c>
      <c r="D43" s="11">
        <v>501.0</v>
      </c>
      <c r="E43" s="11">
        <v>625.0</v>
      </c>
      <c r="F43" s="11">
        <v>505.0</v>
      </c>
      <c r="G43" s="11">
        <v>615.0</v>
      </c>
      <c r="H43" s="11">
        <v>627.0</v>
      </c>
      <c r="I43" s="11">
        <v>507.0</v>
      </c>
      <c r="J43" s="11">
        <v>629.0</v>
      </c>
      <c r="K43" s="11">
        <v>631.0</v>
      </c>
      <c r="L43" s="11">
        <v>617.0</v>
      </c>
      <c r="M43" s="11">
        <v>509.0</v>
      </c>
      <c r="N43" s="11">
        <v>633.0</v>
      </c>
      <c r="O43" s="11">
        <v>511.0</v>
      </c>
      <c r="P43" s="11">
        <v>635.0</v>
      </c>
      <c r="Q43" s="11">
        <v>619.0</v>
      </c>
      <c r="R43" s="11">
        <v>513.0</v>
      </c>
      <c r="S43" s="11">
        <v>637.0</v>
      </c>
      <c r="T43" s="11">
        <v>515.0</v>
      </c>
      <c r="U43" s="11">
        <v>639.0</v>
      </c>
      <c r="V43" s="11">
        <v>517.0</v>
      </c>
      <c r="W43" s="11">
        <v>641.0</v>
      </c>
      <c r="X43" s="11">
        <v>519.0</v>
      </c>
      <c r="Y43" s="11">
        <v>621.0</v>
      </c>
      <c r="Z43" s="11">
        <v>643.0</v>
      </c>
      <c r="AA43" s="11">
        <v>521.0</v>
      </c>
      <c r="AB43" s="11">
        <v>645.0</v>
      </c>
      <c r="AC43" s="11">
        <v>623.0</v>
      </c>
      <c r="AD43" s="11">
        <v>523.0</v>
      </c>
      <c r="AE43" s="11">
        <v>647.0</v>
      </c>
      <c r="AF43" s="11">
        <v>525.0</v>
      </c>
    </row>
    <row r="44">
      <c r="B44" s="13" t="s">
        <v>49</v>
      </c>
      <c r="C44" s="17"/>
      <c r="D44" s="14">
        <v>0.2048611111111111</v>
      </c>
      <c r="E44" s="17"/>
      <c r="F44" s="14">
        <v>0.2708333333333333</v>
      </c>
      <c r="G44" s="17"/>
      <c r="H44" s="17"/>
      <c r="I44" s="14">
        <v>0.3194444444444444</v>
      </c>
      <c r="J44" s="17"/>
      <c r="K44" s="17"/>
      <c r="L44" s="17"/>
      <c r="M44" s="14">
        <v>0.3958333333333333</v>
      </c>
      <c r="N44" s="17"/>
      <c r="O44" s="14">
        <v>0.4375</v>
      </c>
      <c r="P44" s="17"/>
      <c r="Q44" s="17"/>
      <c r="R44" s="14">
        <v>0.5</v>
      </c>
      <c r="S44" s="17"/>
      <c r="T44" s="14">
        <v>0.5416666666666666</v>
      </c>
      <c r="U44" s="17"/>
      <c r="V44" s="14">
        <v>0.6041666666666666</v>
      </c>
      <c r="W44" s="17"/>
      <c r="X44" s="14">
        <v>0.6458333333333334</v>
      </c>
      <c r="Y44" s="17"/>
      <c r="Z44" s="17"/>
      <c r="AA44" s="14">
        <v>0.7083333333333334</v>
      </c>
      <c r="AB44" s="17"/>
      <c r="AC44" s="17"/>
      <c r="AD44" s="14">
        <v>0.7638888888888888</v>
      </c>
      <c r="AE44" s="17"/>
      <c r="AF44" s="14">
        <v>0.8194444444444444</v>
      </c>
    </row>
    <row r="45">
      <c r="B45" s="11" t="s">
        <v>48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>
      <c r="B46" s="11" t="s">
        <v>47</v>
      </c>
      <c r="C46" s="34"/>
      <c r="D46" s="14">
        <v>0.21388888888888888</v>
      </c>
      <c r="E46" s="17"/>
      <c r="F46" s="14">
        <v>0.2798611111111111</v>
      </c>
      <c r="G46" s="17"/>
      <c r="H46" s="17"/>
      <c r="I46" s="14">
        <v>0.32916666666666666</v>
      </c>
      <c r="J46" s="17"/>
      <c r="K46" s="17"/>
      <c r="L46" s="17"/>
      <c r="M46" s="14">
        <v>0.40555555555555556</v>
      </c>
      <c r="N46" s="17"/>
      <c r="O46" s="14">
        <v>0.44722222222222224</v>
      </c>
      <c r="P46" s="17"/>
      <c r="Q46" s="17"/>
      <c r="R46" s="14">
        <v>0.5097222222222222</v>
      </c>
      <c r="S46" s="17"/>
      <c r="T46" s="14">
        <v>0.5513888888888889</v>
      </c>
      <c r="U46" s="17"/>
      <c r="V46" s="14">
        <v>0.6131944444444445</v>
      </c>
      <c r="W46" s="17"/>
      <c r="X46" s="14">
        <v>0.6548611111111111</v>
      </c>
      <c r="Y46" s="17"/>
      <c r="Z46" s="17"/>
      <c r="AA46" s="14">
        <v>0.7180555555555556</v>
      </c>
      <c r="AB46" s="17"/>
      <c r="AC46" s="17"/>
      <c r="AD46" s="14">
        <v>0.7736111111111111</v>
      </c>
      <c r="AE46" s="17"/>
      <c r="AF46" s="14">
        <v>0.8291666666666667</v>
      </c>
    </row>
    <row r="47">
      <c r="B47" s="11" t="s">
        <v>46</v>
      </c>
      <c r="C47" s="19">
        <v>0.1736111111111111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</row>
    <row r="48">
      <c r="B48" s="11" t="s">
        <v>45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</row>
    <row r="49">
      <c r="B49" s="11" t="s">
        <v>44</v>
      </c>
      <c r="C49" s="14">
        <v>0.17847222222222223</v>
      </c>
      <c r="D49" s="14">
        <v>0.2222222222222222</v>
      </c>
      <c r="E49" s="17"/>
      <c r="F49" s="14">
        <v>0.2881944444444444</v>
      </c>
      <c r="G49" s="17"/>
      <c r="H49" s="17"/>
      <c r="I49" s="14">
        <v>0.3375</v>
      </c>
      <c r="J49" s="17"/>
      <c r="K49" s="17"/>
      <c r="L49" s="17"/>
      <c r="M49" s="14">
        <v>0.41388888888888886</v>
      </c>
      <c r="N49" s="17"/>
      <c r="O49" s="14">
        <v>0.45555555555555555</v>
      </c>
      <c r="P49" s="17"/>
      <c r="Q49" s="17"/>
      <c r="R49" s="14">
        <v>0.5180555555555556</v>
      </c>
      <c r="S49" s="17"/>
      <c r="T49" s="14">
        <v>0.5597222222222222</v>
      </c>
      <c r="U49" s="17"/>
      <c r="V49" s="14">
        <v>0.6215277777777778</v>
      </c>
      <c r="W49" s="17"/>
      <c r="X49" s="14">
        <v>0.6631944444444444</v>
      </c>
      <c r="Y49" s="17"/>
      <c r="Z49" s="17"/>
      <c r="AA49" s="14">
        <v>0.7263888888888889</v>
      </c>
      <c r="AB49" s="17"/>
      <c r="AC49" s="17"/>
      <c r="AD49" s="14">
        <v>0.7819444444444444</v>
      </c>
      <c r="AE49" s="17"/>
      <c r="AF49" s="14">
        <v>0.8375</v>
      </c>
    </row>
    <row r="50">
      <c r="B50" s="11" t="s">
        <v>43</v>
      </c>
      <c r="C50" s="14">
        <v>0.18125</v>
      </c>
      <c r="D50" s="14">
        <v>0.22569444444444445</v>
      </c>
      <c r="E50" s="17"/>
      <c r="F50" s="14">
        <v>0.2916666666666667</v>
      </c>
      <c r="G50" s="19">
        <v>0.2847222222222222</v>
      </c>
      <c r="H50" s="17"/>
      <c r="I50" s="14">
        <v>0.34097222222222223</v>
      </c>
      <c r="J50" s="17"/>
      <c r="K50" s="17"/>
      <c r="L50" s="19">
        <v>0.3958333333333333</v>
      </c>
      <c r="M50" s="14">
        <v>0.4173611111111111</v>
      </c>
      <c r="O50" s="14">
        <v>0.45902777777777776</v>
      </c>
      <c r="P50" s="17"/>
      <c r="Q50" s="19">
        <v>0.5</v>
      </c>
      <c r="R50" s="14">
        <v>0.5215277777777778</v>
      </c>
      <c r="S50" s="17"/>
      <c r="T50" s="14">
        <v>0.5631944444444444</v>
      </c>
      <c r="U50" s="17"/>
      <c r="V50" s="14">
        <v>0.625</v>
      </c>
      <c r="W50" s="17"/>
      <c r="X50" s="14">
        <v>0.6666666666666666</v>
      </c>
      <c r="Y50" s="19">
        <v>0.6493055555555556</v>
      </c>
      <c r="Z50" s="17"/>
      <c r="AA50" s="14">
        <v>0.7298611111111111</v>
      </c>
      <c r="AB50" s="17"/>
      <c r="AC50" s="19">
        <v>0.7534722222222222</v>
      </c>
      <c r="AD50" s="14">
        <v>0.7854166666666667</v>
      </c>
      <c r="AE50" s="17"/>
      <c r="AF50" s="14">
        <v>0.8409722222222222</v>
      </c>
    </row>
    <row r="51">
      <c r="B51" s="11" t="s">
        <v>42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</row>
    <row r="52">
      <c r="B52" s="11" t="s">
        <v>41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</row>
    <row r="53">
      <c r="B53" s="11" t="s">
        <v>40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</row>
    <row r="54">
      <c r="A54" s="35"/>
      <c r="B54" s="36" t="s">
        <v>39</v>
      </c>
      <c r="C54" s="37"/>
      <c r="D54" s="38">
        <v>0.24166666666666667</v>
      </c>
      <c r="E54" s="37"/>
      <c r="F54" s="38">
        <v>0.3076388888888889</v>
      </c>
      <c r="G54" s="37"/>
      <c r="H54" s="37"/>
      <c r="I54" s="38">
        <v>0.35694444444444445</v>
      </c>
      <c r="J54" s="37"/>
      <c r="K54" s="37"/>
      <c r="L54" s="37"/>
      <c r="M54" s="38">
        <v>0.43333333333333335</v>
      </c>
      <c r="N54" s="38"/>
      <c r="O54" s="38">
        <v>0.475</v>
      </c>
      <c r="P54" s="38"/>
      <c r="Q54" s="37"/>
      <c r="R54" s="38">
        <v>0.5375</v>
      </c>
      <c r="S54" s="38"/>
      <c r="T54" s="38">
        <v>0.5791666666666667</v>
      </c>
      <c r="U54" s="38"/>
      <c r="V54" s="38">
        <v>0.6409722222222223</v>
      </c>
      <c r="W54" s="37"/>
      <c r="X54" s="38">
        <v>0.6826388888888889</v>
      </c>
      <c r="Y54" s="37"/>
      <c r="Z54" s="37"/>
      <c r="AA54" s="38">
        <v>0.7458333333333333</v>
      </c>
      <c r="AB54" s="37"/>
      <c r="AC54" s="37"/>
      <c r="AD54" s="38">
        <v>0.8013888888888889</v>
      </c>
      <c r="AE54" s="37"/>
      <c r="AF54" s="38">
        <v>0.8569444444444444</v>
      </c>
      <c r="AG54" s="39"/>
      <c r="AH54" s="39"/>
      <c r="AI54" s="39"/>
      <c r="AJ54" s="39"/>
      <c r="AK54" s="40"/>
    </row>
    <row r="55">
      <c r="A55" s="41"/>
      <c r="B55" s="11" t="s">
        <v>38</v>
      </c>
      <c r="C55" s="17"/>
      <c r="D55" s="14">
        <v>0.24583333333333332</v>
      </c>
      <c r="E55" s="17"/>
      <c r="F55" s="14">
        <v>0.31180555555555556</v>
      </c>
      <c r="G55" s="17"/>
      <c r="H55" s="17"/>
      <c r="I55" s="14">
        <v>0.3611111111111111</v>
      </c>
      <c r="J55" s="17"/>
      <c r="K55" s="17"/>
      <c r="L55" s="17"/>
      <c r="M55" s="14">
        <v>0.4375</v>
      </c>
      <c r="N55" s="14"/>
      <c r="O55" s="14">
        <v>0.4791666666666667</v>
      </c>
      <c r="P55" s="14"/>
      <c r="Q55" s="17"/>
      <c r="R55" s="14">
        <v>0.5416666666666666</v>
      </c>
      <c r="S55" s="14"/>
      <c r="T55" s="14">
        <v>0.5833333333333334</v>
      </c>
      <c r="U55" s="14"/>
      <c r="V55" s="14">
        <v>0.6451388888888889</v>
      </c>
      <c r="W55" s="17"/>
      <c r="X55" s="14">
        <v>0.6868055555555556</v>
      </c>
      <c r="Y55" s="17"/>
      <c r="Z55" s="17"/>
      <c r="AA55" s="14">
        <v>0.75</v>
      </c>
      <c r="AB55" s="17"/>
      <c r="AC55" s="17"/>
      <c r="AD55" s="14">
        <v>0.8055555555555556</v>
      </c>
      <c r="AF55" s="14">
        <v>0.8611111111111112</v>
      </c>
      <c r="AK55" s="42"/>
    </row>
    <row r="56">
      <c r="A56" s="43"/>
      <c r="B56" s="29" t="s">
        <v>37</v>
      </c>
      <c r="C56" s="44"/>
      <c r="D56" s="45">
        <v>0.25</v>
      </c>
      <c r="E56" s="44"/>
      <c r="F56" s="45">
        <v>0.3159722222222222</v>
      </c>
      <c r="G56" s="44"/>
      <c r="H56" s="44"/>
      <c r="I56" s="45">
        <v>0.36527777777777776</v>
      </c>
      <c r="J56" s="44"/>
      <c r="K56" s="44"/>
      <c r="L56" s="44"/>
      <c r="M56" s="45">
        <v>0.44166666666666665</v>
      </c>
      <c r="N56" s="45"/>
      <c r="O56" s="45">
        <v>0.48333333333333334</v>
      </c>
      <c r="P56" s="45"/>
      <c r="Q56" s="44"/>
      <c r="R56" s="45">
        <v>0.5458333333333333</v>
      </c>
      <c r="S56" s="44"/>
      <c r="T56" s="45">
        <v>0.5875</v>
      </c>
      <c r="U56" s="44"/>
      <c r="V56" s="45">
        <v>0.6493055555555556</v>
      </c>
      <c r="W56" s="44"/>
      <c r="X56" s="45">
        <v>0.6909722222222222</v>
      </c>
      <c r="Y56" s="44"/>
      <c r="Z56" s="44"/>
      <c r="AA56" s="45">
        <v>0.7541666666666667</v>
      </c>
      <c r="AB56" s="44"/>
      <c r="AC56" s="44"/>
      <c r="AD56" s="45">
        <v>0.8097222222222222</v>
      </c>
      <c r="AE56" s="44"/>
      <c r="AF56" s="45">
        <v>0.8652777777777778</v>
      </c>
      <c r="AG56" s="46"/>
      <c r="AH56" s="46"/>
      <c r="AI56" s="46"/>
      <c r="AJ56" s="46"/>
      <c r="AK56" s="47"/>
    </row>
    <row r="57">
      <c r="B57" s="11" t="s">
        <v>36</v>
      </c>
      <c r="C57" s="14">
        <v>0.1951388888888889</v>
      </c>
      <c r="D57" s="17"/>
      <c r="E57" s="17"/>
      <c r="F57" s="17"/>
      <c r="G57" s="14">
        <v>0.2965277777777778</v>
      </c>
      <c r="H57" s="17"/>
      <c r="I57" s="17"/>
      <c r="J57" s="17"/>
      <c r="K57" s="17"/>
      <c r="L57" s="14">
        <v>0.4076388888888889</v>
      </c>
      <c r="M57" s="17"/>
      <c r="N57" s="17"/>
      <c r="O57" s="17"/>
      <c r="P57" s="17"/>
      <c r="Q57" s="14">
        <v>0.5118055555555555</v>
      </c>
      <c r="R57" s="14"/>
      <c r="S57" s="17"/>
      <c r="T57" s="17"/>
      <c r="U57" s="17"/>
      <c r="V57" s="17"/>
      <c r="W57" s="17"/>
      <c r="X57" s="17"/>
      <c r="Y57" s="14">
        <v>0.6611111111111111</v>
      </c>
      <c r="Z57" s="17"/>
      <c r="AA57" s="17"/>
      <c r="AB57" s="17"/>
      <c r="AC57" s="14">
        <v>0.7652777777777777</v>
      </c>
      <c r="AD57" s="17"/>
      <c r="AE57" s="17"/>
      <c r="AF57" s="17"/>
    </row>
    <row r="58">
      <c r="B58" s="11" t="s">
        <v>35</v>
      </c>
      <c r="C58" s="14">
        <v>0.20069444444444445</v>
      </c>
      <c r="D58" s="17"/>
      <c r="E58" s="17"/>
      <c r="F58" s="17"/>
      <c r="G58" s="14">
        <v>0.3020833333333333</v>
      </c>
      <c r="H58" s="17"/>
      <c r="I58" s="17"/>
      <c r="J58" s="17"/>
      <c r="K58" s="17"/>
      <c r="L58" s="14">
        <v>0.4131944444444444</v>
      </c>
      <c r="M58" s="17"/>
      <c r="N58" s="17"/>
      <c r="O58" s="17"/>
      <c r="P58" s="17"/>
      <c r="Q58" s="14">
        <v>0.5173611111111112</v>
      </c>
      <c r="R58" s="14"/>
      <c r="S58" s="17"/>
      <c r="T58" s="17"/>
      <c r="U58" s="17"/>
      <c r="V58" s="17"/>
      <c r="W58" s="17"/>
      <c r="X58" s="17"/>
      <c r="Y58" s="14">
        <v>0.6666666666666666</v>
      </c>
      <c r="Z58" s="17"/>
      <c r="AA58" s="17"/>
      <c r="AB58" s="17"/>
      <c r="AC58" s="14">
        <v>0.7708333333333334</v>
      </c>
      <c r="AD58" s="17"/>
      <c r="AE58" s="17"/>
      <c r="AF58" s="17"/>
    </row>
    <row r="59">
      <c r="B59" s="11" t="s">
        <v>34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</row>
    <row r="60">
      <c r="B60" s="11" t="s">
        <v>33</v>
      </c>
      <c r="C60" s="14">
        <v>0.20972222222222223</v>
      </c>
      <c r="D60" s="17"/>
      <c r="E60" s="19">
        <v>0.23958333333333334</v>
      </c>
      <c r="F60" s="17"/>
      <c r="G60" s="14">
        <v>0.3104166666666667</v>
      </c>
      <c r="H60" s="19">
        <v>0.2881944444444444</v>
      </c>
      <c r="I60" s="17"/>
      <c r="J60" s="19">
        <v>0.3368055555555556</v>
      </c>
      <c r="K60" s="19">
        <v>0.3888888888888889</v>
      </c>
      <c r="L60" s="14">
        <v>0.4215277777777778</v>
      </c>
      <c r="M60" s="17"/>
      <c r="N60" s="19">
        <v>0.4375</v>
      </c>
      <c r="O60" s="17"/>
      <c r="P60" s="19">
        <v>0.4861111111111111</v>
      </c>
      <c r="Q60" s="14">
        <v>0.5256944444444445</v>
      </c>
      <c r="R60" s="17"/>
      <c r="S60" s="19">
        <v>0.5347222222222222</v>
      </c>
      <c r="T60" s="17"/>
      <c r="U60" s="19">
        <v>0.5833333333333334</v>
      </c>
      <c r="V60" s="17"/>
      <c r="W60" s="19">
        <v>0.6319444444444444</v>
      </c>
      <c r="X60" s="17"/>
      <c r="Y60" s="14">
        <v>0.675</v>
      </c>
      <c r="Z60" s="19">
        <v>0.6805555555555556</v>
      </c>
      <c r="AA60" s="17"/>
      <c r="AB60" s="19">
        <v>0.7361111111111112</v>
      </c>
      <c r="AC60" s="14">
        <v>0.7791666666666667</v>
      </c>
      <c r="AD60" s="17"/>
      <c r="AE60" s="19">
        <v>0.7847222222222222</v>
      </c>
      <c r="AF60" s="17"/>
    </row>
    <row r="61">
      <c r="B61" s="11" t="s">
        <v>32</v>
      </c>
      <c r="C61" s="14">
        <v>0.21666666666666667</v>
      </c>
      <c r="D61" s="17"/>
      <c r="E61" s="14">
        <v>0.24583333333333332</v>
      </c>
      <c r="F61" s="17"/>
      <c r="G61" s="14">
        <v>0.31666666666666665</v>
      </c>
      <c r="H61" s="14">
        <v>0.29444444444444445</v>
      </c>
      <c r="I61" s="17"/>
      <c r="J61" s="14">
        <v>0.34305555555555556</v>
      </c>
      <c r="K61" s="14">
        <v>0.3951388888888889</v>
      </c>
      <c r="L61" s="14">
        <v>0.42777777777777776</v>
      </c>
      <c r="M61" s="17"/>
      <c r="N61" s="14">
        <v>0.44375</v>
      </c>
      <c r="O61" s="17"/>
      <c r="P61" s="14">
        <v>0.49236111111111114</v>
      </c>
      <c r="Q61" s="14">
        <v>0.5319444444444444</v>
      </c>
      <c r="R61" s="17"/>
      <c r="S61" s="14">
        <v>0.5409722222222222</v>
      </c>
      <c r="T61" s="17"/>
      <c r="U61" s="14">
        <v>0.5895833333333333</v>
      </c>
      <c r="V61" s="17"/>
      <c r="W61" s="14">
        <v>0.6381944444444444</v>
      </c>
      <c r="X61" s="17"/>
      <c r="Y61" s="14">
        <v>0.68125</v>
      </c>
      <c r="Z61" s="14">
        <v>0.6868055555555556</v>
      </c>
      <c r="AA61" s="17"/>
      <c r="AB61" s="14">
        <v>0.7423611111111111</v>
      </c>
      <c r="AC61" s="14">
        <v>0.7854166666666667</v>
      </c>
      <c r="AD61" s="17"/>
      <c r="AE61" s="14">
        <v>0.7909722222222222</v>
      </c>
      <c r="AF61" s="17"/>
    </row>
    <row r="62">
      <c r="B62" s="11" t="s">
        <v>31</v>
      </c>
      <c r="C62" s="14">
        <v>0.21875</v>
      </c>
      <c r="D62" s="17"/>
      <c r="E62" s="14">
        <v>0.24861111111111112</v>
      </c>
      <c r="F62" s="17"/>
      <c r="G62" s="14">
        <v>0.31875</v>
      </c>
      <c r="H62" s="14">
        <v>0.2972222222222222</v>
      </c>
      <c r="I62" s="17"/>
      <c r="J62" s="14">
        <v>0.3458333333333333</v>
      </c>
      <c r="K62" s="14">
        <v>0.39791666666666664</v>
      </c>
      <c r="L62" s="14">
        <v>0.42986111111111114</v>
      </c>
      <c r="M62" s="17"/>
      <c r="N62" s="14">
        <v>0.4465277777777778</v>
      </c>
      <c r="O62" s="17"/>
      <c r="P62" s="14">
        <v>0.4951388888888889</v>
      </c>
      <c r="Q62" s="14">
        <v>0.5340277777777778</v>
      </c>
      <c r="R62" s="17"/>
      <c r="S62" s="14">
        <v>0.54375</v>
      </c>
      <c r="T62" s="17"/>
      <c r="U62" s="14">
        <v>0.5923611111111111</v>
      </c>
      <c r="V62" s="17"/>
      <c r="W62" s="14">
        <v>0.6409722222222223</v>
      </c>
      <c r="X62" s="17"/>
      <c r="Y62" s="14">
        <v>0.6833333333333333</v>
      </c>
      <c r="Z62" s="14">
        <v>0.6895833333333333</v>
      </c>
      <c r="AA62" s="17"/>
      <c r="AB62" s="14">
        <v>0.7451388888888889</v>
      </c>
      <c r="AC62" s="14">
        <v>0.7875</v>
      </c>
      <c r="AD62" s="17"/>
      <c r="AE62" s="14">
        <v>0.79375</v>
      </c>
      <c r="AF62" s="17"/>
    </row>
    <row r="63">
      <c r="B63" s="11" t="s">
        <v>30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</row>
    <row r="64">
      <c r="B64" s="11" t="s">
        <v>29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</row>
    <row r="65">
      <c r="B65" s="13" t="s">
        <v>24</v>
      </c>
      <c r="C65" s="14">
        <v>0.22708333333333333</v>
      </c>
      <c r="D65" s="17"/>
      <c r="E65" s="14">
        <v>0.2569444444444444</v>
      </c>
      <c r="F65" s="17"/>
      <c r="G65" s="14">
        <v>0.3263888888888889</v>
      </c>
      <c r="H65" s="14">
        <v>0.3055555555555556</v>
      </c>
      <c r="I65" s="17"/>
      <c r="J65" s="14">
        <v>0.3541666666666667</v>
      </c>
      <c r="K65" s="14">
        <v>0.40625</v>
      </c>
      <c r="L65" s="14">
        <v>0.4375</v>
      </c>
      <c r="M65" s="17"/>
      <c r="N65" s="14">
        <v>0.4548611111111111</v>
      </c>
      <c r="O65" s="17"/>
      <c r="P65" s="14">
        <v>0.5034722222222222</v>
      </c>
      <c r="Q65" s="14">
        <v>0.5416666666666666</v>
      </c>
      <c r="R65" s="17"/>
      <c r="S65" s="14">
        <v>0.5520833333333334</v>
      </c>
      <c r="T65" s="17"/>
      <c r="U65" s="14">
        <v>0.6006944444444444</v>
      </c>
      <c r="V65" s="17"/>
      <c r="W65" s="14">
        <v>0.6493055555555556</v>
      </c>
      <c r="X65" s="17"/>
      <c r="Y65" s="14">
        <v>0.6909722222222222</v>
      </c>
      <c r="Z65" s="14">
        <v>0.6979166666666666</v>
      </c>
      <c r="AA65" s="17"/>
      <c r="AB65" s="14">
        <v>0.7534722222222222</v>
      </c>
      <c r="AC65" s="14">
        <v>0.7951388888888888</v>
      </c>
      <c r="AD65" s="17"/>
      <c r="AE65" s="14">
        <v>0.8020833333333334</v>
      </c>
      <c r="AF65" s="17"/>
    </row>
    <row r="84">
      <c r="B84" s="13" t="s">
        <v>24</v>
      </c>
      <c r="C84" s="17"/>
      <c r="D84" s="14">
        <v>0.2152777777777778</v>
      </c>
      <c r="E84" s="14">
        <v>0.2361111111111111</v>
      </c>
      <c r="F84" s="14">
        <v>0.2638888888888889</v>
      </c>
      <c r="G84" s="14">
        <v>0.3125</v>
      </c>
      <c r="H84" s="14">
        <v>0.3402777777777778</v>
      </c>
      <c r="I84" s="14">
        <v>0.3645833333333333</v>
      </c>
      <c r="J84" s="14">
        <v>0.4131944444444444</v>
      </c>
      <c r="K84" s="14">
        <v>0.4479166666666667</v>
      </c>
      <c r="L84" s="14">
        <v>0.4618055555555556</v>
      </c>
      <c r="M84" s="14">
        <v>0.5104166666666666</v>
      </c>
      <c r="N84" s="14">
        <v>0.5590277777777778</v>
      </c>
      <c r="O84" s="14">
        <v>0.6006944444444444</v>
      </c>
      <c r="P84" s="14">
        <v>0.6076388888888888</v>
      </c>
      <c r="Q84" s="14">
        <v>0.65625</v>
      </c>
      <c r="R84" s="14">
        <v>0.7013888888888888</v>
      </c>
      <c r="S84" s="14">
        <v>0.7118055555555556</v>
      </c>
      <c r="T84" s="14">
        <v>0.7604166666666666</v>
      </c>
      <c r="U84" s="14">
        <v>0.8055555555555556</v>
      </c>
      <c r="AG84" s="17"/>
    </row>
    <row r="85">
      <c r="B85" s="11" t="s">
        <v>29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AG85" s="17"/>
    </row>
    <row r="86">
      <c r="B86" s="11" t="s">
        <v>30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AG86" s="17"/>
    </row>
    <row r="87">
      <c r="B87" s="11" t="s">
        <v>31</v>
      </c>
      <c r="C87" s="17"/>
      <c r="D87" s="14">
        <v>0.22361111111111112</v>
      </c>
      <c r="E87" s="14">
        <v>0.24375</v>
      </c>
      <c r="F87" s="14">
        <v>0.2722222222222222</v>
      </c>
      <c r="G87" s="14">
        <v>0.32083333333333336</v>
      </c>
      <c r="H87" s="14">
        <v>0.34791666666666665</v>
      </c>
      <c r="I87" s="14">
        <v>0.3729166666666667</v>
      </c>
      <c r="J87" s="14">
        <v>0.4215277777777778</v>
      </c>
      <c r="K87" s="14">
        <v>0.45555555555555555</v>
      </c>
      <c r="L87" s="14">
        <v>0.4701388888888889</v>
      </c>
      <c r="M87" s="14">
        <v>0.51875</v>
      </c>
      <c r="N87" s="14">
        <v>0.5673611111111111</v>
      </c>
      <c r="O87" s="14">
        <v>0.6083333333333333</v>
      </c>
      <c r="P87" s="14">
        <v>0.6159722222222223</v>
      </c>
      <c r="Q87" s="14">
        <v>0.6645833333333333</v>
      </c>
      <c r="R87" s="14">
        <v>0.7090277777777778</v>
      </c>
      <c r="S87" s="14">
        <v>0.7201388888888889</v>
      </c>
      <c r="T87" s="14">
        <v>0.76875</v>
      </c>
      <c r="U87" s="14">
        <v>0.8138888888888889</v>
      </c>
      <c r="AG87" s="17"/>
    </row>
    <row r="88">
      <c r="B88" s="11" t="s">
        <v>32</v>
      </c>
      <c r="C88" s="17"/>
      <c r="D88" s="14">
        <v>0.2263888888888889</v>
      </c>
      <c r="E88" s="14">
        <v>0.2465277777777778</v>
      </c>
      <c r="F88" s="14">
        <v>0.275</v>
      </c>
      <c r="G88" s="14">
        <v>0.3236111111111111</v>
      </c>
      <c r="H88" s="14">
        <v>0.3506944444444444</v>
      </c>
      <c r="I88" s="14">
        <v>0.37569444444444444</v>
      </c>
      <c r="J88" s="14">
        <v>0.42430555555555555</v>
      </c>
      <c r="K88" s="14">
        <v>0.4583333333333333</v>
      </c>
      <c r="L88" s="14">
        <v>0.47291666666666665</v>
      </c>
      <c r="M88" s="14">
        <v>0.5215277777777778</v>
      </c>
      <c r="N88" s="14">
        <v>0.5701388888888889</v>
      </c>
      <c r="O88" s="14">
        <v>0.6111111111111112</v>
      </c>
      <c r="P88" s="14">
        <v>0.61875</v>
      </c>
      <c r="Q88" s="14">
        <v>0.6673611111111111</v>
      </c>
      <c r="R88" s="14">
        <v>0.7118055555555556</v>
      </c>
      <c r="S88" s="14">
        <v>0.7229166666666667</v>
      </c>
      <c r="T88" s="14">
        <v>0.7715277777777778</v>
      </c>
      <c r="U88" s="14">
        <v>0.8173611111111111</v>
      </c>
      <c r="AG88" s="17"/>
    </row>
    <row r="89">
      <c r="B89" s="11" t="s">
        <v>33</v>
      </c>
      <c r="C89" s="17"/>
      <c r="D89" s="18">
        <v>0.2326388888888889</v>
      </c>
      <c r="E89" s="14">
        <v>0.2520833333333333</v>
      </c>
      <c r="F89" s="18">
        <v>0.28125</v>
      </c>
      <c r="G89" s="18">
        <v>0.3298611111111111</v>
      </c>
      <c r="H89" s="14">
        <v>0.35625</v>
      </c>
      <c r="I89" s="18">
        <v>0.3819444444444444</v>
      </c>
      <c r="J89" s="14">
        <v>0.4305555555555556</v>
      </c>
      <c r="K89" s="14">
        <v>0.4638888888888889</v>
      </c>
      <c r="L89" s="19">
        <v>0.4791666666666667</v>
      </c>
      <c r="M89" s="19">
        <v>0.5277777777777778</v>
      </c>
      <c r="N89" s="19">
        <v>0.5763888888888888</v>
      </c>
      <c r="O89" s="14">
        <v>0.6166666666666667</v>
      </c>
      <c r="P89" s="19">
        <v>0.625</v>
      </c>
      <c r="Q89" s="19">
        <v>0.6736111111111112</v>
      </c>
      <c r="R89" s="19">
        <v>0.7173611111111111</v>
      </c>
      <c r="S89" s="19">
        <v>0.7291666666666666</v>
      </c>
      <c r="T89" s="19">
        <v>0.7777777777777778</v>
      </c>
      <c r="U89" s="14">
        <v>0.8229166666666666</v>
      </c>
      <c r="AG89" s="17"/>
    </row>
    <row r="90">
      <c r="B90" s="11" t="s">
        <v>34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AG90" s="17"/>
    </row>
    <row r="91">
      <c r="B91" s="11" t="s">
        <v>35</v>
      </c>
      <c r="C91" s="17"/>
      <c r="D91" s="17"/>
      <c r="E91" s="14">
        <v>0.2611111111111111</v>
      </c>
      <c r="F91" s="17"/>
      <c r="G91" s="17"/>
      <c r="H91" s="14">
        <v>0.36527777777777776</v>
      </c>
      <c r="I91" s="17"/>
      <c r="J91" s="17"/>
      <c r="K91" s="14">
        <v>0.47291666666666665</v>
      </c>
      <c r="L91" s="17"/>
      <c r="M91" s="17"/>
      <c r="N91" s="17"/>
      <c r="O91" s="14">
        <v>0.6256944444444444</v>
      </c>
      <c r="P91" s="17"/>
      <c r="Q91" s="17"/>
      <c r="R91" s="17"/>
      <c r="S91" s="17"/>
      <c r="T91" s="17"/>
      <c r="U91" s="14">
        <v>0.8333333333333334</v>
      </c>
      <c r="AG91" s="17"/>
    </row>
    <row r="92">
      <c r="B92" s="11" t="s">
        <v>36</v>
      </c>
      <c r="C92" s="17"/>
      <c r="D92" s="17"/>
      <c r="E92" s="14">
        <v>0.26666666666666666</v>
      </c>
      <c r="F92" s="17"/>
      <c r="G92" s="17"/>
      <c r="H92" s="14">
        <v>0.37083333333333335</v>
      </c>
      <c r="I92" s="17"/>
      <c r="J92" s="17"/>
      <c r="K92" s="14">
        <v>0.47847222222222224</v>
      </c>
      <c r="L92" s="17"/>
      <c r="M92" s="17"/>
      <c r="N92" s="17"/>
      <c r="O92" s="14">
        <v>0.63125</v>
      </c>
      <c r="P92" s="17"/>
      <c r="Q92" s="17"/>
      <c r="R92" s="17"/>
      <c r="S92" s="17"/>
      <c r="T92" s="17"/>
      <c r="U92" s="14">
        <v>0.8388888888888889</v>
      </c>
      <c r="AG92" s="17"/>
    </row>
    <row r="93">
      <c r="B93" s="11" t="s">
        <v>40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AG93" s="17"/>
    </row>
    <row r="94">
      <c r="B94" s="11" t="s">
        <v>41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AG94" s="17"/>
    </row>
    <row r="95">
      <c r="B95" s="11" t="s">
        <v>42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AG95" s="17"/>
    </row>
    <row r="96">
      <c r="B96" s="11" t="s">
        <v>43</v>
      </c>
      <c r="C96" s="14"/>
      <c r="D96" s="17"/>
      <c r="E96" s="33">
        <v>0.2777777777777778</v>
      </c>
      <c r="F96" s="17"/>
      <c r="G96" s="17"/>
      <c r="H96" s="33">
        <v>0.3819444444444444</v>
      </c>
      <c r="I96" s="17"/>
      <c r="J96" s="17"/>
      <c r="K96" s="19">
        <v>0.4895833333333333</v>
      </c>
      <c r="L96" s="17"/>
      <c r="M96" s="17"/>
      <c r="N96" s="17"/>
      <c r="O96" s="19">
        <v>0.6423611111111112</v>
      </c>
      <c r="P96" s="17"/>
      <c r="Q96" s="17"/>
      <c r="R96" s="19">
        <v>0.7430555555555556</v>
      </c>
      <c r="S96" s="17"/>
      <c r="T96" s="17"/>
      <c r="U96" s="14">
        <v>0.8520833333333333</v>
      </c>
      <c r="AG96" s="14"/>
    </row>
    <row r="98">
      <c r="B98" s="13" t="s">
        <v>50</v>
      </c>
      <c r="C98" s="11" t="s">
        <v>43</v>
      </c>
    </row>
    <row r="100">
      <c r="B100" s="13" t="s">
        <v>24</v>
      </c>
      <c r="C100" s="17"/>
      <c r="D100" s="14">
        <v>0.2361111111111111</v>
      </c>
      <c r="E100" s="14">
        <v>0.3402777777777778</v>
      </c>
      <c r="F100" s="14">
        <v>0.4479166666666667</v>
      </c>
      <c r="G100" s="14">
        <v>0.6006944444444444</v>
      </c>
      <c r="H100" s="14">
        <v>0.7013888888888888</v>
      </c>
      <c r="I100" s="14">
        <v>0.8055555555555556</v>
      </c>
    </row>
    <row r="101">
      <c r="B101" s="11" t="s">
        <v>29</v>
      </c>
      <c r="C101" s="17"/>
      <c r="D101" s="17"/>
      <c r="E101" s="17"/>
      <c r="F101" s="17"/>
      <c r="G101" s="17"/>
      <c r="H101" s="17"/>
      <c r="I101" s="17"/>
    </row>
    <row r="102">
      <c r="B102" s="11" t="s">
        <v>30</v>
      </c>
      <c r="C102" s="17"/>
      <c r="D102" s="17"/>
      <c r="E102" s="17"/>
      <c r="F102" s="17"/>
      <c r="G102" s="17"/>
      <c r="H102" s="17"/>
      <c r="I102" s="17"/>
    </row>
    <row r="103">
      <c r="B103" s="11" t="s">
        <v>31</v>
      </c>
      <c r="C103" s="17"/>
      <c r="D103" s="14">
        <v>0.24375</v>
      </c>
      <c r="E103" s="14">
        <v>0.34791666666666665</v>
      </c>
      <c r="F103" s="14">
        <v>0.45555555555555555</v>
      </c>
      <c r="G103" s="14">
        <v>0.6083333333333333</v>
      </c>
      <c r="H103" s="14">
        <v>0.7090277777777778</v>
      </c>
      <c r="I103" s="14">
        <v>0.8138888888888889</v>
      </c>
    </row>
    <row r="104">
      <c r="B104" s="11" t="s">
        <v>32</v>
      </c>
      <c r="C104" s="17"/>
      <c r="D104" s="14">
        <v>0.2465277777777778</v>
      </c>
      <c r="E104" s="14">
        <v>0.3506944444444444</v>
      </c>
      <c r="F104" s="14">
        <v>0.4583333333333333</v>
      </c>
      <c r="G104" s="14">
        <v>0.6111111111111112</v>
      </c>
      <c r="H104" s="14">
        <v>0.7118055555555556</v>
      </c>
      <c r="I104" s="14">
        <v>0.8173611111111111</v>
      </c>
    </row>
    <row r="105">
      <c r="B105" s="11" t="s">
        <v>33</v>
      </c>
      <c r="C105" s="17"/>
      <c r="D105" s="14">
        <v>0.2520833333333333</v>
      </c>
      <c r="E105" s="14">
        <v>0.35625</v>
      </c>
      <c r="F105" s="14">
        <v>0.4638888888888889</v>
      </c>
      <c r="G105" s="14">
        <v>0.6166666666666667</v>
      </c>
      <c r="H105" s="48">
        <v>0.7173611111111111</v>
      </c>
      <c r="I105" s="14">
        <v>0.8229166666666666</v>
      </c>
    </row>
    <row r="106">
      <c r="B106" s="11" t="s">
        <v>34</v>
      </c>
      <c r="C106" s="17"/>
      <c r="D106" s="17"/>
      <c r="E106" s="17"/>
      <c r="F106" s="17"/>
      <c r="G106" s="17"/>
      <c r="H106" s="17"/>
      <c r="I106" s="17"/>
    </row>
    <row r="107">
      <c r="B107" s="11" t="s">
        <v>35</v>
      </c>
      <c r="C107" s="17"/>
      <c r="D107" s="14">
        <v>0.2611111111111111</v>
      </c>
      <c r="E107" s="14">
        <v>0.36527777777777776</v>
      </c>
      <c r="F107" s="14">
        <v>0.47291666666666665</v>
      </c>
      <c r="G107" s="14">
        <v>0.6256944444444444</v>
      </c>
      <c r="H107" s="14">
        <v>0.7263888888888889</v>
      </c>
      <c r="I107" s="14">
        <v>0.8333333333333334</v>
      </c>
    </row>
    <row r="108">
      <c r="B108" s="11" t="s">
        <v>36</v>
      </c>
      <c r="C108" s="17"/>
      <c r="D108" s="14">
        <v>0.26666666666666666</v>
      </c>
      <c r="E108" s="14">
        <v>0.37083333333333335</v>
      </c>
      <c r="F108" s="14">
        <v>0.47847222222222224</v>
      </c>
      <c r="G108" s="14">
        <v>0.63125</v>
      </c>
      <c r="H108" s="14">
        <v>0.7319444444444444</v>
      </c>
      <c r="I108" s="14">
        <v>0.8388888888888889</v>
      </c>
    </row>
    <row r="109">
      <c r="B109" s="11" t="s">
        <v>40</v>
      </c>
      <c r="C109" s="17"/>
      <c r="D109" s="17"/>
      <c r="E109" s="17"/>
      <c r="F109" s="17"/>
      <c r="G109" s="17"/>
      <c r="H109" s="17"/>
      <c r="I109" s="17"/>
    </row>
    <row r="110">
      <c r="B110" s="11" t="s">
        <v>41</v>
      </c>
      <c r="C110" s="17"/>
      <c r="D110" s="17"/>
      <c r="E110" s="17"/>
      <c r="F110" s="17"/>
      <c r="G110" s="17"/>
      <c r="H110" s="17"/>
      <c r="I110" s="17"/>
    </row>
    <row r="111">
      <c r="B111" s="11" t="s">
        <v>42</v>
      </c>
      <c r="C111" s="17"/>
      <c r="D111" s="17"/>
      <c r="E111" s="17"/>
      <c r="F111" s="17"/>
      <c r="G111" s="17"/>
      <c r="H111" s="17"/>
      <c r="I111" s="17"/>
    </row>
    <row r="112">
      <c r="B112" s="11" t="s">
        <v>43</v>
      </c>
      <c r="C112" s="14"/>
      <c r="D112" s="33">
        <v>0.2777777777777778</v>
      </c>
      <c r="E112" s="33">
        <v>0.3819444444444444</v>
      </c>
      <c r="F112" s="19">
        <v>0.4895833333333333</v>
      </c>
      <c r="G112" s="19">
        <v>0.6423611111111112</v>
      </c>
      <c r="H112" s="19">
        <v>0.7430555555555556</v>
      </c>
      <c r="I112" s="14">
        <v>0.8520833333333333</v>
      </c>
    </row>
    <row r="121">
      <c r="B121" s="11" t="s">
        <v>51</v>
      </c>
      <c r="C121" s="11" t="s">
        <v>52</v>
      </c>
      <c r="D121" s="13" t="s">
        <v>24</v>
      </c>
    </row>
    <row r="124">
      <c r="A124" s="49"/>
      <c r="B124" s="50" t="s">
        <v>27</v>
      </c>
      <c r="C124" s="51">
        <v>615.0</v>
      </c>
      <c r="D124" s="51">
        <v>617.0</v>
      </c>
      <c r="E124" s="51">
        <v>619.0</v>
      </c>
      <c r="F124" s="51">
        <v>621.0</v>
      </c>
      <c r="G124" s="51">
        <v>623.0</v>
      </c>
      <c r="H124" s="51"/>
      <c r="I124" s="51"/>
      <c r="K124" s="51"/>
      <c r="L124" s="51"/>
      <c r="M124" s="51"/>
      <c r="O124" s="51"/>
      <c r="P124" s="51"/>
      <c r="Q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D124" s="51"/>
      <c r="AE124" s="51"/>
      <c r="AF124" s="51"/>
      <c r="AG124" s="49"/>
      <c r="AH124" s="49"/>
      <c r="AI124" s="49"/>
      <c r="AJ124" s="49"/>
      <c r="AK124" s="49"/>
    </row>
    <row r="125">
      <c r="A125" s="49"/>
      <c r="B125" s="52" t="s">
        <v>43</v>
      </c>
      <c r="C125" s="53">
        <v>0.2847222222222222</v>
      </c>
      <c r="D125" s="53">
        <v>0.3958333333333333</v>
      </c>
      <c r="E125" s="53">
        <v>0.5</v>
      </c>
      <c r="F125" s="53">
        <v>0.6493055555555556</v>
      </c>
      <c r="G125" s="53">
        <v>0.7534722222222222</v>
      </c>
      <c r="H125" s="54"/>
      <c r="I125" s="49"/>
      <c r="K125" s="49"/>
      <c r="L125" s="54"/>
      <c r="M125" s="49"/>
      <c r="O125" s="54"/>
      <c r="P125" s="54"/>
      <c r="Q125" s="49"/>
      <c r="S125" s="54"/>
      <c r="T125" s="54"/>
      <c r="U125" s="49"/>
      <c r="V125" s="49"/>
      <c r="W125" s="54"/>
      <c r="X125" s="54"/>
      <c r="Y125" s="49"/>
      <c r="Z125" s="49"/>
      <c r="AA125" s="54"/>
      <c r="AB125" s="49"/>
      <c r="AD125" s="54"/>
      <c r="AE125" s="49"/>
      <c r="AF125" s="54"/>
      <c r="AG125" s="49"/>
      <c r="AH125" s="49"/>
      <c r="AI125" s="49"/>
      <c r="AJ125" s="49"/>
      <c r="AK125" s="49"/>
    </row>
    <row r="126">
      <c r="A126" s="49"/>
      <c r="B126" s="50" t="s">
        <v>42</v>
      </c>
      <c r="C126" s="49"/>
      <c r="D126" s="49"/>
      <c r="E126" s="49"/>
      <c r="F126" s="49"/>
      <c r="G126" s="49"/>
      <c r="H126" s="49"/>
      <c r="I126" s="49"/>
      <c r="K126" s="49"/>
      <c r="L126" s="49"/>
      <c r="M126" s="49"/>
      <c r="O126" s="49"/>
      <c r="P126" s="49"/>
      <c r="Q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D126" s="49"/>
      <c r="AE126" s="49"/>
      <c r="AF126" s="49"/>
      <c r="AG126" s="49"/>
      <c r="AH126" s="49"/>
      <c r="AI126" s="49"/>
      <c r="AJ126" s="49"/>
      <c r="AK126" s="49"/>
    </row>
    <row r="127">
      <c r="A127" s="49"/>
      <c r="B127" s="50" t="s">
        <v>41</v>
      </c>
      <c r="C127" s="49"/>
      <c r="D127" s="49"/>
      <c r="E127" s="49"/>
      <c r="F127" s="49"/>
      <c r="G127" s="49"/>
      <c r="H127" s="54"/>
      <c r="I127" s="49"/>
      <c r="K127" s="49"/>
      <c r="L127" s="54"/>
      <c r="M127" s="49"/>
      <c r="O127" s="54"/>
      <c r="P127" s="54"/>
      <c r="Q127" s="49"/>
      <c r="S127" s="54"/>
      <c r="T127" s="54"/>
      <c r="U127" s="49"/>
      <c r="V127" s="49"/>
      <c r="W127" s="54"/>
      <c r="X127" s="54"/>
      <c r="Y127" s="49"/>
      <c r="Z127" s="49"/>
      <c r="AA127" s="54"/>
      <c r="AB127" s="49"/>
      <c r="AD127" s="54"/>
      <c r="AE127" s="49"/>
      <c r="AF127" s="54"/>
      <c r="AG127" s="49"/>
      <c r="AH127" s="49"/>
      <c r="AI127" s="49"/>
      <c r="AJ127" s="49"/>
      <c r="AK127" s="49"/>
    </row>
    <row r="128">
      <c r="A128" s="49"/>
      <c r="B128" s="50" t="s">
        <v>40</v>
      </c>
      <c r="C128" s="49"/>
      <c r="D128" s="49"/>
      <c r="E128" s="49"/>
      <c r="F128" s="49"/>
      <c r="G128" s="49"/>
      <c r="H128" s="49"/>
      <c r="I128" s="49"/>
      <c r="K128" s="49"/>
      <c r="L128" s="49"/>
      <c r="M128" s="49"/>
      <c r="O128" s="49"/>
      <c r="P128" s="49"/>
      <c r="Q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D128" s="49"/>
      <c r="AE128" s="49"/>
      <c r="AF128" s="49"/>
      <c r="AG128" s="49"/>
      <c r="AH128" s="49"/>
      <c r="AI128" s="49"/>
      <c r="AJ128" s="49"/>
      <c r="AK128" s="49"/>
    </row>
    <row r="129">
      <c r="A129" s="49"/>
      <c r="B129" s="50" t="s">
        <v>36</v>
      </c>
      <c r="C129" s="54">
        <v>0.2965277777777778</v>
      </c>
      <c r="D129" s="54">
        <v>0.4076388888888889</v>
      </c>
      <c r="E129" s="54">
        <v>0.5118055555555555</v>
      </c>
      <c r="F129" s="54">
        <v>0.6611111111111111</v>
      </c>
      <c r="G129" s="54">
        <v>0.7652777777777777</v>
      </c>
      <c r="H129" s="49"/>
      <c r="I129" s="49"/>
      <c r="K129" s="49"/>
      <c r="L129" s="49"/>
      <c r="M129" s="49"/>
      <c r="O129" s="49"/>
      <c r="P129" s="49"/>
      <c r="Q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D129" s="49"/>
      <c r="AE129" s="49"/>
      <c r="AF129" s="49"/>
      <c r="AG129" s="49"/>
      <c r="AH129" s="49"/>
      <c r="AI129" s="49"/>
      <c r="AJ129" s="49"/>
      <c r="AK129" s="49"/>
    </row>
    <row r="130">
      <c r="A130" s="49"/>
      <c r="B130" s="50" t="s">
        <v>35</v>
      </c>
      <c r="C130" s="54">
        <v>0.3020833333333333</v>
      </c>
      <c r="D130" s="54">
        <v>0.4131944444444444</v>
      </c>
      <c r="E130" s="54">
        <v>0.5173611111111112</v>
      </c>
      <c r="F130" s="54">
        <v>0.6666666666666666</v>
      </c>
      <c r="G130" s="54">
        <v>0.7708333333333334</v>
      </c>
      <c r="H130" s="54"/>
      <c r="I130" s="49"/>
      <c r="K130" s="49"/>
      <c r="L130" s="54"/>
      <c r="M130" s="49"/>
      <c r="O130" s="54"/>
      <c r="P130" s="54"/>
      <c r="Q130" s="49"/>
      <c r="S130" s="54"/>
      <c r="T130" s="54"/>
      <c r="U130" s="49"/>
      <c r="V130" s="49"/>
      <c r="W130" s="54"/>
      <c r="X130" s="54"/>
      <c r="Y130" s="49"/>
      <c r="Z130" s="49"/>
      <c r="AA130" s="54"/>
      <c r="AB130" s="49"/>
      <c r="AD130" s="54"/>
      <c r="AE130" s="49"/>
      <c r="AF130" s="54"/>
      <c r="AG130" s="49"/>
      <c r="AH130" s="49"/>
      <c r="AI130" s="49"/>
      <c r="AJ130" s="49"/>
      <c r="AK130" s="49"/>
    </row>
    <row r="131">
      <c r="A131" s="55"/>
      <c r="B131" s="50" t="s">
        <v>34</v>
      </c>
      <c r="C131" s="49"/>
      <c r="D131" s="49"/>
      <c r="E131" s="49"/>
      <c r="F131" s="49"/>
      <c r="G131" s="49"/>
      <c r="H131" s="56"/>
      <c r="I131" s="55"/>
      <c r="K131" s="53"/>
      <c r="L131" s="56"/>
      <c r="M131" s="55"/>
      <c r="O131" s="56"/>
      <c r="P131" s="56"/>
      <c r="Q131" s="55"/>
      <c r="S131" s="56"/>
      <c r="T131" s="56"/>
      <c r="U131" s="53"/>
      <c r="V131" s="53"/>
      <c r="W131" s="56"/>
      <c r="X131" s="56"/>
      <c r="Y131" s="53"/>
      <c r="Z131" s="53"/>
      <c r="AA131" s="56"/>
      <c r="AB131" s="55"/>
      <c r="AD131" s="56"/>
      <c r="AE131" s="55"/>
      <c r="AF131" s="56"/>
      <c r="AG131" s="55"/>
      <c r="AH131" s="55"/>
      <c r="AI131" s="55"/>
      <c r="AJ131" s="55"/>
      <c r="AK131" s="55"/>
    </row>
    <row r="132">
      <c r="A132" s="49"/>
      <c r="B132" s="50" t="s">
        <v>33</v>
      </c>
      <c r="C132" s="54">
        <v>0.3104166666666667</v>
      </c>
      <c r="D132" s="54">
        <v>0.4215277777777778</v>
      </c>
      <c r="E132" s="54">
        <v>0.5256944444444445</v>
      </c>
      <c r="F132" s="54">
        <v>0.675</v>
      </c>
      <c r="G132" s="54">
        <v>0.7791666666666667</v>
      </c>
      <c r="H132" s="49"/>
      <c r="I132" s="49"/>
      <c r="K132" s="49"/>
      <c r="L132" s="49"/>
      <c r="M132" s="49"/>
      <c r="O132" s="49"/>
      <c r="P132" s="49"/>
      <c r="Q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D132" s="49"/>
      <c r="AE132" s="49"/>
      <c r="AF132" s="49"/>
      <c r="AG132" s="49"/>
      <c r="AH132" s="49"/>
      <c r="AI132" s="49"/>
      <c r="AJ132" s="49"/>
      <c r="AK132" s="49"/>
    </row>
    <row r="133">
      <c r="A133" s="49"/>
      <c r="B133" s="50" t="s">
        <v>32</v>
      </c>
      <c r="C133" s="54">
        <v>0.31666666666666665</v>
      </c>
      <c r="D133" s="54">
        <v>0.42777777777777776</v>
      </c>
      <c r="E133" s="54">
        <v>0.5319444444444444</v>
      </c>
      <c r="F133" s="54">
        <v>0.68125</v>
      </c>
      <c r="G133" s="54">
        <v>0.7854166666666667</v>
      </c>
      <c r="H133" s="49"/>
      <c r="I133" s="49"/>
      <c r="K133" s="49"/>
      <c r="L133" s="49"/>
      <c r="M133" s="49"/>
      <c r="O133" s="49"/>
      <c r="P133" s="49"/>
      <c r="Q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D133" s="49"/>
      <c r="AE133" s="49"/>
      <c r="AF133" s="49"/>
      <c r="AG133" s="49"/>
      <c r="AH133" s="49"/>
      <c r="AI133" s="49"/>
      <c r="AJ133" s="49"/>
      <c r="AK133" s="49"/>
    </row>
    <row r="134">
      <c r="A134" s="49"/>
      <c r="B134" s="50" t="s">
        <v>31</v>
      </c>
      <c r="C134" s="54">
        <v>0.31875</v>
      </c>
      <c r="D134" s="54">
        <v>0.42986111111111114</v>
      </c>
      <c r="E134" s="54">
        <v>0.5340277777777778</v>
      </c>
      <c r="F134" s="54">
        <v>0.6833333333333333</v>
      </c>
      <c r="G134" s="54">
        <v>0.7875</v>
      </c>
      <c r="H134" s="49"/>
      <c r="I134" s="49"/>
      <c r="K134" s="49"/>
      <c r="L134" s="49"/>
      <c r="M134" s="49"/>
      <c r="O134" s="49"/>
      <c r="P134" s="49"/>
      <c r="Q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D134" s="49"/>
      <c r="AE134" s="49"/>
      <c r="AF134" s="49"/>
      <c r="AG134" s="49"/>
      <c r="AH134" s="49"/>
      <c r="AI134" s="49"/>
      <c r="AJ134" s="49"/>
      <c r="AK134" s="49"/>
    </row>
    <row r="135">
      <c r="A135" s="49"/>
      <c r="B135" s="50" t="s">
        <v>30</v>
      </c>
      <c r="C135" s="49"/>
      <c r="D135" s="49"/>
      <c r="E135" s="49"/>
      <c r="F135" s="49"/>
      <c r="G135" s="49"/>
      <c r="H135" s="49"/>
      <c r="I135" s="49"/>
      <c r="K135" s="54"/>
      <c r="L135" s="49"/>
      <c r="M135" s="49"/>
      <c r="O135" s="49"/>
      <c r="P135" s="49"/>
      <c r="Q135" s="49"/>
      <c r="S135" s="49"/>
      <c r="T135" s="49"/>
      <c r="U135" s="54"/>
      <c r="V135" s="54"/>
      <c r="W135" s="49"/>
      <c r="X135" s="49"/>
      <c r="Y135" s="54"/>
      <c r="Z135" s="54"/>
      <c r="AA135" s="49"/>
      <c r="AB135" s="49"/>
      <c r="AD135" s="49"/>
      <c r="AE135" s="49"/>
      <c r="AF135" s="49"/>
      <c r="AG135" s="49"/>
      <c r="AH135" s="49"/>
      <c r="AI135" s="49"/>
      <c r="AJ135" s="49"/>
      <c r="AK135" s="49"/>
    </row>
    <row r="136">
      <c r="A136" s="49"/>
      <c r="B136" s="50" t="s">
        <v>29</v>
      </c>
      <c r="C136" s="49"/>
      <c r="D136" s="49"/>
      <c r="E136" s="49"/>
      <c r="F136" s="49"/>
      <c r="G136" s="49"/>
      <c r="H136" s="49"/>
      <c r="I136" s="49"/>
      <c r="K136" s="54"/>
      <c r="L136" s="49"/>
      <c r="M136" s="49"/>
      <c r="O136" s="49"/>
      <c r="P136" s="49"/>
      <c r="Q136" s="49"/>
      <c r="S136" s="49"/>
      <c r="T136" s="49"/>
      <c r="U136" s="54"/>
      <c r="V136" s="54"/>
      <c r="W136" s="49"/>
      <c r="X136" s="49"/>
      <c r="Y136" s="54"/>
      <c r="Z136" s="54"/>
      <c r="AA136" s="49"/>
      <c r="AB136" s="49"/>
      <c r="AD136" s="49"/>
      <c r="AE136" s="49"/>
      <c r="AF136" s="49"/>
      <c r="AG136" s="49"/>
      <c r="AH136" s="49"/>
      <c r="AI136" s="49"/>
      <c r="AJ136" s="49"/>
      <c r="AK136" s="49"/>
    </row>
    <row r="137">
      <c r="A137" s="49"/>
      <c r="B137" s="52" t="s">
        <v>24</v>
      </c>
      <c r="C137" s="54">
        <v>0.3263888888888889</v>
      </c>
      <c r="D137" s="54">
        <v>0.4375</v>
      </c>
      <c r="E137" s="54">
        <v>0.5416666666666666</v>
      </c>
      <c r="F137" s="54">
        <v>0.6909722222222222</v>
      </c>
      <c r="G137" s="54">
        <v>0.7951388888888888</v>
      </c>
      <c r="H137" s="49"/>
      <c r="I137" s="49"/>
      <c r="K137" s="49"/>
      <c r="L137" s="49"/>
      <c r="M137" s="49"/>
      <c r="O137" s="49"/>
      <c r="P137" s="49"/>
      <c r="Q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D137" s="49"/>
      <c r="AE137" s="49"/>
      <c r="AF137" s="49"/>
      <c r="AG137" s="49"/>
      <c r="AH137" s="49"/>
      <c r="AI137" s="49"/>
      <c r="AJ137" s="49"/>
      <c r="AK137" s="49"/>
    </row>
    <row r="138">
      <c r="A138" s="49"/>
      <c r="H138" s="49"/>
      <c r="I138" s="57"/>
      <c r="K138" s="54"/>
      <c r="L138" s="49"/>
      <c r="M138" s="57"/>
      <c r="O138" s="49"/>
      <c r="P138" s="49"/>
      <c r="Q138" s="57"/>
      <c r="S138" s="49"/>
      <c r="T138" s="49"/>
      <c r="U138" s="54"/>
      <c r="V138" s="54"/>
      <c r="W138" s="49"/>
      <c r="X138" s="49"/>
      <c r="Y138" s="54"/>
      <c r="Z138" s="54"/>
      <c r="AA138" s="49"/>
      <c r="AB138" s="57"/>
      <c r="AD138" s="49"/>
      <c r="AE138" s="57"/>
      <c r="AF138" s="49"/>
      <c r="AG138" s="49"/>
      <c r="AH138" s="49"/>
      <c r="AI138" s="49"/>
      <c r="AJ138" s="49"/>
      <c r="AK138" s="49"/>
    </row>
    <row r="139">
      <c r="A139" s="49"/>
      <c r="H139" s="49"/>
      <c r="I139" s="54"/>
      <c r="K139" s="54"/>
      <c r="L139" s="49"/>
      <c r="M139" s="54"/>
      <c r="O139" s="49"/>
      <c r="P139" s="49"/>
      <c r="Q139" s="54"/>
      <c r="S139" s="49"/>
      <c r="T139" s="49"/>
      <c r="U139" s="54"/>
      <c r="V139" s="54"/>
      <c r="W139" s="49"/>
      <c r="X139" s="49"/>
      <c r="Y139" s="54"/>
      <c r="Z139" s="54"/>
      <c r="AA139" s="49"/>
      <c r="AB139" s="54"/>
      <c r="AD139" s="49"/>
      <c r="AE139" s="54"/>
      <c r="AF139" s="49"/>
      <c r="AG139" s="49"/>
      <c r="AH139" s="49"/>
      <c r="AI139" s="49"/>
      <c r="AJ139" s="49"/>
      <c r="AK139" s="49"/>
    </row>
    <row r="140">
      <c r="A140" s="49"/>
      <c r="H140" s="49"/>
      <c r="I140" s="54"/>
      <c r="K140" s="54"/>
      <c r="L140" s="49"/>
      <c r="M140" s="54"/>
      <c r="O140" s="49"/>
      <c r="P140" s="49"/>
      <c r="Q140" s="54"/>
      <c r="S140" s="49"/>
      <c r="T140" s="49"/>
      <c r="U140" s="54"/>
      <c r="V140" s="54"/>
      <c r="W140" s="49"/>
      <c r="X140" s="49"/>
      <c r="Y140" s="54"/>
      <c r="Z140" s="54"/>
      <c r="AA140" s="49"/>
      <c r="AB140" s="54"/>
      <c r="AD140" s="49"/>
      <c r="AE140" s="54"/>
      <c r="AF140" s="49"/>
      <c r="AG140" s="49"/>
      <c r="AH140" s="49"/>
      <c r="AI140" s="49"/>
      <c r="AJ140" s="49"/>
      <c r="AK140" s="49"/>
    </row>
    <row r="141">
      <c r="A141" s="49"/>
      <c r="H141" s="49"/>
      <c r="I141" s="49"/>
      <c r="K141" s="49"/>
      <c r="L141" s="49"/>
      <c r="M141" s="49"/>
      <c r="O141" s="49"/>
      <c r="P141" s="49"/>
      <c r="Q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D141" s="49"/>
      <c r="AE141" s="49"/>
      <c r="AF141" s="49"/>
      <c r="AG141" s="49"/>
      <c r="AH141" s="49"/>
      <c r="AI141" s="49"/>
      <c r="AJ141" s="49"/>
      <c r="AK141" s="49"/>
    </row>
    <row r="142">
      <c r="A142" s="49"/>
      <c r="H142" s="49"/>
      <c r="I142" s="49"/>
      <c r="K142" s="49"/>
      <c r="L142" s="49"/>
      <c r="M142" s="49"/>
      <c r="O142" s="49"/>
      <c r="P142" s="49"/>
      <c r="Q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D142" s="49"/>
      <c r="AE142" s="49"/>
      <c r="AF142" s="49"/>
      <c r="AG142" s="49"/>
      <c r="AH142" s="49"/>
      <c r="AI142" s="49"/>
      <c r="AJ142" s="49"/>
      <c r="AK142" s="49"/>
    </row>
    <row r="143">
      <c r="A143" s="49"/>
      <c r="H143" s="49"/>
      <c r="I143" s="54"/>
      <c r="K143" s="54"/>
      <c r="L143" s="49"/>
      <c r="M143" s="54"/>
      <c r="O143" s="49"/>
      <c r="P143" s="49"/>
      <c r="Q143" s="54"/>
      <c r="S143" s="49"/>
      <c r="T143" s="49"/>
      <c r="U143" s="54"/>
      <c r="V143" s="54"/>
      <c r="W143" s="49"/>
      <c r="X143" s="49"/>
      <c r="Y143" s="54"/>
      <c r="Z143" s="54"/>
      <c r="AA143" s="49"/>
      <c r="AB143" s="54"/>
      <c r="AD143" s="49"/>
      <c r="AE143" s="54"/>
      <c r="AF143" s="49"/>
      <c r="AG143" s="49"/>
      <c r="AH143" s="49"/>
      <c r="AI143" s="49"/>
      <c r="AJ143" s="49"/>
      <c r="AK143" s="4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75"/>
  </cols>
  <sheetData>
    <row r="3">
      <c r="A3" s="7" t="s">
        <v>53</v>
      </c>
    </row>
    <row r="6">
      <c r="A6" s="1" t="s">
        <v>2</v>
      </c>
      <c r="B6" s="1" t="str">
        <f>UPPER("Coordinates")</f>
        <v>COORDINATES</v>
      </c>
      <c r="C6" s="1">
        <v>9181.0</v>
      </c>
      <c r="D6" s="1">
        <v>1151.0</v>
      </c>
      <c r="E6" s="1">
        <v>9183.0</v>
      </c>
      <c r="F6" s="1">
        <v>1152.0</v>
      </c>
      <c r="G6" s="1">
        <v>1105.0</v>
      </c>
      <c r="H6" s="1">
        <v>1155.0</v>
      </c>
      <c r="I6" s="58">
        <v>1107.0</v>
      </c>
      <c r="J6" s="1">
        <v>1154.0</v>
      </c>
      <c r="K6" s="1">
        <v>1129.0</v>
      </c>
      <c r="L6" s="1">
        <v>1159.0</v>
      </c>
      <c r="M6" s="1">
        <v>1111.0</v>
      </c>
      <c r="N6" s="1">
        <v>1161.0</v>
      </c>
      <c r="O6" s="1">
        <v>1112.0</v>
      </c>
      <c r="P6" s="1">
        <v>1162.0</v>
      </c>
      <c r="Q6" s="1">
        <v>1115.0</v>
      </c>
      <c r="R6" s="1">
        <v>9129.0</v>
      </c>
      <c r="S6" s="1">
        <v>9111.0</v>
      </c>
      <c r="T6" s="1">
        <v>9152.0</v>
      </c>
      <c r="U6" s="1">
        <v>9115.0</v>
      </c>
      <c r="V6" s="1">
        <v>9117.0</v>
      </c>
      <c r="W6" s="1">
        <v>9119.0</v>
      </c>
      <c r="X6" s="1">
        <v>1167.0</v>
      </c>
      <c r="Y6" s="1">
        <v>1122.0</v>
      </c>
      <c r="Z6" s="1">
        <v>1165.0</v>
      </c>
      <c r="AA6" s="1">
        <v>1121.0</v>
      </c>
      <c r="AB6" s="1">
        <v>1171.0</v>
      </c>
      <c r="AC6" s="1">
        <v>1127.0</v>
      </c>
      <c r="AD6" s="1">
        <v>1169.0</v>
      </c>
      <c r="AE6" s="1">
        <v>1125.0</v>
      </c>
      <c r="AF6" s="1">
        <v>1172.0</v>
      </c>
      <c r="AG6" s="1">
        <v>1129.0</v>
      </c>
      <c r="AH6" s="1">
        <v>9121.0</v>
      </c>
      <c r="AI6" s="1">
        <v>9123.0</v>
      </c>
      <c r="AJ6" s="3"/>
      <c r="AM6" s="59" t="s">
        <v>54</v>
      </c>
    </row>
    <row r="7">
      <c r="A7" s="60" t="s">
        <v>55</v>
      </c>
      <c r="B7" s="60" t="s">
        <v>25</v>
      </c>
      <c r="C7" s="6"/>
      <c r="D7" s="6">
        <v>0.1875</v>
      </c>
      <c r="E7" s="6"/>
      <c r="F7" s="6">
        <v>0.2152777777777778</v>
      </c>
      <c r="G7" s="6"/>
      <c r="H7" s="6">
        <v>0.2222222222222222</v>
      </c>
      <c r="I7" s="6"/>
      <c r="J7" s="6">
        <v>0.2652777777777778</v>
      </c>
      <c r="K7" s="6"/>
      <c r="L7" s="6">
        <v>0.2791666666666667</v>
      </c>
      <c r="M7" s="6"/>
      <c r="N7" s="6" t="str">
        <f>M19</f>
        <v>#REF!</v>
      </c>
      <c r="O7" s="6"/>
      <c r="P7" s="6">
        <v>0.3368055555555556</v>
      </c>
      <c r="Q7" s="6"/>
      <c r="R7" s="6">
        <v>0.3611111111111111</v>
      </c>
      <c r="S7" s="6">
        <v>0.4375</v>
      </c>
      <c r="T7" s="6">
        <v>0.5138888888888888</v>
      </c>
      <c r="U7" s="6">
        <v>0.5902777777777778</v>
      </c>
      <c r="V7" s="6">
        <v>0.6284722222222222</v>
      </c>
      <c r="W7" s="6">
        <v>0.6354166666666666</v>
      </c>
      <c r="X7" s="6">
        <v>0.6631944444444444</v>
      </c>
      <c r="Y7" s="60"/>
      <c r="Z7" s="6">
        <v>0.6701388888888888</v>
      </c>
      <c r="AA7" s="6"/>
      <c r="AB7" s="6">
        <v>0.7048611111111112</v>
      </c>
      <c r="AC7" s="6"/>
      <c r="AD7" s="6" t="str">
        <f>AB14</f>
        <v>#REF!</v>
      </c>
      <c r="AE7" s="6"/>
      <c r="AF7" s="6">
        <v>0.75</v>
      </c>
      <c r="AG7" s="6"/>
      <c r="AH7" s="61" t="str">
        <f t="shared" ref="AH7:AI7" si="1">AH8-#REF!</f>
        <v>#REF!</v>
      </c>
      <c r="AI7" s="61" t="str">
        <f t="shared" si="1"/>
        <v>#REF!</v>
      </c>
      <c r="AJ7" s="62"/>
      <c r="AL7" s="63"/>
      <c r="AM7" s="59" t="s">
        <v>56</v>
      </c>
      <c r="AN7" s="59" t="s">
        <v>57</v>
      </c>
    </row>
    <row r="8">
      <c r="A8" s="9" t="s">
        <v>58</v>
      </c>
      <c r="B8" s="9" t="s">
        <v>59</v>
      </c>
      <c r="C8" s="8"/>
      <c r="D8" s="8">
        <v>0.18958333333333333</v>
      </c>
      <c r="E8" s="8"/>
      <c r="F8" s="8" t="str">
        <f>F7+#REF!+TIME(0,1,0)</f>
        <v>#REF!</v>
      </c>
      <c r="G8" s="8"/>
      <c r="H8" s="8" t="str">
        <f t="shared" ref="H8:H14" si="3">H7+#REF!</f>
        <v>#REF!</v>
      </c>
      <c r="I8" s="64"/>
      <c r="J8" s="8" t="str">
        <f t="shared" ref="J8:J14" si="4">J7+#REF!</f>
        <v>#REF!</v>
      </c>
      <c r="K8" s="8"/>
      <c r="L8" s="8">
        <v>0.2805555555555556</v>
      </c>
      <c r="M8" s="8"/>
      <c r="N8" s="8" t="str">
        <f>N7+#REF!+TIME(0,1,0)</f>
        <v>#REF!</v>
      </c>
      <c r="O8" s="8"/>
      <c r="P8" s="8">
        <v>0.33888888888888896</v>
      </c>
      <c r="Q8" s="8"/>
      <c r="R8" s="8" t="str">
        <f t="shared" ref="R8:X8" si="2">R7+#REF!</f>
        <v>#REF!</v>
      </c>
      <c r="S8" s="8" t="str">
        <f t="shared" si="2"/>
        <v>#REF!</v>
      </c>
      <c r="T8" s="8" t="str">
        <f t="shared" si="2"/>
        <v>#REF!</v>
      </c>
      <c r="U8" s="8" t="str">
        <f t="shared" si="2"/>
        <v>#REF!</v>
      </c>
      <c r="V8" s="8" t="str">
        <f t="shared" si="2"/>
        <v>#REF!</v>
      </c>
      <c r="W8" s="8" t="str">
        <f t="shared" si="2"/>
        <v>#REF!</v>
      </c>
      <c r="X8" s="8" t="str">
        <f t="shared" si="2"/>
        <v>#REF!</v>
      </c>
      <c r="Z8" s="8" t="str">
        <f t="shared" ref="Z8:Z13" si="6">Z7+#REF!</f>
        <v>#REF!</v>
      </c>
      <c r="AA8" s="8"/>
      <c r="AB8" s="8" t="str">
        <f t="shared" ref="AB8:AB13" si="7">AB7+#REF!</f>
        <v>#REF!</v>
      </c>
      <c r="AC8" s="8"/>
      <c r="AD8" s="8" t="str">
        <f>AD7+#REF!+TIME(0,1,0)</f>
        <v>#REF!</v>
      </c>
      <c r="AE8" s="8"/>
      <c r="AF8" s="8" t="str">
        <f>AF7+#REF!+TIME(0,1,0)</f>
        <v>#REF!</v>
      </c>
      <c r="AG8" s="8"/>
      <c r="AH8" s="8">
        <v>0.7638888888888888</v>
      </c>
      <c r="AI8" s="8">
        <v>0.8090277777777778</v>
      </c>
      <c r="AJ8" s="62"/>
      <c r="AL8" s="65" t="str">
        <f>'PTA-to-PIEN_Weekday'!A3</f>
        <v>PRETORIA </v>
      </c>
      <c r="AM8" s="66">
        <v>0.0</v>
      </c>
      <c r="AN8" s="66">
        <v>0.0</v>
      </c>
    </row>
    <row r="9">
      <c r="A9" s="9" t="s">
        <v>60</v>
      </c>
      <c r="B9" s="9" t="s">
        <v>61</v>
      </c>
      <c r="C9" s="8"/>
      <c r="D9" s="8">
        <v>0.1909722222222222</v>
      </c>
      <c r="E9" s="8"/>
      <c r="F9" s="8" t="str">
        <f t="shared" ref="F9:F13" si="9">F8+#REF!</f>
        <v>#REF!</v>
      </c>
      <c r="G9" s="8"/>
      <c r="H9" s="8" t="str">
        <f t="shared" si="3"/>
        <v>#REF!</v>
      </c>
      <c r="I9" s="64"/>
      <c r="J9" s="8" t="str">
        <f t="shared" si="4"/>
        <v>#REF!</v>
      </c>
      <c r="K9" s="8"/>
      <c r="L9" s="8">
        <v>0.2819444444444445</v>
      </c>
      <c r="M9" s="8"/>
      <c r="N9" s="8" t="str">
        <f t="shared" ref="N9:N14" si="10">N8+#REF!</f>
        <v>#REF!</v>
      </c>
      <c r="O9" s="8"/>
      <c r="P9" s="8">
        <v>0.34027777777777785</v>
      </c>
      <c r="Q9" s="8"/>
      <c r="R9" s="8" t="str">
        <f t="shared" ref="R9:X9" si="5">R8+#REF!</f>
        <v>#REF!</v>
      </c>
      <c r="S9" s="8" t="str">
        <f t="shared" si="5"/>
        <v>#REF!</v>
      </c>
      <c r="T9" s="8" t="str">
        <f t="shared" si="5"/>
        <v>#REF!</v>
      </c>
      <c r="U9" s="8" t="str">
        <f t="shared" si="5"/>
        <v>#REF!</v>
      </c>
      <c r="V9" s="8" t="str">
        <f t="shared" si="5"/>
        <v>#REF!</v>
      </c>
      <c r="W9" s="8" t="str">
        <f t="shared" si="5"/>
        <v>#REF!</v>
      </c>
      <c r="X9" s="8" t="str">
        <f t="shared" si="5"/>
        <v>#REF!</v>
      </c>
      <c r="Z9" s="8" t="str">
        <f t="shared" si="6"/>
        <v>#REF!</v>
      </c>
      <c r="AA9" s="8"/>
      <c r="AB9" s="8" t="str">
        <f t="shared" si="7"/>
        <v>#REF!</v>
      </c>
      <c r="AC9" s="8"/>
      <c r="AD9" s="8" t="str">
        <f t="shared" ref="AD9:AD14" si="12">AD8+#REF!</f>
        <v>#REF!</v>
      </c>
      <c r="AE9" s="8"/>
      <c r="AF9" s="8" t="str">
        <f t="shared" ref="AF9:AF10" si="13">AF8+#REF!</f>
        <v>#REF!</v>
      </c>
      <c r="AG9" s="8"/>
      <c r="AH9" s="8" t="str">
        <f t="shared" ref="AH9:AI9" si="8">AH8+#REF!</f>
        <v>#REF!</v>
      </c>
      <c r="AI9" s="8" t="str">
        <f t="shared" si="8"/>
        <v>#REF!</v>
      </c>
      <c r="AJ9" s="62"/>
      <c r="AL9" s="65" t="str">
        <f>'PTA-to-PIEN_Weekday'!A4</f>
        <v>MEARS STREET </v>
      </c>
      <c r="AM9" s="66">
        <v>0.00208333333333334</v>
      </c>
      <c r="AN9" s="66">
        <v>0.0020833333333333814</v>
      </c>
    </row>
    <row r="10">
      <c r="A10" s="9" t="s">
        <v>62</v>
      </c>
      <c r="B10" s="9" t="s">
        <v>63</v>
      </c>
      <c r="C10" s="8"/>
      <c r="D10" s="8">
        <v>0.1923611111111111</v>
      </c>
      <c r="E10" s="8"/>
      <c r="F10" s="8" t="str">
        <f t="shared" si="9"/>
        <v>#REF!</v>
      </c>
      <c r="G10" s="8"/>
      <c r="H10" s="8" t="str">
        <f t="shared" si="3"/>
        <v>#REF!</v>
      </c>
      <c r="I10" s="64"/>
      <c r="J10" s="8" t="str">
        <f t="shared" si="4"/>
        <v>#REF!</v>
      </c>
      <c r="K10" s="8"/>
      <c r="L10" s="8">
        <v>0.2833333333333334</v>
      </c>
      <c r="M10" s="8"/>
      <c r="N10" s="8" t="str">
        <f t="shared" si="10"/>
        <v>#REF!</v>
      </c>
      <c r="O10" s="8"/>
      <c r="P10" s="8">
        <v>0.34166666666666673</v>
      </c>
      <c r="Q10" s="8"/>
      <c r="R10" s="8" t="str">
        <f t="shared" ref="R10:X10" si="11">R9+#REF!</f>
        <v>#REF!</v>
      </c>
      <c r="S10" s="8" t="str">
        <f t="shared" si="11"/>
        <v>#REF!</v>
      </c>
      <c r="T10" s="8" t="str">
        <f t="shared" si="11"/>
        <v>#REF!</v>
      </c>
      <c r="U10" s="8" t="str">
        <f t="shared" si="11"/>
        <v>#REF!</v>
      </c>
      <c r="V10" s="8" t="str">
        <f t="shared" si="11"/>
        <v>#REF!</v>
      </c>
      <c r="W10" s="8" t="str">
        <f t="shared" si="11"/>
        <v>#REF!</v>
      </c>
      <c r="X10" s="8" t="str">
        <f t="shared" si="11"/>
        <v>#REF!</v>
      </c>
      <c r="Z10" s="8" t="str">
        <f t="shared" si="6"/>
        <v>#REF!</v>
      </c>
      <c r="AA10" s="8"/>
      <c r="AB10" s="8" t="str">
        <f t="shared" si="7"/>
        <v>#REF!</v>
      </c>
      <c r="AC10" s="8"/>
      <c r="AD10" s="8" t="str">
        <f t="shared" si="12"/>
        <v>#REF!</v>
      </c>
      <c r="AE10" s="8"/>
      <c r="AF10" s="8" t="str">
        <f t="shared" si="13"/>
        <v>#REF!</v>
      </c>
      <c r="AG10" s="8"/>
      <c r="AH10" s="8" t="str">
        <f>AH9+#REF!+TIME(0,1,0)</f>
        <v>#REF!</v>
      </c>
      <c r="AI10" s="8" t="str">
        <f t="shared" ref="AI10:AI11" si="15">AI9+#REF!</f>
        <v>#REF!</v>
      </c>
      <c r="AJ10" s="62"/>
      <c r="AL10" s="65" t="str">
        <f>'PTA-to-PIEN_Weekday'!A5</f>
        <v>DEVENISH STREET </v>
      </c>
      <c r="AM10" s="66">
        <v>0.001388888888888884</v>
      </c>
      <c r="AN10" s="66">
        <v>0.001388888888888884</v>
      </c>
    </row>
    <row r="11">
      <c r="A11" s="9" t="s">
        <v>64</v>
      </c>
      <c r="B11" s="9" t="s">
        <v>65</v>
      </c>
      <c r="C11" s="8"/>
      <c r="D11" s="8">
        <v>0.19444444444444442</v>
      </c>
      <c r="E11" s="8"/>
      <c r="F11" s="8" t="str">
        <f t="shared" si="9"/>
        <v>#REF!</v>
      </c>
      <c r="G11" s="8"/>
      <c r="H11" s="8" t="str">
        <f t="shared" si="3"/>
        <v>#REF!</v>
      </c>
      <c r="I11" s="64"/>
      <c r="J11" s="8" t="str">
        <f t="shared" si="4"/>
        <v>#REF!</v>
      </c>
      <c r="K11" s="8"/>
      <c r="L11" s="8">
        <v>0.2854166666666667</v>
      </c>
      <c r="M11" s="8"/>
      <c r="N11" s="8" t="str">
        <f t="shared" si="10"/>
        <v>#REF!</v>
      </c>
      <c r="O11" s="8"/>
      <c r="P11" s="8">
        <v>0.34375000000000006</v>
      </c>
      <c r="Q11" s="8"/>
      <c r="R11" s="8" t="str">
        <f t="shared" ref="R11:X11" si="14">R10+#REF!</f>
        <v>#REF!</v>
      </c>
      <c r="S11" s="8" t="str">
        <f t="shared" si="14"/>
        <v>#REF!</v>
      </c>
      <c r="T11" s="8" t="str">
        <f t="shared" si="14"/>
        <v>#REF!</v>
      </c>
      <c r="U11" s="8" t="str">
        <f t="shared" si="14"/>
        <v>#REF!</v>
      </c>
      <c r="V11" s="8" t="str">
        <f t="shared" si="14"/>
        <v>#REF!</v>
      </c>
      <c r="W11" s="8" t="str">
        <f t="shared" si="14"/>
        <v>#REF!</v>
      </c>
      <c r="X11" s="8" t="str">
        <f t="shared" si="14"/>
        <v>#REF!</v>
      </c>
      <c r="Z11" s="8" t="str">
        <f t="shared" si="6"/>
        <v>#REF!</v>
      </c>
      <c r="AA11" s="8"/>
      <c r="AB11" s="8" t="str">
        <f t="shared" si="7"/>
        <v>#REF!</v>
      </c>
      <c r="AC11" s="8"/>
      <c r="AD11" s="8" t="str">
        <f t="shared" si="12"/>
        <v>#REF!</v>
      </c>
      <c r="AE11" s="8"/>
      <c r="AF11" s="8" t="str">
        <f>AF10+#REF!-TIME(0,1,0)</f>
        <v>#REF!</v>
      </c>
      <c r="AG11" s="8"/>
      <c r="AH11" s="8" t="str">
        <f>AH10+#REF!-TIME(0,1,0)</f>
        <v>#REF!</v>
      </c>
      <c r="AI11" s="8" t="str">
        <f t="shared" si="15"/>
        <v>#REF!</v>
      </c>
      <c r="AJ11" s="62"/>
      <c r="AL11" s="65" t="str">
        <f>'PTA-to-PIEN_Weekday'!A6</f>
        <v>WALKER STREET </v>
      </c>
      <c r="AM11" s="66">
        <v>0.001388888888888884</v>
      </c>
      <c r="AN11" s="66">
        <v>0.001388888888888884</v>
      </c>
    </row>
    <row r="12">
      <c r="A12" s="9" t="s">
        <v>66</v>
      </c>
      <c r="B12" s="9" t="s">
        <v>67</v>
      </c>
      <c r="C12" s="8"/>
      <c r="D12" s="8">
        <v>0.1958333333333333</v>
      </c>
      <c r="E12" s="8"/>
      <c r="F12" s="8" t="str">
        <f t="shared" si="9"/>
        <v>#REF!</v>
      </c>
      <c r="G12" s="8"/>
      <c r="H12" s="8" t="str">
        <f t="shared" si="3"/>
        <v>#REF!</v>
      </c>
      <c r="I12" s="64"/>
      <c r="J12" s="8" t="str">
        <f t="shared" si="4"/>
        <v>#REF!</v>
      </c>
      <c r="K12" s="8"/>
      <c r="L12" s="8">
        <v>0.2868055555555556</v>
      </c>
      <c r="M12" s="8"/>
      <c r="N12" s="8" t="str">
        <f t="shared" si="10"/>
        <v>#REF!</v>
      </c>
      <c r="O12" s="8"/>
      <c r="P12" s="8">
        <v>0.3458333333333334</v>
      </c>
      <c r="Q12" s="8"/>
      <c r="R12" s="8" t="str">
        <f t="shared" ref="R12:X12" si="16">R11+#REF!</f>
        <v>#REF!</v>
      </c>
      <c r="S12" s="8" t="str">
        <f t="shared" si="16"/>
        <v>#REF!</v>
      </c>
      <c r="T12" s="8" t="str">
        <f t="shared" si="16"/>
        <v>#REF!</v>
      </c>
      <c r="U12" s="8" t="str">
        <f t="shared" si="16"/>
        <v>#REF!</v>
      </c>
      <c r="V12" s="8" t="str">
        <f t="shared" si="16"/>
        <v>#REF!</v>
      </c>
      <c r="W12" s="8" t="str">
        <f t="shared" si="16"/>
        <v>#REF!</v>
      </c>
      <c r="X12" s="8" t="str">
        <f t="shared" si="16"/>
        <v>#REF!</v>
      </c>
      <c r="Z12" s="8" t="str">
        <f t="shared" si="6"/>
        <v>#REF!</v>
      </c>
      <c r="AA12" s="8"/>
      <c r="AB12" s="8" t="str">
        <f t="shared" si="7"/>
        <v>#REF!</v>
      </c>
      <c r="AC12" s="8"/>
      <c r="AD12" s="8" t="str">
        <f t="shared" si="12"/>
        <v>#REF!</v>
      </c>
      <c r="AE12" s="8"/>
      <c r="AF12" s="8" t="str">
        <f>AF11+#REF!+TIME(0,1,0)</f>
        <v>#REF!</v>
      </c>
      <c r="AG12" s="8"/>
      <c r="AH12" s="8" t="str">
        <f t="shared" ref="AH12:AI12" si="17">AH11+#REF!+TIME(0,1,0)</f>
        <v>#REF!</v>
      </c>
      <c r="AI12" s="8" t="str">
        <f t="shared" si="17"/>
        <v>#REF!</v>
      </c>
      <c r="AJ12" s="62"/>
      <c r="AL12" s="65" t="str">
        <f>'PTA-to-PIEN_Weekday'!A7</f>
        <v>LOFTUS VERSFELD PARK </v>
      </c>
      <c r="AM12" s="66">
        <v>0.00208333333333334</v>
      </c>
      <c r="AN12" s="66">
        <v>0.002083333333333326</v>
      </c>
    </row>
    <row r="13">
      <c r="A13" s="9" t="s">
        <v>68</v>
      </c>
      <c r="B13" s="9" t="s">
        <v>69</v>
      </c>
      <c r="C13" s="8"/>
      <c r="D13" s="8">
        <v>0.19791666666666663</v>
      </c>
      <c r="E13" s="8"/>
      <c r="F13" s="8" t="str">
        <f t="shared" si="9"/>
        <v>#REF!</v>
      </c>
      <c r="G13" s="8"/>
      <c r="H13" s="8" t="str">
        <f t="shared" si="3"/>
        <v>#REF!</v>
      </c>
      <c r="I13" s="64"/>
      <c r="J13" s="8" t="str">
        <f t="shared" si="4"/>
        <v>#REF!</v>
      </c>
      <c r="K13" s="8"/>
      <c r="L13" s="8">
        <v>0.2881944444444445</v>
      </c>
      <c r="M13" s="8"/>
      <c r="N13" s="8" t="str">
        <f t="shared" si="10"/>
        <v>#REF!</v>
      </c>
      <c r="O13" s="8"/>
      <c r="P13" s="8">
        <v>0.34722222222222227</v>
      </c>
      <c r="Q13" s="8"/>
      <c r="R13" s="8" t="str">
        <f>R12+#REF!-TIME(0,1,0)</f>
        <v>#REF!</v>
      </c>
      <c r="S13" s="8" t="str">
        <f t="shared" ref="S13:X13" si="18">S12+#REF!</f>
        <v>#REF!</v>
      </c>
      <c r="T13" s="8" t="str">
        <f t="shared" si="18"/>
        <v>#REF!</v>
      </c>
      <c r="U13" s="8" t="str">
        <f t="shared" si="18"/>
        <v>#REF!</v>
      </c>
      <c r="V13" s="8" t="str">
        <f t="shared" si="18"/>
        <v>#REF!</v>
      </c>
      <c r="W13" s="8" t="str">
        <f t="shared" si="18"/>
        <v>#REF!</v>
      </c>
      <c r="X13" s="8" t="str">
        <f t="shared" si="18"/>
        <v>#REF!</v>
      </c>
      <c r="Z13" s="8" t="str">
        <f t="shared" si="6"/>
        <v>#REF!</v>
      </c>
      <c r="AA13" s="8"/>
      <c r="AB13" s="8" t="str">
        <f t="shared" si="7"/>
        <v>#REF!</v>
      </c>
      <c r="AC13" s="8"/>
      <c r="AD13" s="8" t="str">
        <f t="shared" si="12"/>
        <v>#REF!</v>
      </c>
      <c r="AE13" s="8"/>
      <c r="AF13" s="8" t="str">
        <f t="shared" ref="AF13:AF14" si="20">AF12+#REF!</f>
        <v>#REF!</v>
      </c>
      <c r="AG13" s="8"/>
      <c r="AH13" s="8" t="str">
        <f t="shared" ref="AH13:AH20" si="21">AH12+#REF!</f>
        <v>#REF!</v>
      </c>
      <c r="AI13" s="8" t="str">
        <f>AI12+#REF!+TIME(0,1,0)</f>
        <v>#REF!</v>
      </c>
      <c r="AJ13" s="62"/>
      <c r="AL13" s="65" t="str">
        <f>'PTA-to-PIEN_Weekday'!A8</f>
        <v>RISSIK </v>
      </c>
      <c r="AM13" s="66">
        <v>0.001388888888888884</v>
      </c>
      <c r="AN13" s="66">
        <v>0.001388888888888884</v>
      </c>
    </row>
    <row r="14">
      <c r="A14" s="67" t="s">
        <v>70</v>
      </c>
      <c r="B14" s="68" t="s">
        <v>71</v>
      </c>
      <c r="C14" s="69">
        <v>0.1909722222222222</v>
      </c>
      <c r="D14" s="69">
        <v>0.2013888888888889</v>
      </c>
      <c r="E14" s="69">
        <v>0.21180555555555555</v>
      </c>
      <c r="F14" s="69" t="str">
        <f>F13+#REF!+TIME(0,1,0)</f>
        <v>#REF!</v>
      </c>
      <c r="G14" s="69">
        <v>0.23958333333333334</v>
      </c>
      <c r="H14" s="69" t="str">
        <f t="shared" si="3"/>
        <v>#REF!</v>
      </c>
      <c r="I14" s="70">
        <v>0.25</v>
      </c>
      <c r="J14" s="69" t="str">
        <f t="shared" si="4"/>
        <v>#REF!</v>
      </c>
      <c r="K14" s="69">
        <v>0.2881944444444444</v>
      </c>
      <c r="L14" s="69">
        <v>0.2916666666666667</v>
      </c>
      <c r="M14" s="69">
        <v>0.3020833333333333</v>
      </c>
      <c r="N14" s="69" t="str">
        <f t="shared" si="10"/>
        <v>#REF!</v>
      </c>
      <c r="O14" s="69">
        <v>0.3368055555555556</v>
      </c>
      <c r="P14" s="69">
        <v>0.3506944444444445</v>
      </c>
      <c r="Q14" s="69">
        <v>0.3576388888888889</v>
      </c>
      <c r="R14" s="69" t="str">
        <f>R13+#REF!+TIME(0,1,0)</f>
        <v>#REF!</v>
      </c>
      <c r="S14" s="69" t="str">
        <f t="shared" ref="S14:W14" si="19">S13+#REF!</f>
        <v>#REF!</v>
      </c>
      <c r="T14" s="69" t="str">
        <f t="shared" si="19"/>
        <v>#REF!</v>
      </c>
      <c r="U14" s="69" t="str">
        <f t="shared" si="19"/>
        <v>#REF!</v>
      </c>
      <c r="V14" s="69" t="str">
        <f t="shared" si="19"/>
        <v>#REF!</v>
      </c>
      <c r="W14" s="69" t="str">
        <f t="shared" si="19"/>
        <v>#REF!</v>
      </c>
      <c r="X14" s="69" t="str">
        <f>X13+#REF!+TIME(0,2,0)</f>
        <v>#REF!</v>
      </c>
      <c r="Y14" s="69" t="str">
        <f>Z14</f>
        <v>#REF!</v>
      </c>
      <c r="Z14" s="69" t="str">
        <f>Z13+#REF!+TIME(0,2,0)</f>
        <v>#REF!</v>
      </c>
      <c r="AA14" s="69">
        <v>0.6909722222222221</v>
      </c>
      <c r="AB14" s="69" t="str">
        <f>AB13+#REF!+TIME(0,1,0)+TIME(0,1,0)</f>
        <v>#REF!</v>
      </c>
      <c r="AC14" s="69">
        <v>0.7256944444444444</v>
      </c>
      <c r="AD14" s="69" t="str">
        <f t="shared" si="12"/>
        <v>#REF!</v>
      </c>
      <c r="AE14" s="69">
        <v>0.7395833333333334</v>
      </c>
      <c r="AF14" s="69" t="str">
        <f t="shared" si="20"/>
        <v>#REF!</v>
      </c>
      <c r="AG14" s="69">
        <v>0.7708333333333334</v>
      </c>
      <c r="AH14" s="69" t="str">
        <f t="shared" si="21"/>
        <v>#REF!</v>
      </c>
      <c r="AI14" s="69" t="str">
        <f>AI13+#REF!+TIME(0,1,0)+TIME(0,1,0)</f>
        <v>#REF!</v>
      </c>
      <c r="AJ14" s="62"/>
      <c r="AL14" s="65" t="str">
        <f>'PTA-to-PIEN_Weekday'!A9</f>
        <v>HARTBEESSPRUIT </v>
      </c>
      <c r="AM14" s="66">
        <v>0.002083333333333326</v>
      </c>
      <c r="AN14" s="66">
        <v>0.001388888888888884</v>
      </c>
    </row>
    <row r="15">
      <c r="A15" s="9" t="s">
        <v>72</v>
      </c>
      <c r="B15" s="9" t="s">
        <v>73</v>
      </c>
      <c r="C15" s="8">
        <v>0.1923611111111111</v>
      </c>
      <c r="E15" s="8" t="str">
        <f>E14+#REF!-TIME(0,1,0)</f>
        <v>#REF!</v>
      </c>
      <c r="F15" s="8"/>
      <c r="G15" s="8" t="str">
        <f t="shared" ref="G15:G16" si="23">G14+#REF!</f>
        <v>#REF!</v>
      </c>
      <c r="H15" s="8"/>
      <c r="I15" s="64">
        <v>0.25277777777777777</v>
      </c>
      <c r="J15" s="8"/>
      <c r="K15" s="8">
        <v>0.29027777777777775</v>
      </c>
      <c r="L15" s="8"/>
      <c r="M15" s="8" t="str">
        <f t="shared" ref="M15:M16" si="24">M14+#REF!</f>
        <v>#REF!</v>
      </c>
      <c r="N15" s="8"/>
      <c r="O15" s="8">
        <v>0.33819444444444446</v>
      </c>
      <c r="P15" s="8"/>
      <c r="Q15" s="8" t="str">
        <f>Q14+#REF!-TIME(0,1,0)</f>
        <v>#REF!</v>
      </c>
      <c r="R15" s="8" t="str">
        <f t="shared" ref="R15:W15" si="22">R14+#REF!</f>
        <v>#REF!</v>
      </c>
      <c r="S15" s="8" t="str">
        <f t="shared" si="22"/>
        <v>#REF!</v>
      </c>
      <c r="T15" s="8" t="str">
        <f t="shared" si="22"/>
        <v>#REF!</v>
      </c>
      <c r="U15" s="8" t="str">
        <f t="shared" si="22"/>
        <v>#REF!</v>
      </c>
      <c r="V15" s="8" t="str">
        <f t="shared" si="22"/>
        <v>#REF!</v>
      </c>
      <c r="W15" s="8" t="str">
        <f t="shared" si="22"/>
        <v>#REF!</v>
      </c>
      <c r="X15" s="8"/>
      <c r="Y15" s="8" t="str">
        <f>Y14+#REF!-TIME(0,2,0)</f>
        <v>#REF!</v>
      </c>
      <c r="AA15" s="8" t="str">
        <f>AA14+#REF!-TIME(0,2,0)</f>
        <v>#REF!</v>
      </c>
      <c r="AB15" s="8"/>
      <c r="AC15" s="8" t="str">
        <f t="shared" ref="AC15:AC16" si="26">AC14+#REF!</f>
        <v>#REF!</v>
      </c>
      <c r="AE15" s="8" t="str">
        <f t="shared" ref="AE15:AE16" si="27">AE14+#REF!</f>
        <v>#REF!</v>
      </c>
      <c r="AF15" s="8"/>
      <c r="AG15" s="8" t="str">
        <f>AG14+#REF!-TIME(0,1,0)</f>
        <v>#REF!</v>
      </c>
      <c r="AH15" s="8" t="str">
        <f t="shared" si="21"/>
        <v>#REF!</v>
      </c>
      <c r="AI15" s="8" t="str">
        <f>AI14+#REF!-TIME(0,1,0)</f>
        <v>#REF!</v>
      </c>
      <c r="AJ15" s="62"/>
      <c r="AL15" s="65" t="str">
        <f>'PTA-to-PIEN_Weekday'!A11</f>
        <v>KOEDOESPOORT </v>
      </c>
      <c r="AM15" s="66">
        <v>0.0020833333333333814</v>
      </c>
      <c r="AN15" s="66">
        <v>0.00347222222222221</v>
      </c>
    </row>
    <row r="16">
      <c r="A16" s="9" t="s">
        <v>74</v>
      </c>
      <c r="B16" s="9" t="s">
        <v>75</v>
      </c>
      <c r="C16" s="8">
        <v>0.19513888888888886</v>
      </c>
      <c r="E16" s="8" t="str">
        <f>E15+#REF!+TIME(0,1,0)</f>
        <v>#REF!</v>
      </c>
      <c r="F16" s="8"/>
      <c r="G16" s="8" t="str">
        <f t="shared" si="23"/>
        <v>#REF!</v>
      </c>
      <c r="I16" s="64">
        <v>0.2548611111111111</v>
      </c>
      <c r="J16" s="8"/>
      <c r="K16" s="8">
        <v>0.29236111111111107</v>
      </c>
      <c r="L16" s="8"/>
      <c r="M16" s="8" t="str">
        <f t="shared" si="24"/>
        <v>#REF!</v>
      </c>
      <c r="N16" s="8"/>
      <c r="O16" s="8">
        <v>0.34097222222222223</v>
      </c>
      <c r="P16" s="8"/>
      <c r="Q16" s="8" t="str">
        <f t="shared" ref="Q16:W16" si="25">Q15+#REF!</f>
        <v>#REF!</v>
      </c>
      <c r="R16" s="8" t="str">
        <f t="shared" si="25"/>
        <v>#REF!</v>
      </c>
      <c r="S16" s="8" t="str">
        <f t="shared" si="25"/>
        <v>#REF!</v>
      </c>
      <c r="T16" s="8" t="str">
        <f t="shared" si="25"/>
        <v>#REF!</v>
      </c>
      <c r="U16" s="8" t="str">
        <f t="shared" si="25"/>
        <v>#REF!</v>
      </c>
      <c r="V16" s="8" t="str">
        <f t="shared" si="25"/>
        <v>#REF!</v>
      </c>
      <c r="W16" s="8" t="str">
        <f t="shared" si="25"/>
        <v>#REF!</v>
      </c>
      <c r="X16" s="8"/>
      <c r="Y16" s="8" t="str">
        <f>Y15+#REF!+TIME(0,1,0)</f>
        <v>#REF!</v>
      </c>
      <c r="AA16" s="8" t="str">
        <f>AA15+#REF!+TIME(0,1,0)</f>
        <v>#REF!</v>
      </c>
      <c r="AB16" s="8"/>
      <c r="AC16" s="8" t="str">
        <f t="shared" si="26"/>
        <v>#REF!</v>
      </c>
      <c r="AE16" s="8" t="str">
        <f t="shared" si="27"/>
        <v>#REF!</v>
      </c>
      <c r="AF16" s="8"/>
      <c r="AG16" s="8" t="str">
        <f>AG15+#REF!+TIME(0,1,0)</f>
        <v>#REF!</v>
      </c>
      <c r="AH16" s="8" t="str">
        <f t="shared" si="21"/>
        <v>#REF!</v>
      </c>
      <c r="AI16" s="8" t="str">
        <f t="shared" ref="AI16:AI17" si="29">AI15+#REF!</f>
        <v>#REF!</v>
      </c>
      <c r="AJ16" s="62"/>
      <c r="AL16" s="65" t="str">
        <f>'PTA-to-PIEN_Weekday'!A12</f>
        <v>SILVERTON </v>
      </c>
      <c r="AM16" s="66">
        <v>0.002777777777777768</v>
      </c>
      <c r="AN16" s="66">
        <v>0.002083333333333326</v>
      </c>
    </row>
    <row r="17">
      <c r="A17" s="9" t="s">
        <v>76</v>
      </c>
      <c r="B17" s="9" t="s">
        <v>77</v>
      </c>
      <c r="C17" s="8">
        <v>0.1965277777777778</v>
      </c>
      <c r="E17" s="8" t="str">
        <f>E16+#REF!-TIME(0,1,0)</f>
        <v>#REF!</v>
      </c>
      <c r="F17" s="8"/>
      <c r="G17" s="8" t="str">
        <f>G16+#REF!-TIME(0,1,0)</f>
        <v>#REF!</v>
      </c>
      <c r="I17" s="64">
        <v>0.25625</v>
      </c>
      <c r="J17" s="8"/>
      <c r="K17" s="8">
        <v>0.29375</v>
      </c>
      <c r="L17" s="8"/>
      <c r="M17" s="8" t="str">
        <f>M16+#REF!-TIME(0,1,0)</f>
        <v>#REF!</v>
      </c>
      <c r="N17" s="8"/>
      <c r="O17" s="8">
        <v>0.34236111111111117</v>
      </c>
      <c r="P17" s="8"/>
      <c r="Q17" s="8" t="str">
        <f t="shared" ref="Q17:W17" si="28">Q16+#REF!</f>
        <v>#REF!</v>
      </c>
      <c r="R17" s="8" t="str">
        <f t="shared" si="28"/>
        <v>#REF!</v>
      </c>
      <c r="S17" s="8" t="str">
        <f t="shared" si="28"/>
        <v>#REF!</v>
      </c>
      <c r="T17" s="8" t="str">
        <f t="shared" si="28"/>
        <v>#REF!</v>
      </c>
      <c r="U17" s="8" t="str">
        <f t="shared" si="28"/>
        <v>#REF!</v>
      </c>
      <c r="V17" s="8" t="str">
        <f t="shared" si="28"/>
        <v>#REF!</v>
      </c>
      <c r="W17" s="8" t="str">
        <f t="shared" si="28"/>
        <v>#REF!</v>
      </c>
      <c r="X17" s="8"/>
      <c r="Y17" s="8" t="str">
        <f>Y16+#REF!</f>
        <v>#REF!</v>
      </c>
      <c r="AA17" s="8" t="str">
        <f t="shared" ref="AA17:AA18" si="31">AA16+#REF!</f>
        <v>#REF!</v>
      </c>
      <c r="AB17" s="8"/>
      <c r="AC17" s="8" t="str">
        <f>AC16+#REF!-TIME(0,1,0)</f>
        <v>#REF!</v>
      </c>
      <c r="AE17" s="8" t="str">
        <f>AE16+#REF!-TIME(0,1,0)</f>
        <v>#REF!</v>
      </c>
      <c r="AF17" s="8"/>
      <c r="AG17" s="8" t="str">
        <f>AG16+#REF!-TIME(0,1,0)</f>
        <v>#REF!</v>
      </c>
      <c r="AH17" s="8" t="str">
        <f t="shared" si="21"/>
        <v>#REF!</v>
      </c>
      <c r="AI17" s="8" t="str">
        <f t="shared" si="29"/>
        <v>#REF!</v>
      </c>
      <c r="AJ17" s="62"/>
      <c r="AL17" s="65" t="str">
        <f>'PTA-to-PIEN_Weekday'!A14</f>
        <v>WALTOO </v>
      </c>
      <c r="AM17" s="66">
        <v>0.00208333333333334</v>
      </c>
      <c r="AN17" s="66">
        <v>0.002083333333333326</v>
      </c>
    </row>
    <row r="18">
      <c r="A18" s="9" t="s">
        <v>78</v>
      </c>
      <c r="B18" s="9" t="s">
        <v>79</v>
      </c>
      <c r="C18" s="8">
        <v>0.19861111111111113</v>
      </c>
      <c r="E18" s="8" t="str">
        <f>E17+#REF!+TIME(0,1,0)</f>
        <v>#REF!</v>
      </c>
      <c r="F18" s="8"/>
      <c r="G18" s="8" t="str">
        <f t="shared" ref="G18:G20" si="32">G17+#REF!</f>
        <v>#REF!</v>
      </c>
      <c r="I18" s="64">
        <v>0.2583333333333333</v>
      </c>
      <c r="J18" s="8"/>
      <c r="K18" s="8">
        <v>0.29583333333333334</v>
      </c>
      <c r="L18" s="8"/>
      <c r="M18" s="8" t="str">
        <f t="shared" ref="M18:M19" si="33">M17+#REF!</f>
        <v>#REF!</v>
      </c>
      <c r="N18" s="8"/>
      <c r="O18" s="8">
        <v>0.3444444444444445</v>
      </c>
      <c r="P18" s="8"/>
      <c r="Q18" s="8" t="str">
        <f t="shared" ref="Q18:W18" si="30">Q17+#REF!</f>
        <v>#REF!</v>
      </c>
      <c r="R18" s="8" t="str">
        <f t="shared" si="30"/>
        <v>#REF!</v>
      </c>
      <c r="S18" s="8" t="str">
        <f t="shared" si="30"/>
        <v>#REF!</v>
      </c>
      <c r="T18" s="8" t="str">
        <f t="shared" si="30"/>
        <v>#REF!</v>
      </c>
      <c r="U18" s="8" t="str">
        <f t="shared" si="30"/>
        <v>#REF!</v>
      </c>
      <c r="V18" s="8" t="str">
        <f t="shared" si="30"/>
        <v>#REF!</v>
      </c>
      <c r="W18" s="8" t="str">
        <f t="shared" si="30"/>
        <v>#REF!</v>
      </c>
      <c r="X18" s="8"/>
      <c r="Y18" s="8" t="str">
        <f>Y17+#REF!+TIME(0,1,0)</f>
        <v>#REF!</v>
      </c>
      <c r="AA18" s="8" t="str">
        <f t="shared" si="31"/>
        <v>#REF!</v>
      </c>
      <c r="AB18" s="8"/>
      <c r="AC18" s="8" t="str">
        <f>AC17+#REF!+TIME(0,1,0)</f>
        <v>#REF!</v>
      </c>
      <c r="AE18" s="8" t="str">
        <f t="shared" ref="AE18:AE20" si="35">AE17+#REF!</f>
        <v>#REF!</v>
      </c>
      <c r="AF18" s="8"/>
      <c r="AG18" s="8" t="str">
        <f>AG17+#REF!+TIME(0,1,0)</f>
        <v>#REF!</v>
      </c>
      <c r="AH18" s="8" t="str">
        <f t="shared" si="21"/>
        <v>#REF!</v>
      </c>
      <c r="AI18" s="8" t="str">
        <f>AI17+#REF!+TIME(0,1,0)</f>
        <v>#REF!</v>
      </c>
      <c r="AJ18" s="62"/>
      <c r="AL18" s="65" t="str">
        <f>'PTA-to-PIEN_Weekday'!A15</f>
        <v>DENNEBOOM </v>
      </c>
      <c r="AM18" s="66">
        <v>0.001388888888888884</v>
      </c>
      <c r="AN18" s="66">
        <v>0.0020833333333333814</v>
      </c>
    </row>
    <row r="19">
      <c r="A19" s="9" t="s">
        <v>80</v>
      </c>
      <c r="B19" s="9" t="s">
        <v>81</v>
      </c>
      <c r="C19" s="8">
        <v>0.2013888888888889</v>
      </c>
      <c r="E19" s="8" t="str">
        <f>E18+#REF!-TIME(0,1,0)</f>
        <v>#REF!</v>
      </c>
      <c r="F19" s="8"/>
      <c r="G19" s="8" t="str">
        <f t="shared" si="32"/>
        <v>#REF!</v>
      </c>
      <c r="I19" s="64">
        <v>0.26041666666666663</v>
      </c>
      <c r="J19" s="8"/>
      <c r="K19" s="8">
        <v>0.2986111111111111</v>
      </c>
      <c r="L19" s="8"/>
      <c r="M19" s="8" t="str">
        <f t="shared" si="33"/>
        <v>#REF!</v>
      </c>
      <c r="N19" s="8"/>
      <c r="O19" s="8">
        <v>0.34722222222222227</v>
      </c>
      <c r="P19" s="8"/>
      <c r="Q19" s="8" t="str">
        <f t="shared" ref="Q19:W19" si="34">Q18+#REF!</f>
        <v>#REF!</v>
      </c>
      <c r="R19" s="8" t="str">
        <f t="shared" si="34"/>
        <v>#REF!</v>
      </c>
      <c r="S19" s="8" t="str">
        <f t="shared" si="34"/>
        <v>#REF!</v>
      </c>
      <c r="T19" s="8" t="str">
        <f t="shared" si="34"/>
        <v>#REF!</v>
      </c>
      <c r="U19" s="8" t="str">
        <f t="shared" si="34"/>
        <v>#REF!</v>
      </c>
      <c r="V19" s="8" t="str">
        <f t="shared" si="34"/>
        <v>#REF!</v>
      </c>
      <c r="W19" s="8" t="str">
        <f t="shared" si="34"/>
        <v>#REF!</v>
      </c>
      <c r="X19" s="8"/>
      <c r="Y19" s="8" t="str">
        <f>Y18+#REF!</f>
        <v>#REF!</v>
      </c>
      <c r="AA19" s="8" t="str">
        <f>AA18+#REF!-TIME(0,1,0)</f>
        <v>#REF!</v>
      </c>
      <c r="AB19" s="8"/>
      <c r="AC19" s="8" t="str">
        <f>AC18+#REF!-TIME(0,1,0)</f>
        <v>#REF!</v>
      </c>
      <c r="AE19" s="8" t="str">
        <f t="shared" si="35"/>
        <v>#REF!</v>
      </c>
      <c r="AF19" s="8"/>
      <c r="AG19" s="8" t="str">
        <f>AG18+#REF!-TIME(0,1,0)</f>
        <v>#REF!</v>
      </c>
      <c r="AH19" s="8" t="str">
        <f t="shared" si="21"/>
        <v>#REF!</v>
      </c>
      <c r="AI19" s="8" t="str">
        <f>AI18+#REF!-TIME(0,1,0)</f>
        <v>#REF!</v>
      </c>
      <c r="AJ19" s="62"/>
      <c r="AL19" s="65" t="str">
        <f>'PTA-to-PIEN_Weekday'!A16</f>
        <v>EERSTE FABRIEKE </v>
      </c>
      <c r="AM19" s="66">
        <v>0.002083333333333326</v>
      </c>
      <c r="AN19" s="66">
        <v>0.002083333333333326</v>
      </c>
    </row>
    <row r="20">
      <c r="A20" s="9" t="s">
        <v>82</v>
      </c>
      <c r="B20" s="9" t="s">
        <v>83</v>
      </c>
      <c r="C20" s="8">
        <v>0.20833333333333331</v>
      </c>
      <c r="E20" s="8"/>
      <c r="F20" s="8"/>
      <c r="G20" s="8" t="str">
        <f t="shared" si="32"/>
        <v>#REF!</v>
      </c>
      <c r="I20" s="64"/>
      <c r="J20" s="8"/>
      <c r="K20" s="8">
        <v>0.3055555555555555</v>
      </c>
      <c r="L20" s="8"/>
      <c r="M20" s="8"/>
      <c r="N20" s="8"/>
      <c r="O20" s="8">
        <v>0.3541666666666667</v>
      </c>
      <c r="P20" s="8"/>
      <c r="Q20" s="8"/>
      <c r="R20" s="8" t="str">
        <f t="shared" ref="R20:V20" si="36">R19+#REF!+TIME(0,5,0)</f>
        <v>#REF!</v>
      </c>
      <c r="S20" s="8" t="str">
        <f t="shared" si="36"/>
        <v>#REF!</v>
      </c>
      <c r="T20" s="8" t="str">
        <f t="shared" si="36"/>
        <v>#REF!</v>
      </c>
      <c r="U20" s="8" t="str">
        <f t="shared" si="36"/>
        <v>#REF!</v>
      </c>
      <c r="V20" s="8" t="str">
        <f t="shared" si="36"/>
        <v>#REF!</v>
      </c>
      <c r="W20" s="8"/>
      <c r="X20" s="8"/>
      <c r="Y20" s="8"/>
      <c r="AA20" s="8" t="str">
        <f>AA19+#REF!+TIME(0,5,0)</f>
        <v>#REF!</v>
      </c>
      <c r="AB20" s="8"/>
      <c r="AC20" s="8"/>
      <c r="AE20" s="8" t="str">
        <f t="shared" si="35"/>
        <v>#REF!</v>
      </c>
      <c r="AF20" s="8"/>
      <c r="AG20" s="8"/>
      <c r="AH20" s="8" t="str">
        <f t="shared" si="21"/>
        <v>#REF!</v>
      </c>
      <c r="AI20" s="8" t="str">
        <f>AI19+#REF!+TIME(0,5,0)</f>
        <v>#REF!</v>
      </c>
      <c r="AJ20" s="62"/>
      <c r="AL20" s="65" t="str">
        <f>'PTA-to-PIEN_Weekday'!A17</f>
        <v>MAMELODI GARDENS </v>
      </c>
      <c r="AM20" s="66">
        <v>0.0034722222222222238</v>
      </c>
      <c r="AN20" s="66">
        <v>0.002777777777777768</v>
      </c>
    </row>
    <row r="21">
      <c r="AL21" s="65" t="str">
        <f>'PTA-to-PIEN_Weekday'!A19</f>
        <v>PIENAARSPOORT </v>
      </c>
      <c r="AM21" s="66">
        <v>0.00347222222222221</v>
      </c>
      <c r="AN21" s="66">
        <v>0.00694444444444442</v>
      </c>
    </row>
    <row r="22">
      <c r="AM22" s="7">
        <v>9.0</v>
      </c>
      <c r="AN22" s="7">
        <v>9.0</v>
      </c>
    </row>
    <row r="23">
      <c r="A23" s="7" t="s">
        <v>84</v>
      </c>
    </row>
    <row r="26">
      <c r="A26" s="71" t="s">
        <v>2</v>
      </c>
      <c r="B26" s="71" t="s">
        <v>3</v>
      </c>
      <c r="C26" s="71">
        <v>1100.0</v>
      </c>
      <c r="D26" s="72" t="s">
        <v>85</v>
      </c>
      <c r="E26" s="71">
        <v>1102.0</v>
      </c>
      <c r="F26" s="71">
        <v>1152.0</v>
      </c>
      <c r="G26" s="71">
        <v>1134.0</v>
      </c>
      <c r="H26" s="71">
        <v>1154.0</v>
      </c>
      <c r="I26" s="71">
        <v>1106.0</v>
      </c>
      <c r="J26" s="71">
        <v>1156.0</v>
      </c>
      <c r="K26" s="71">
        <v>1106.0</v>
      </c>
      <c r="L26" s="71">
        <v>1158.0</v>
      </c>
      <c r="M26" s="73">
        <v>1110.0</v>
      </c>
      <c r="N26" s="71">
        <v>1163.0</v>
      </c>
      <c r="O26" s="71">
        <v>1112.0</v>
      </c>
      <c r="P26" s="71">
        <v>1162.0</v>
      </c>
      <c r="Q26" s="71">
        <v>1114.0</v>
      </c>
      <c r="R26" s="71">
        <v>1154.0</v>
      </c>
      <c r="S26" s="71">
        <v>9108.0</v>
      </c>
      <c r="T26" s="71">
        <v>9106.0</v>
      </c>
      <c r="U26" s="71">
        <v>9110.0</v>
      </c>
      <c r="V26" s="71">
        <v>9112.0</v>
      </c>
      <c r="W26" s="71">
        <v>9154.0</v>
      </c>
      <c r="X26" s="71">
        <v>9116.0</v>
      </c>
      <c r="Y26" s="71">
        <v>1122.0</v>
      </c>
      <c r="Z26" s="71">
        <v>1120.0</v>
      </c>
      <c r="AA26" s="71">
        <v>1168.0</v>
      </c>
      <c r="AB26" s="71">
        <v>1166.0</v>
      </c>
      <c r="AC26" s="71">
        <v>1125.0</v>
      </c>
      <c r="AD26" s="71">
        <v>1124.0</v>
      </c>
      <c r="AE26" s="71">
        <v>1172.0</v>
      </c>
      <c r="AF26" s="71">
        <v>1170.0</v>
      </c>
      <c r="AG26" s="71">
        <v>1128.0</v>
      </c>
      <c r="AH26" s="71">
        <v>9122.0</v>
      </c>
      <c r="AI26" s="71">
        <v>1174.0</v>
      </c>
      <c r="AJ26" s="74"/>
      <c r="AL26" s="63"/>
      <c r="AM26" s="59" t="s">
        <v>86</v>
      </c>
      <c r="AN26" s="59" t="s">
        <v>54</v>
      </c>
    </row>
    <row r="27">
      <c r="A27" s="60" t="s">
        <v>82</v>
      </c>
      <c r="B27" s="5" t="s">
        <v>83</v>
      </c>
      <c r="C27" s="6">
        <v>0.16666666666666666</v>
      </c>
      <c r="D27" s="6"/>
      <c r="E27" s="6"/>
      <c r="F27" s="6"/>
      <c r="G27" s="6">
        <v>0.2152777777777778</v>
      </c>
      <c r="H27" s="6"/>
      <c r="I27" s="5" t="s">
        <v>87</v>
      </c>
      <c r="J27" s="5" t="s">
        <v>87</v>
      </c>
      <c r="K27" s="6" t="str">
        <f>J40</f>
        <v>#REF!</v>
      </c>
      <c r="L27" s="6"/>
      <c r="M27" s="6"/>
      <c r="N27" s="6"/>
      <c r="O27" s="6">
        <v>0.3125</v>
      </c>
      <c r="P27" s="6"/>
      <c r="Q27" s="6"/>
      <c r="R27" s="6"/>
      <c r="S27" s="6">
        <v>0.3611111111111111</v>
      </c>
      <c r="T27" s="6"/>
      <c r="U27" s="6" t="str">
        <f>T40</f>
        <v>#REF!</v>
      </c>
      <c r="V27" s="6" t="str">
        <f>U40+TIME(1,5,0)</f>
        <v>#REF!</v>
      </c>
      <c r="W27" s="6">
        <v>0.5520833333333334</v>
      </c>
      <c r="X27" s="6">
        <v>0.6284722222222222</v>
      </c>
      <c r="Y27" s="6"/>
      <c r="Z27" s="6">
        <f>Y28</f>
        <v>0.6666666667</v>
      </c>
      <c r="AA27" s="6"/>
      <c r="AB27" s="6"/>
      <c r="AC27" s="6"/>
      <c r="AD27" s="6">
        <v>0.7152777777777778</v>
      </c>
      <c r="AE27" s="6"/>
      <c r="AF27" s="6"/>
      <c r="AG27" s="6"/>
      <c r="AH27" s="6" t="str">
        <f>AG33</f>
        <v>#REF!</v>
      </c>
      <c r="AI27" s="6"/>
      <c r="AJ27" s="62"/>
      <c r="AL27" s="65" t="str">
        <f>'PIEN-to-PTA_Weekday'!A3</f>
        <v>PIENAARSPOORT </v>
      </c>
      <c r="AM27" s="66">
        <v>0.0</v>
      </c>
      <c r="AN27" s="66">
        <v>0.0</v>
      </c>
    </row>
    <row r="28">
      <c r="A28" s="9" t="s">
        <v>80</v>
      </c>
      <c r="B28" s="7" t="s">
        <v>81</v>
      </c>
      <c r="C28" s="8" t="str">
        <f t="shared" ref="C28:C33" si="38">C27+#REF!</f>
        <v>#REF!</v>
      </c>
      <c r="D28" s="8"/>
      <c r="E28" s="8">
        <v>0.1909722222222222</v>
      </c>
      <c r="F28" s="8"/>
      <c r="G28" s="8" t="str">
        <f t="shared" ref="G28:G33" si="39">G27+#REF!</f>
        <v>#REF!</v>
      </c>
      <c r="H28" s="8"/>
      <c r="I28" s="8" t="str">
        <f>G33</f>
        <v>#REF!</v>
      </c>
      <c r="J28" s="8"/>
      <c r="K28" s="8" t="str">
        <f t="shared" ref="K28:K33" si="40">K27+#REF!</f>
        <v>#REF!</v>
      </c>
      <c r="L28" s="8"/>
      <c r="M28" s="75">
        <v>0.2673611111111111</v>
      </c>
      <c r="N28" s="75"/>
      <c r="O28" s="8" t="str">
        <f t="shared" ref="O28:O33" si="41">O27+#REF!</f>
        <v>#REF!</v>
      </c>
      <c r="P28" s="8"/>
      <c r="Q28" s="8" t="str">
        <f>O33</f>
        <v>#REF!</v>
      </c>
      <c r="R28" s="8"/>
      <c r="S28" s="8" t="str">
        <f t="shared" ref="S28:S33" si="42">S27+#REF!</f>
        <v>#REF!</v>
      </c>
      <c r="T28" s="8">
        <v>0.375</v>
      </c>
      <c r="U28" s="8" t="str">
        <f t="shared" ref="U28:X28" si="37">U27+#REF!</f>
        <v>#REF!</v>
      </c>
      <c r="V28" s="8" t="str">
        <f t="shared" si="37"/>
        <v>#REF!</v>
      </c>
      <c r="W28" s="8" t="str">
        <f t="shared" si="37"/>
        <v>#REF!</v>
      </c>
      <c r="X28" s="8" t="str">
        <f t="shared" si="37"/>
        <v>#REF!</v>
      </c>
      <c r="Y28" s="8">
        <v>0.6666666666666666</v>
      </c>
      <c r="Z28" s="8" t="str">
        <f t="shared" ref="Z28:Z29" si="44">Z27+#REF!</f>
        <v>#REF!</v>
      </c>
      <c r="AA28" s="8"/>
      <c r="AB28" s="8"/>
      <c r="AC28" s="8" t="str">
        <f>AB40</f>
        <v>#REF!</v>
      </c>
      <c r="AD28" s="8" t="str">
        <f t="shared" ref="AD28:AD29" si="45">AD27+#REF!</f>
        <v>#REF!</v>
      </c>
      <c r="AE28" s="8"/>
      <c r="AF28" s="8"/>
      <c r="AG28" s="8">
        <v>0.7534722222222222</v>
      </c>
      <c r="AH28" s="8" t="str">
        <f t="shared" ref="AH28:AH29" si="46">AH27+#REF!</f>
        <v>#REF!</v>
      </c>
      <c r="AI28" s="8"/>
      <c r="AJ28" s="62"/>
      <c r="AL28" s="65" t="str">
        <f>'PIEN-to-PTA_Weekday'!A5</f>
        <v>MAMELODI GARDENS </v>
      </c>
      <c r="AM28" s="66">
        <v>0.006250000000000089</v>
      </c>
      <c r="AN28" s="66">
        <v>0.006250000000000033</v>
      </c>
    </row>
    <row r="29">
      <c r="A29" s="9" t="s">
        <v>78</v>
      </c>
      <c r="B29" s="7" t="s">
        <v>79</v>
      </c>
      <c r="C29" s="8" t="str">
        <f t="shared" si="38"/>
        <v>#REF!</v>
      </c>
      <c r="D29" s="8"/>
      <c r="E29" s="8" t="str">
        <f>E28+#REF!-TIME(0,1,0)</f>
        <v>#REF!</v>
      </c>
      <c r="F29" s="8"/>
      <c r="G29" s="8" t="str">
        <f t="shared" si="39"/>
        <v>#REF!</v>
      </c>
      <c r="H29" s="8"/>
      <c r="I29" s="8" t="str">
        <f>I28+#REF!-TIME(0,1,0)</f>
        <v>#REF!</v>
      </c>
      <c r="J29" s="8"/>
      <c r="K29" s="8" t="str">
        <f t="shared" si="40"/>
        <v>#REF!</v>
      </c>
      <c r="L29" s="8"/>
      <c r="M29" s="75">
        <v>0.2701388888888889</v>
      </c>
      <c r="N29" s="75"/>
      <c r="O29" s="8" t="str">
        <f t="shared" si="41"/>
        <v>#REF!</v>
      </c>
      <c r="P29" s="8"/>
      <c r="Q29" s="8" t="str">
        <f>Q28+#REF!-TIME(0,1,0)</f>
        <v>#REF!</v>
      </c>
      <c r="R29" s="8"/>
      <c r="S29" s="8" t="str">
        <f t="shared" si="42"/>
        <v>#REF!</v>
      </c>
      <c r="T29" s="8" t="str">
        <f>T28+#REF!-TIME(0,1,0)</f>
        <v>#REF!</v>
      </c>
      <c r="U29" s="8" t="str">
        <f t="shared" ref="U29:X29" si="43">U28+#REF!</f>
        <v>#REF!</v>
      </c>
      <c r="V29" s="8" t="str">
        <f t="shared" si="43"/>
        <v>#REF!</v>
      </c>
      <c r="W29" s="8" t="str">
        <f t="shared" si="43"/>
        <v>#REF!</v>
      </c>
      <c r="X29" s="8" t="str">
        <f t="shared" si="43"/>
        <v>#REF!</v>
      </c>
      <c r="Y29" s="8" t="str">
        <f>Y28+#REF!-TIME(0,1,0)</f>
        <v>#REF!</v>
      </c>
      <c r="Z29" s="8" t="str">
        <f t="shared" si="44"/>
        <v>#REF!</v>
      </c>
      <c r="AA29" s="8"/>
      <c r="AB29" s="8"/>
      <c r="AC29" s="8" t="str">
        <f>AC28+#REF!-TIME(0,1,0)</f>
        <v>#REF!</v>
      </c>
      <c r="AD29" s="8" t="str">
        <f t="shared" si="45"/>
        <v>#REF!</v>
      </c>
      <c r="AE29" s="8"/>
      <c r="AF29" s="8"/>
      <c r="AG29" s="8" t="str">
        <f>AG28+#REF!-TIME(0,1,0)</f>
        <v>#REF!</v>
      </c>
      <c r="AH29" s="8" t="str">
        <f t="shared" si="46"/>
        <v>#REF!</v>
      </c>
      <c r="AI29" s="8"/>
      <c r="AJ29" s="62"/>
      <c r="AL29" s="65" t="str">
        <f>'PIEN-to-PTA_Weekday'!A6</f>
        <v>EERSTE FABRIEKE </v>
      </c>
      <c r="AM29" s="66">
        <v>0.009722222222222299</v>
      </c>
      <c r="AN29" s="66">
        <v>0.00347222222222221</v>
      </c>
    </row>
    <row r="30">
      <c r="A30" s="9" t="s">
        <v>76</v>
      </c>
      <c r="B30" s="7" t="s">
        <v>77</v>
      </c>
      <c r="C30" s="8" t="str">
        <f t="shared" si="38"/>
        <v>#REF!</v>
      </c>
      <c r="D30" s="8"/>
      <c r="E30" s="8" t="str">
        <f t="shared" ref="E30:E33" si="50">E29+#REF!</f>
        <v>#REF!</v>
      </c>
      <c r="F30" s="8"/>
      <c r="G30" s="8" t="str">
        <f t="shared" si="39"/>
        <v>#REF!</v>
      </c>
      <c r="H30" s="8"/>
      <c r="I30" s="8" t="str">
        <f t="shared" ref="I30:I33" si="51">I29+#REF!</f>
        <v>#REF!</v>
      </c>
      <c r="J30" s="8"/>
      <c r="K30" s="8" t="str">
        <f t="shared" si="40"/>
        <v>#REF!</v>
      </c>
      <c r="L30" s="8"/>
      <c r="M30" s="75">
        <v>0.2722222222222222</v>
      </c>
      <c r="N30" s="75"/>
      <c r="O30" s="8" t="str">
        <f t="shared" si="41"/>
        <v>#REF!</v>
      </c>
      <c r="P30" s="8"/>
      <c r="Q30" s="8" t="str">
        <f t="shared" ref="Q30:Q33" si="52">Q29+#REF!</f>
        <v>#REF!</v>
      </c>
      <c r="R30" s="8"/>
      <c r="S30" s="8" t="str">
        <f t="shared" si="42"/>
        <v>#REF!</v>
      </c>
      <c r="T30" s="8" t="str">
        <f t="shared" ref="T30:Z30" si="47">T29+#REF!</f>
        <v>#REF!</v>
      </c>
      <c r="U30" s="8" t="str">
        <f t="shared" si="47"/>
        <v>#REF!</v>
      </c>
      <c r="V30" s="8" t="str">
        <f t="shared" si="47"/>
        <v>#REF!</v>
      </c>
      <c r="W30" s="8" t="str">
        <f t="shared" si="47"/>
        <v>#REF!</v>
      </c>
      <c r="X30" s="8" t="str">
        <f t="shared" si="47"/>
        <v>#REF!</v>
      </c>
      <c r="Y30" s="8" t="str">
        <f t="shared" si="47"/>
        <v>#REF!</v>
      </c>
      <c r="Z30" s="8" t="str">
        <f t="shared" si="47"/>
        <v>#REF!</v>
      </c>
      <c r="AA30" s="8"/>
      <c r="AB30" s="8"/>
      <c r="AC30" s="8" t="str">
        <f t="shared" ref="AC30:AD30" si="48">AC29+#REF!</f>
        <v>#REF!</v>
      </c>
      <c r="AD30" s="8" t="str">
        <f t="shared" si="48"/>
        <v>#REF!</v>
      </c>
      <c r="AE30" s="8"/>
      <c r="AF30" s="8"/>
      <c r="AG30" s="8" t="str">
        <f t="shared" ref="AG30:AH30" si="49">AG29+#REF!</f>
        <v>#REF!</v>
      </c>
      <c r="AH30" s="8" t="str">
        <f t="shared" si="49"/>
        <v>#REF!</v>
      </c>
      <c r="AI30" s="8"/>
      <c r="AJ30" s="62"/>
      <c r="AL30" s="65" t="str">
        <f>'PIEN-to-PTA_Weekday'!A7</f>
        <v>DENNEBOOM </v>
      </c>
      <c r="AM30" s="66">
        <v>0.011805555555555625</v>
      </c>
      <c r="AN30" s="66">
        <v>0.002083333333333326</v>
      </c>
    </row>
    <row r="31">
      <c r="A31" s="9" t="s">
        <v>74</v>
      </c>
      <c r="B31" s="7" t="s">
        <v>75</v>
      </c>
      <c r="C31" s="8" t="str">
        <f t="shared" si="38"/>
        <v>#REF!</v>
      </c>
      <c r="D31" s="8"/>
      <c r="E31" s="8" t="str">
        <f t="shared" si="50"/>
        <v>#REF!</v>
      </c>
      <c r="F31" s="8"/>
      <c r="G31" s="8" t="str">
        <f t="shared" si="39"/>
        <v>#REF!</v>
      </c>
      <c r="H31" s="8"/>
      <c r="I31" s="8" t="str">
        <f t="shared" si="51"/>
        <v>#REF!</v>
      </c>
      <c r="J31" s="8"/>
      <c r="K31" s="8" t="str">
        <f t="shared" si="40"/>
        <v>#REF!</v>
      </c>
      <c r="L31" s="8"/>
      <c r="M31" s="75">
        <v>0.2736111111111111</v>
      </c>
      <c r="N31" s="75"/>
      <c r="O31" s="8" t="str">
        <f t="shared" si="41"/>
        <v>#REF!</v>
      </c>
      <c r="P31" s="8"/>
      <c r="Q31" s="8" t="str">
        <f t="shared" si="52"/>
        <v>#REF!</v>
      </c>
      <c r="R31" s="8"/>
      <c r="S31" s="8" t="str">
        <f t="shared" si="42"/>
        <v>#REF!</v>
      </c>
      <c r="T31" s="8" t="str">
        <f t="shared" ref="T31:Z31" si="53">T30+#REF!</f>
        <v>#REF!</v>
      </c>
      <c r="U31" s="8" t="str">
        <f t="shared" si="53"/>
        <v>#REF!</v>
      </c>
      <c r="V31" s="8" t="str">
        <f t="shared" si="53"/>
        <v>#REF!</v>
      </c>
      <c r="W31" s="8" t="str">
        <f t="shared" si="53"/>
        <v>#REF!</v>
      </c>
      <c r="X31" s="8" t="str">
        <f t="shared" si="53"/>
        <v>#REF!</v>
      </c>
      <c r="Y31" s="8" t="str">
        <f t="shared" si="53"/>
        <v>#REF!</v>
      </c>
      <c r="Z31" s="8" t="str">
        <f t="shared" si="53"/>
        <v>#REF!</v>
      </c>
      <c r="AA31" s="8"/>
      <c r="AB31" s="8"/>
      <c r="AC31" s="8" t="str">
        <f t="shared" ref="AC31:AD31" si="54">AC30+#REF!</f>
        <v>#REF!</v>
      </c>
      <c r="AD31" s="8" t="str">
        <f t="shared" si="54"/>
        <v>#REF!</v>
      </c>
      <c r="AE31" s="8"/>
      <c r="AF31" s="8"/>
      <c r="AG31" s="8" t="str">
        <f t="shared" ref="AG31:AH31" si="55">AG30+#REF!</f>
        <v>#REF!</v>
      </c>
      <c r="AH31" s="8" t="str">
        <f t="shared" si="55"/>
        <v>#REF!</v>
      </c>
      <c r="AI31" s="8"/>
      <c r="AJ31" s="62"/>
      <c r="AL31" s="65" t="str">
        <f>'PIEN-to-PTA_Weekday'!A8</f>
        <v>WALTOO </v>
      </c>
      <c r="AM31" s="66">
        <v>0.013194444444444509</v>
      </c>
      <c r="AN31" s="66">
        <v>0.001388888888888884</v>
      </c>
    </row>
    <row r="32">
      <c r="A32" s="9" t="s">
        <v>72</v>
      </c>
      <c r="B32" s="7" t="s">
        <v>73</v>
      </c>
      <c r="C32" s="8" t="str">
        <f t="shared" si="38"/>
        <v>#REF!</v>
      </c>
      <c r="D32" s="8"/>
      <c r="E32" s="8" t="str">
        <f t="shared" si="50"/>
        <v>#REF!</v>
      </c>
      <c r="F32" s="8"/>
      <c r="G32" s="8" t="str">
        <f t="shared" si="39"/>
        <v>#REF!</v>
      </c>
      <c r="H32" s="8"/>
      <c r="I32" s="8" t="str">
        <f t="shared" si="51"/>
        <v>#REF!</v>
      </c>
      <c r="J32" s="8"/>
      <c r="K32" s="8" t="str">
        <f t="shared" si="40"/>
        <v>#REF!</v>
      </c>
      <c r="L32" s="8"/>
      <c r="M32" s="75">
        <v>0.2756944444444444</v>
      </c>
      <c r="N32" s="75"/>
      <c r="O32" s="8" t="str">
        <f t="shared" si="41"/>
        <v>#REF!</v>
      </c>
      <c r="P32" s="8"/>
      <c r="Q32" s="8" t="str">
        <f t="shared" si="52"/>
        <v>#REF!</v>
      </c>
      <c r="R32" s="8"/>
      <c r="S32" s="8" t="str">
        <f t="shared" si="42"/>
        <v>#REF!</v>
      </c>
      <c r="T32" s="8" t="str">
        <f t="shared" ref="T32:Z32" si="56">T31+#REF!</f>
        <v>#REF!</v>
      </c>
      <c r="U32" s="8" t="str">
        <f t="shared" si="56"/>
        <v>#REF!</v>
      </c>
      <c r="V32" s="8" t="str">
        <f t="shared" si="56"/>
        <v>#REF!</v>
      </c>
      <c r="W32" s="8" t="str">
        <f t="shared" si="56"/>
        <v>#REF!</v>
      </c>
      <c r="X32" s="8" t="str">
        <f t="shared" si="56"/>
        <v>#REF!</v>
      </c>
      <c r="Y32" s="8" t="str">
        <f t="shared" si="56"/>
        <v>#REF!</v>
      </c>
      <c r="Z32" s="8" t="str">
        <f t="shared" si="56"/>
        <v>#REF!</v>
      </c>
      <c r="AA32" s="8"/>
      <c r="AB32" s="8"/>
      <c r="AC32" s="8" t="str">
        <f t="shared" ref="AC32:AD32" si="57">AC31+#REF!</f>
        <v>#REF!</v>
      </c>
      <c r="AD32" s="8" t="str">
        <f t="shared" si="57"/>
        <v>#REF!</v>
      </c>
      <c r="AE32" s="8"/>
      <c r="AF32" s="8"/>
      <c r="AG32" s="8" t="str">
        <f t="shared" ref="AG32:AH32" si="58">AG31+#REF!</f>
        <v>#REF!</v>
      </c>
      <c r="AH32" s="8" t="str">
        <f t="shared" si="58"/>
        <v>#REF!</v>
      </c>
      <c r="AI32" s="8"/>
      <c r="AJ32" s="62"/>
      <c r="AL32" s="65" t="str">
        <f>'PIEN-to-PTA_Weekday'!A10</f>
        <v>SILVERTON </v>
      </c>
      <c r="AM32" s="66">
        <v>0.015277777777777835</v>
      </c>
      <c r="AN32" s="66">
        <v>0.002083333333333326</v>
      </c>
    </row>
    <row r="33">
      <c r="A33" s="67" t="s">
        <v>70</v>
      </c>
      <c r="B33" s="76" t="s">
        <v>71</v>
      </c>
      <c r="C33" s="69" t="str">
        <f t="shared" si="38"/>
        <v>#REF!</v>
      </c>
      <c r="D33" s="69" t="str">
        <f>C33+TIME(0,10,0)</f>
        <v>#REF!</v>
      </c>
      <c r="E33" s="69" t="str">
        <f t="shared" si="50"/>
        <v>#REF!</v>
      </c>
      <c r="F33" s="69">
        <v>0.20833333333333334</v>
      </c>
      <c r="G33" s="69" t="str">
        <f t="shared" si="39"/>
        <v>#REF!</v>
      </c>
      <c r="H33" s="69" t="str">
        <f>I31+TIME(0,1,0)</f>
        <v>#REF!</v>
      </c>
      <c r="I33" s="69" t="str">
        <f t="shared" si="51"/>
        <v>#REF!</v>
      </c>
      <c r="J33" s="69">
        <v>0.25</v>
      </c>
      <c r="K33" s="69" t="str">
        <f t="shared" si="40"/>
        <v>#REF!</v>
      </c>
      <c r="L33" s="69">
        <v>0.2881944444444444</v>
      </c>
      <c r="M33" s="77">
        <v>0.27777777777777773</v>
      </c>
      <c r="N33" s="77">
        <v>0.2986111111111111</v>
      </c>
      <c r="O33" s="69" t="str">
        <f t="shared" si="41"/>
        <v>#REF!</v>
      </c>
      <c r="P33" s="69">
        <v>0.3368055555555556</v>
      </c>
      <c r="Q33" s="69" t="str">
        <f t="shared" si="52"/>
        <v>#REF!</v>
      </c>
      <c r="R33" s="69" t="str">
        <f>P40+TIME(0,10,0)</f>
        <v>#REF!</v>
      </c>
      <c r="S33" s="69" t="str">
        <f t="shared" si="42"/>
        <v>#REF!</v>
      </c>
      <c r="T33" s="69" t="str">
        <f t="shared" ref="T33:Z33" si="59">T32+#REF!</f>
        <v>#REF!</v>
      </c>
      <c r="U33" s="69" t="str">
        <f t="shared" si="59"/>
        <v>#REF!</v>
      </c>
      <c r="V33" s="69" t="str">
        <f t="shared" si="59"/>
        <v>#REF!</v>
      </c>
      <c r="W33" s="69" t="str">
        <f t="shared" si="59"/>
        <v>#REF!</v>
      </c>
      <c r="X33" s="69" t="str">
        <f t="shared" si="59"/>
        <v>#REF!</v>
      </c>
      <c r="Y33" s="69" t="str">
        <f t="shared" si="59"/>
        <v>#REF!</v>
      </c>
      <c r="Z33" s="69" t="str">
        <f t="shared" si="59"/>
        <v>#REF!</v>
      </c>
      <c r="AA33" s="69" t="str">
        <f>Z33</f>
        <v>#REF!</v>
      </c>
      <c r="AB33" s="69" t="str">
        <f>AA38</f>
        <v>#REF!</v>
      </c>
      <c r="AC33" s="69" t="str">
        <f t="shared" ref="AC33:AD33" si="60">AC32+#REF!</f>
        <v>#REF!</v>
      </c>
      <c r="AD33" s="69" t="str">
        <f t="shared" si="60"/>
        <v>#REF!</v>
      </c>
      <c r="AE33" s="69" t="str">
        <f>AD33-TIME(0,10,0)</f>
        <v>#REF!</v>
      </c>
      <c r="AF33" s="69">
        <v>0.7430555555555556</v>
      </c>
      <c r="AG33" s="69" t="str">
        <f t="shared" ref="AG33:AH33" si="61">AG32+#REF!</f>
        <v>#REF!</v>
      </c>
      <c r="AH33" s="69" t="str">
        <f t="shared" si="61"/>
        <v>#REF!</v>
      </c>
      <c r="AI33" s="78" t="str">
        <f>AH27+TIME(0,10,0)</f>
        <v>#REF!</v>
      </c>
      <c r="AJ33" s="62"/>
      <c r="AL33" s="65" t="str">
        <f>'PIEN-to-PTA_Weekday'!A11</f>
        <v>KOEDOESPOORT </v>
      </c>
      <c r="AM33" s="66">
        <v>0.01736111111111116</v>
      </c>
      <c r="AN33" s="66">
        <v>0.002083333333333326</v>
      </c>
    </row>
    <row r="34">
      <c r="A34" s="9" t="s">
        <v>68</v>
      </c>
      <c r="B34" s="7" t="s">
        <v>69</v>
      </c>
      <c r="C34" s="8"/>
      <c r="D34" s="8" t="str">
        <f t="shared" ref="D34:D40" si="66">D33+#REF!</f>
        <v>#REF!</v>
      </c>
      <c r="E34" s="8"/>
      <c r="F34" s="8" t="str">
        <f t="shared" ref="F34:F40" si="67">F33+#REF!</f>
        <v>#REF!</v>
      </c>
      <c r="G34" s="8"/>
      <c r="H34" s="8" t="str">
        <f t="shared" ref="H34:H40" si="68">H33+#REF!</f>
        <v>#REF!</v>
      </c>
      <c r="J34" s="8" t="str">
        <f t="shared" ref="J34:J40" si="69">J33+#REF!</f>
        <v>#REF!</v>
      </c>
      <c r="K34" s="8"/>
      <c r="L34" s="8" t="str">
        <f t="shared" ref="L34:L40" si="70">L33+#REF!</f>
        <v>#REF!</v>
      </c>
      <c r="M34" s="79"/>
      <c r="N34" s="75" t="str">
        <f t="shared" ref="N34:N40" si="71">N33+#REF!</f>
        <v>#REF!</v>
      </c>
      <c r="O34" s="8"/>
      <c r="P34" s="8" t="str">
        <f t="shared" ref="P34:P40" si="72">P33+#REF!</f>
        <v>#REF!</v>
      </c>
      <c r="Q34" s="8"/>
      <c r="R34" s="8" t="str">
        <f t="shared" ref="R34:X34" si="62">R33+#REF!</f>
        <v>#REF!</v>
      </c>
      <c r="S34" s="8" t="str">
        <f t="shared" si="62"/>
        <v>#REF!</v>
      </c>
      <c r="T34" s="8" t="str">
        <f t="shared" si="62"/>
        <v>#REF!</v>
      </c>
      <c r="U34" s="8" t="str">
        <f t="shared" si="62"/>
        <v>#REF!</v>
      </c>
      <c r="V34" s="8" t="str">
        <f t="shared" si="62"/>
        <v>#REF!</v>
      </c>
      <c r="W34" s="8" t="str">
        <f t="shared" si="62"/>
        <v>#REF!</v>
      </c>
      <c r="X34" s="8" t="str">
        <f t="shared" si="62"/>
        <v>#REF!</v>
      </c>
      <c r="Y34" s="8"/>
      <c r="Z34" s="8"/>
      <c r="AA34" s="8" t="str">
        <f t="shared" ref="AA34:AB34" si="63">AA33+#REF!</f>
        <v>#REF!</v>
      </c>
      <c r="AB34" s="8" t="str">
        <f t="shared" si="63"/>
        <v>#REF!</v>
      </c>
      <c r="AC34" s="8"/>
      <c r="AD34" s="8"/>
      <c r="AE34" s="8" t="str">
        <f t="shared" ref="AE34:AF34" si="64">AE33+#REF!</f>
        <v>#REF!</v>
      </c>
      <c r="AF34" s="8" t="str">
        <f t="shared" si="64"/>
        <v>#REF!</v>
      </c>
      <c r="AG34" s="8"/>
      <c r="AH34" s="8" t="str">
        <f t="shared" ref="AH34:AI34" si="65">AH33+#REF!</f>
        <v>#REF!</v>
      </c>
      <c r="AI34" s="8" t="str">
        <f t="shared" si="65"/>
        <v>#REF!</v>
      </c>
      <c r="AJ34" s="62"/>
      <c r="AL34" s="65" t="str">
        <f>'PIEN-to-PTA_Weekday'!A13</f>
        <v>HARTBEESSPRUIT </v>
      </c>
      <c r="AM34" s="66">
        <v>0.019444444444444486</v>
      </c>
      <c r="AN34" s="66">
        <v>0.002083333333333326</v>
      </c>
    </row>
    <row r="35">
      <c r="A35" s="9" t="s">
        <v>66</v>
      </c>
      <c r="B35" s="7" t="s">
        <v>67</v>
      </c>
      <c r="C35" s="8"/>
      <c r="D35" s="8" t="str">
        <f t="shared" si="66"/>
        <v>#REF!</v>
      </c>
      <c r="E35" s="8"/>
      <c r="F35" s="8" t="str">
        <f t="shared" si="67"/>
        <v>#REF!</v>
      </c>
      <c r="G35" s="8"/>
      <c r="H35" s="8" t="str">
        <f t="shared" si="68"/>
        <v>#REF!</v>
      </c>
      <c r="J35" s="8" t="str">
        <f t="shared" si="69"/>
        <v>#REF!</v>
      </c>
      <c r="K35" s="8"/>
      <c r="L35" s="8" t="str">
        <f t="shared" si="70"/>
        <v>#REF!</v>
      </c>
      <c r="M35" s="79"/>
      <c r="N35" s="75" t="str">
        <f t="shared" si="71"/>
        <v>#REF!</v>
      </c>
      <c r="O35" s="8"/>
      <c r="P35" s="8" t="str">
        <f t="shared" si="72"/>
        <v>#REF!</v>
      </c>
      <c r="Q35" s="8"/>
      <c r="R35" s="8" t="str">
        <f t="shared" ref="R35:X35" si="73">R34+#REF!</f>
        <v>#REF!</v>
      </c>
      <c r="S35" s="8" t="str">
        <f t="shared" si="73"/>
        <v>#REF!</v>
      </c>
      <c r="T35" s="8" t="str">
        <f t="shared" si="73"/>
        <v>#REF!</v>
      </c>
      <c r="U35" s="8" t="str">
        <f t="shared" si="73"/>
        <v>#REF!</v>
      </c>
      <c r="V35" s="8" t="str">
        <f t="shared" si="73"/>
        <v>#REF!</v>
      </c>
      <c r="W35" s="8" t="str">
        <f t="shared" si="73"/>
        <v>#REF!</v>
      </c>
      <c r="X35" s="8" t="str">
        <f t="shared" si="73"/>
        <v>#REF!</v>
      </c>
      <c r="Y35" s="8"/>
      <c r="Z35" s="8"/>
      <c r="AA35" s="8" t="str">
        <f t="shared" ref="AA35:AB35" si="74">AA34+#REF!</f>
        <v>#REF!</v>
      </c>
      <c r="AB35" s="8" t="str">
        <f t="shared" si="74"/>
        <v>#REF!</v>
      </c>
      <c r="AC35" s="8"/>
      <c r="AD35" s="8"/>
      <c r="AE35" s="8" t="str">
        <f t="shared" ref="AE35:AF35" si="75">AE34+#REF!</f>
        <v>#REF!</v>
      </c>
      <c r="AF35" s="8" t="str">
        <f t="shared" si="75"/>
        <v>#REF!</v>
      </c>
      <c r="AG35" s="8"/>
      <c r="AH35" s="8" t="str">
        <f t="shared" ref="AH35:AI35" si="76">AH34+#REF!</f>
        <v>#REF!</v>
      </c>
      <c r="AI35" s="8" t="str">
        <f t="shared" si="76"/>
        <v>#REF!</v>
      </c>
      <c r="AJ35" s="62"/>
      <c r="AL35" s="65" t="str">
        <f>'PIEN-to-PTA_Weekday'!A14</f>
        <v>RISSIK </v>
      </c>
      <c r="AM35" s="66">
        <v>0.022916666666666696</v>
      </c>
      <c r="AN35" s="66">
        <v>0.0027777777777778234</v>
      </c>
    </row>
    <row r="36">
      <c r="A36" s="9" t="s">
        <v>64</v>
      </c>
      <c r="B36" s="7" t="s">
        <v>65</v>
      </c>
      <c r="C36" s="8"/>
      <c r="D36" s="8" t="str">
        <f t="shared" si="66"/>
        <v>#REF!</v>
      </c>
      <c r="E36" s="8"/>
      <c r="F36" s="8" t="str">
        <f t="shared" si="67"/>
        <v>#REF!</v>
      </c>
      <c r="G36" s="8"/>
      <c r="H36" s="8" t="str">
        <f t="shared" si="68"/>
        <v>#REF!</v>
      </c>
      <c r="J36" s="8" t="str">
        <f t="shared" si="69"/>
        <v>#REF!</v>
      </c>
      <c r="K36" s="8"/>
      <c r="L36" s="8" t="str">
        <f t="shared" si="70"/>
        <v>#REF!</v>
      </c>
      <c r="M36" s="79"/>
      <c r="N36" s="75" t="str">
        <f t="shared" si="71"/>
        <v>#REF!</v>
      </c>
      <c r="O36" s="8"/>
      <c r="P36" s="8" t="str">
        <f t="shared" si="72"/>
        <v>#REF!</v>
      </c>
      <c r="Q36" s="8"/>
      <c r="R36" s="8" t="str">
        <f t="shared" ref="R36:X36" si="77">R35+#REF!</f>
        <v>#REF!</v>
      </c>
      <c r="S36" s="8" t="str">
        <f t="shared" si="77"/>
        <v>#REF!</v>
      </c>
      <c r="T36" s="8" t="str">
        <f t="shared" si="77"/>
        <v>#REF!</v>
      </c>
      <c r="U36" s="8" t="str">
        <f t="shared" si="77"/>
        <v>#REF!</v>
      </c>
      <c r="V36" s="8" t="str">
        <f t="shared" si="77"/>
        <v>#REF!</v>
      </c>
      <c r="W36" s="8" t="str">
        <f t="shared" si="77"/>
        <v>#REF!</v>
      </c>
      <c r="X36" s="8" t="str">
        <f t="shared" si="77"/>
        <v>#REF!</v>
      </c>
      <c r="Y36" s="8"/>
      <c r="Z36" s="8"/>
      <c r="AA36" s="8" t="str">
        <f t="shared" ref="AA36:AB36" si="78">AA35+#REF!</f>
        <v>#REF!</v>
      </c>
      <c r="AB36" s="8" t="str">
        <f t="shared" si="78"/>
        <v>#REF!</v>
      </c>
      <c r="AC36" s="8"/>
      <c r="AD36" s="8"/>
      <c r="AE36" s="8" t="str">
        <f t="shared" ref="AE36:AF36" si="79">AE35+#REF!</f>
        <v>#REF!</v>
      </c>
      <c r="AF36" s="8" t="str">
        <f t="shared" si="79"/>
        <v>#REF!</v>
      </c>
      <c r="AG36" s="8"/>
      <c r="AH36" s="8" t="str">
        <f t="shared" ref="AH36:AI36" si="80">AH35+#REF!</f>
        <v>#REF!</v>
      </c>
      <c r="AI36" s="8" t="str">
        <f t="shared" si="80"/>
        <v>#REF!</v>
      </c>
      <c r="AJ36" s="62"/>
      <c r="AL36" s="65" t="str">
        <f>'PIEN-to-PTA_Weekday'!A15</f>
        <v>LOFTUS VERSFELD PARK </v>
      </c>
      <c r="AM36" s="66">
        <v>0.02430555555555558</v>
      </c>
      <c r="AN36" s="66">
        <v>0.002083333333333326</v>
      </c>
    </row>
    <row r="37">
      <c r="A37" s="9" t="s">
        <v>62</v>
      </c>
      <c r="B37" s="7" t="s">
        <v>63</v>
      </c>
      <c r="C37" s="8"/>
      <c r="D37" s="8" t="str">
        <f t="shared" si="66"/>
        <v>#REF!</v>
      </c>
      <c r="E37" s="8"/>
      <c r="F37" s="8" t="str">
        <f t="shared" si="67"/>
        <v>#REF!</v>
      </c>
      <c r="G37" s="8"/>
      <c r="H37" s="8" t="str">
        <f t="shared" si="68"/>
        <v>#REF!</v>
      </c>
      <c r="J37" s="8" t="str">
        <f t="shared" si="69"/>
        <v>#REF!</v>
      </c>
      <c r="K37" s="8"/>
      <c r="L37" s="8" t="str">
        <f t="shared" si="70"/>
        <v>#REF!</v>
      </c>
      <c r="M37" s="79"/>
      <c r="N37" s="75" t="str">
        <f t="shared" si="71"/>
        <v>#REF!</v>
      </c>
      <c r="O37" s="8"/>
      <c r="P37" s="8" t="str">
        <f t="shared" si="72"/>
        <v>#REF!</v>
      </c>
      <c r="R37" s="8" t="str">
        <f t="shared" ref="R37:X37" si="81">R36+#REF!</f>
        <v>#REF!</v>
      </c>
      <c r="S37" s="8" t="str">
        <f t="shared" si="81"/>
        <v>#REF!</v>
      </c>
      <c r="T37" s="8" t="str">
        <f t="shared" si="81"/>
        <v>#REF!</v>
      </c>
      <c r="U37" s="8" t="str">
        <f t="shared" si="81"/>
        <v>#REF!</v>
      </c>
      <c r="V37" s="8" t="str">
        <f t="shared" si="81"/>
        <v>#REF!</v>
      </c>
      <c r="W37" s="8" t="str">
        <f t="shared" si="81"/>
        <v>#REF!</v>
      </c>
      <c r="X37" s="8" t="str">
        <f t="shared" si="81"/>
        <v>#REF!</v>
      </c>
      <c r="Y37" s="8"/>
      <c r="Z37" s="8"/>
      <c r="AA37" s="8" t="str">
        <f t="shared" ref="AA37:AB37" si="82">AA36+#REF!</f>
        <v>#REF!</v>
      </c>
      <c r="AB37" s="8" t="str">
        <f t="shared" si="82"/>
        <v>#REF!</v>
      </c>
      <c r="AC37" s="8"/>
      <c r="AD37" s="8"/>
      <c r="AE37" s="8" t="str">
        <f t="shared" ref="AE37:AF37" si="83">AE36+#REF!</f>
        <v>#REF!</v>
      </c>
      <c r="AF37" s="8" t="str">
        <f t="shared" si="83"/>
        <v>#REF!</v>
      </c>
      <c r="AG37" s="8"/>
      <c r="AH37" s="8" t="str">
        <f t="shared" ref="AH37:AI37" si="84">AH36+#REF!</f>
        <v>#REF!</v>
      </c>
      <c r="AI37" s="8" t="str">
        <f t="shared" si="84"/>
        <v>#REF!</v>
      </c>
      <c r="AJ37" s="62"/>
      <c r="AL37" s="65" t="str">
        <f>'PIEN-to-PTA_Weekday'!A16</f>
        <v>WALKER STREET </v>
      </c>
      <c r="AM37" s="66">
        <v>0.026388888888888906</v>
      </c>
      <c r="AN37" s="66">
        <v>0.002083333333333326</v>
      </c>
    </row>
    <row r="38">
      <c r="A38" s="9" t="s">
        <v>60</v>
      </c>
      <c r="B38" s="7" t="s">
        <v>61</v>
      </c>
      <c r="C38" s="8"/>
      <c r="D38" s="8" t="str">
        <f t="shared" si="66"/>
        <v>#REF!</v>
      </c>
      <c r="E38" s="8"/>
      <c r="F38" s="8" t="str">
        <f t="shared" si="67"/>
        <v>#REF!</v>
      </c>
      <c r="G38" s="8"/>
      <c r="H38" s="8" t="str">
        <f t="shared" si="68"/>
        <v>#REF!</v>
      </c>
      <c r="J38" s="8" t="str">
        <f t="shared" si="69"/>
        <v>#REF!</v>
      </c>
      <c r="K38" s="8"/>
      <c r="L38" s="8" t="str">
        <f t="shared" si="70"/>
        <v>#REF!</v>
      </c>
      <c r="M38" s="79"/>
      <c r="N38" s="75" t="str">
        <f t="shared" si="71"/>
        <v>#REF!</v>
      </c>
      <c r="O38" s="8"/>
      <c r="P38" s="8" t="str">
        <f t="shared" si="72"/>
        <v>#REF!</v>
      </c>
      <c r="R38" s="8" t="str">
        <f t="shared" ref="R38:X38" si="85">R37+#REF!</f>
        <v>#REF!</v>
      </c>
      <c r="S38" s="8" t="str">
        <f t="shared" si="85"/>
        <v>#REF!</v>
      </c>
      <c r="T38" s="8" t="str">
        <f t="shared" si="85"/>
        <v>#REF!</v>
      </c>
      <c r="U38" s="8" t="str">
        <f t="shared" si="85"/>
        <v>#REF!</v>
      </c>
      <c r="V38" s="8" t="str">
        <f t="shared" si="85"/>
        <v>#REF!</v>
      </c>
      <c r="W38" s="8" t="str">
        <f t="shared" si="85"/>
        <v>#REF!</v>
      </c>
      <c r="X38" s="8" t="str">
        <f t="shared" si="85"/>
        <v>#REF!</v>
      </c>
      <c r="Y38" s="8"/>
      <c r="Z38" s="8"/>
      <c r="AA38" s="8" t="str">
        <f t="shared" ref="AA38:AB38" si="86">AA37+#REF!</f>
        <v>#REF!</v>
      </c>
      <c r="AB38" s="8" t="str">
        <f t="shared" si="86"/>
        <v>#REF!</v>
      </c>
      <c r="AC38" s="8"/>
      <c r="AD38" s="8"/>
      <c r="AE38" s="8" t="str">
        <f t="shared" ref="AE38:AF38" si="87">AE37+#REF!</f>
        <v>#REF!</v>
      </c>
      <c r="AF38" s="8" t="str">
        <f t="shared" si="87"/>
        <v>#REF!</v>
      </c>
      <c r="AG38" s="8"/>
      <c r="AH38" s="8" t="str">
        <f t="shared" ref="AH38:AI38" si="88">AH37+#REF!</f>
        <v>#REF!</v>
      </c>
      <c r="AI38" s="8" t="str">
        <f t="shared" si="88"/>
        <v>#REF!</v>
      </c>
      <c r="AJ38" s="62"/>
      <c r="AL38" s="65" t="str">
        <f>'PIEN-to-PTA_Weekday'!A17</f>
        <v>DEVENISH STREET </v>
      </c>
      <c r="AM38" s="66">
        <v>0.02777777777777779</v>
      </c>
      <c r="AN38" s="66">
        <v>0.001388888888888884</v>
      </c>
    </row>
    <row r="39">
      <c r="A39" s="9" t="s">
        <v>58</v>
      </c>
      <c r="B39" s="7" t="s">
        <v>59</v>
      </c>
      <c r="C39" s="8"/>
      <c r="D39" s="8" t="str">
        <f t="shared" si="66"/>
        <v>#REF!</v>
      </c>
      <c r="E39" s="8"/>
      <c r="F39" s="8" t="str">
        <f t="shared" si="67"/>
        <v>#REF!</v>
      </c>
      <c r="G39" s="8"/>
      <c r="H39" s="8" t="str">
        <f t="shared" si="68"/>
        <v>#REF!</v>
      </c>
      <c r="J39" s="8" t="str">
        <f t="shared" si="69"/>
        <v>#REF!</v>
      </c>
      <c r="K39" s="8"/>
      <c r="L39" s="8" t="str">
        <f t="shared" si="70"/>
        <v>#REF!</v>
      </c>
      <c r="M39" s="79"/>
      <c r="N39" s="75" t="str">
        <f t="shared" si="71"/>
        <v>#REF!</v>
      </c>
      <c r="O39" s="8"/>
      <c r="P39" s="8" t="str">
        <f t="shared" si="72"/>
        <v>#REF!</v>
      </c>
      <c r="R39" s="8" t="str">
        <f t="shared" ref="R39:X39" si="89">R38+#REF!</f>
        <v>#REF!</v>
      </c>
      <c r="S39" s="8" t="str">
        <f t="shared" si="89"/>
        <v>#REF!</v>
      </c>
      <c r="T39" s="8" t="str">
        <f t="shared" si="89"/>
        <v>#REF!</v>
      </c>
      <c r="U39" s="8" t="str">
        <f t="shared" si="89"/>
        <v>#REF!</v>
      </c>
      <c r="V39" s="8" t="str">
        <f t="shared" si="89"/>
        <v>#REF!</v>
      </c>
      <c r="W39" s="8" t="str">
        <f t="shared" si="89"/>
        <v>#REF!</v>
      </c>
      <c r="X39" s="8" t="str">
        <f t="shared" si="89"/>
        <v>#REF!</v>
      </c>
      <c r="Y39" s="8"/>
      <c r="Z39" s="8"/>
      <c r="AA39" s="8" t="str">
        <f t="shared" ref="AA39:AB39" si="90">AA38+#REF!</f>
        <v>#REF!</v>
      </c>
      <c r="AB39" s="8" t="str">
        <f t="shared" si="90"/>
        <v>#REF!</v>
      </c>
      <c r="AC39" s="8"/>
      <c r="AD39" s="8"/>
      <c r="AE39" s="8" t="str">
        <f t="shared" ref="AE39:AF39" si="91">AE38+#REF!</f>
        <v>#REF!</v>
      </c>
      <c r="AF39" s="8" t="str">
        <f t="shared" si="91"/>
        <v>#REF!</v>
      </c>
      <c r="AG39" s="8"/>
      <c r="AH39" s="8" t="str">
        <f t="shared" ref="AH39:AI39" si="92">AH38+#REF!</f>
        <v>#REF!</v>
      </c>
      <c r="AI39" s="8" t="str">
        <f t="shared" si="92"/>
        <v>#REF!</v>
      </c>
      <c r="AJ39" s="62"/>
      <c r="AL39" s="65" t="str">
        <f>'PIEN-to-PTA_Weekday'!A18</f>
        <v>MEARS STREET </v>
      </c>
      <c r="AM39" s="66">
        <v>0.028472222222222232</v>
      </c>
      <c r="AN39" s="66">
        <v>6.94444444444442E-4</v>
      </c>
    </row>
    <row r="40">
      <c r="A40" s="9" t="s">
        <v>55</v>
      </c>
      <c r="B40" s="7" t="s">
        <v>25</v>
      </c>
      <c r="C40" s="8"/>
      <c r="D40" s="8" t="str">
        <f t="shared" si="66"/>
        <v>#REF!</v>
      </c>
      <c r="E40" s="8"/>
      <c r="F40" s="8" t="str">
        <f t="shared" si="67"/>
        <v>#REF!</v>
      </c>
      <c r="G40" s="8"/>
      <c r="H40" s="8" t="str">
        <f t="shared" si="68"/>
        <v>#REF!</v>
      </c>
      <c r="J40" s="8" t="str">
        <f t="shared" si="69"/>
        <v>#REF!</v>
      </c>
      <c r="K40" s="8"/>
      <c r="L40" s="8" t="str">
        <f t="shared" si="70"/>
        <v>#REF!</v>
      </c>
      <c r="M40" s="79"/>
      <c r="N40" s="75" t="str">
        <f t="shared" si="71"/>
        <v>#REF!</v>
      </c>
      <c r="O40" s="8"/>
      <c r="P40" s="8" t="str">
        <f t="shared" si="72"/>
        <v>#REF!</v>
      </c>
      <c r="R40" s="8" t="str">
        <f t="shared" ref="R40:X40" si="93">R39+#REF!</f>
        <v>#REF!</v>
      </c>
      <c r="S40" s="8" t="str">
        <f t="shared" si="93"/>
        <v>#REF!</v>
      </c>
      <c r="T40" s="8" t="str">
        <f t="shared" si="93"/>
        <v>#REF!</v>
      </c>
      <c r="U40" s="8" t="str">
        <f t="shared" si="93"/>
        <v>#REF!</v>
      </c>
      <c r="V40" s="8" t="str">
        <f t="shared" si="93"/>
        <v>#REF!</v>
      </c>
      <c r="W40" s="8" t="str">
        <f t="shared" si="93"/>
        <v>#REF!</v>
      </c>
      <c r="X40" s="8" t="str">
        <f t="shared" si="93"/>
        <v>#REF!</v>
      </c>
      <c r="Y40" s="8"/>
      <c r="Z40" s="8"/>
      <c r="AA40" s="8" t="str">
        <f t="shared" ref="AA40:AB40" si="94">AA39+#REF!</f>
        <v>#REF!</v>
      </c>
      <c r="AB40" s="8" t="str">
        <f t="shared" si="94"/>
        <v>#REF!</v>
      </c>
      <c r="AC40" s="8"/>
      <c r="AD40" s="8"/>
      <c r="AE40" s="8" t="str">
        <f t="shared" ref="AE40:AF40" si="95">AE39+#REF!</f>
        <v>#REF!</v>
      </c>
      <c r="AF40" s="8" t="str">
        <f t="shared" si="95"/>
        <v>#REF!</v>
      </c>
      <c r="AG40" s="8"/>
      <c r="AH40" s="8" t="str">
        <f t="shared" ref="AH40:AI40" si="96">AH39+#REF!</f>
        <v>#REF!</v>
      </c>
      <c r="AI40" s="8" t="str">
        <f t="shared" si="96"/>
        <v>#REF!</v>
      </c>
      <c r="AJ40" s="62"/>
      <c r="AL40" s="65" t="str">
        <f>'PIEN-to-PTA_Weekday'!A19</f>
        <v>PRETORIA </v>
      </c>
      <c r="AM40" s="66">
        <v>0.03125</v>
      </c>
      <c r="AN40" s="66">
        <v>0.002777777777777768</v>
      </c>
    </row>
    <row r="41">
      <c r="AM41" s="7">
        <v>9.0</v>
      </c>
      <c r="AN41" s="7">
        <v>9.0</v>
      </c>
    </row>
    <row r="44">
      <c r="A44" s="7" t="s">
        <v>88</v>
      </c>
    </row>
    <row r="46">
      <c r="A46" s="1" t="s">
        <v>0</v>
      </c>
      <c r="B46" s="2">
        <v>45995.0</v>
      </c>
      <c r="C46" s="1" t="s">
        <v>1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3"/>
      <c r="V46" s="3"/>
      <c r="W46" s="3"/>
      <c r="X46" s="3"/>
      <c r="Y46" s="3"/>
      <c r="Z46" s="3"/>
      <c r="AA46" s="3"/>
    </row>
    <row r="47">
      <c r="A47" s="1" t="s">
        <v>2</v>
      </c>
      <c r="B47" s="1" t="s">
        <v>3</v>
      </c>
      <c r="C47" s="1">
        <v>4401.0</v>
      </c>
      <c r="D47" s="1">
        <v>4403.0</v>
      </c>
      <c r="E47" s="1">
        <v>4405.0</v>
      </c>
      <c r="F47" s="1">
        <v>4407.0</v>
      </c>
      <c r="G47" s="1">
        <v>4409.0</v>
      </c>
      <c r="H47" s="1">
        <v>4411.0</v>
      </c>
      <c r="I47" s="1">
        <v>4415.0</v>
      </c>
      <c r="J47" s="1">
        <v>4417.0</v>
      </c>
      <c r="K47" s="1">
        <v>4419.0</v>
      </c>
      <c r="L47" s="1">
        <v>4421.0</v>
      </c>
      <c r="M47" s="1">
        <v>4423.0</v>
      </c>
      <c r="N47" s="1">
        <v>4425.0</v>
      </c>
      <c r="O47" s="1">
        <v>4427.0</v>
      </c>
      <c r="P47" s="1">
        <v>4429.0</v>
      </c>
      <c r="Q47" s="1">
        <v>4431.0</v>
      </c>
      <c r="R47" s="1">
        <v>4433.0</v>
      </c>
      <c r="S47" s="1">
        <v>4435.0</v>
      </c>
      <c r="T47" s="1">
        <v>4437.0</v>
      </c>
      <c r="U47" s="1">
        <v>4439.0</v>
      </c>
      <c r="V47" s="3"/>
      <c r="W47" s="3"/>
      <c r="X47" s="3"/>
      <c r="Y47" s="3"/>
      <c r="Z47" s="3"/>
      <c r="AA47" s="3"/>
    </row>
    <row r="48">
      <c r="A48" s="4" t="s">
        <v>24</v>
      </c>
      <c r="B48" s="80" t="s">
        <v>25</v>
      </c>
      <c r="C48" s="6">
        <v>0.21666666666666667</v>
      </c>
      <c r="D48" s="6">
        <v>0.2361111111111111</v>
      </c>
      <c r="E48" s="6">
        <v>0.2638888888888889</v>
      </c>
      <c r="F48" s="6">
        <v>0.2916666666666667</v>
      </c>
      <c r="G48" s="6">
        <v>0.3229166666666667</v>
      </c>
      <c r="H48" s="6">
        <v>0.3506944444444444</v>
      </c>
      <c r="I48" s="6">
        <v>0.4027777777777778</v>
      </c>
      <c r="J48" s="6">
        <v>0.4479166666666667</v>
      </c>
      <c r="K48" s="6">
        <v>0.5</v>
      </c>
      <c r="L48" s="6">
        <v>0.5451388888888888</v>
      </c>
      <c r="M48" s="6">
        <v>0.5972222222222222</v>
      </c>
      <c r="N48" s="6">
        <v>0.625</v>
      </c>
      <c r="O48" s="6">
        <v>0.6458333333333334</v>
      </c>
      <c r="P48" s="6">
        <v>0.6701388888888888</v>
      </c>
      <c r="Q48" s="6">
        <v>0.7034722222222223</v>
      </c>
      <c r="R48" s="6">
        <v>0.7256944444444444</v>
      </c>
      <c r="S48" s="6">
        <v>0.7569444444444444</v>
      </c>
      <c r="T48" s="6">
        <v>0.7847222222222222</v>
      </c>
      <c r="U48" s="6">
        <v>0.8125</v>
      </c>
    </row>
    <row r="49">
      <c r="A49" s="1" t="s">
        <v>22</v>
      </c>
      <c r="B49" s="9" t="s">
        <v>23</v>
      </c>
      <c r="C49" s="8">
        <v>0.22083333333333333</v>
      </c>
      <c r="D49" s="8">
        <v>0.24027777777777778</v>
      </c>
      <c r="E49" s="8">
        <v>0.26805555555555555</v>
      </c>
      <c r="F49" s="8">
        <v>0.29583333333333334</v>
      </c>
      <c r="G49" s="8">
        <v>0.32708333333333334</v>
      </c>
      <c r="H49" s="8">
        <v>0.3548611111111111</v>
      </c>
      <c r="I49" s="8">
        <v>0.40694444444444444</v>
      </c>
      <c r="J49" s="8">
        <v>0.45208333333333334</v>
      </c>
      <c r="K49" s="8">
        <v>0.5041666666666667</v>
      </c>
      <c r="L49" s="8">
        <v>0.5493055555555556</v>
      </c>
      <c r="M49" s="8">
        <v>0.6013888888888889</v>
      </c>
      <c r="N49" s="8">
        <v>0.6291666666666667</v>
      </c>
      <c r="O49" s="8">
        <v>0.65</v>
      </c>
      <c r="P49" s="8">
        <v>0.6743055555555556</v>
      </c>
      <c r="Q49" s="8">
        <v>0.7076388888888889</v>
      </c>
      <c r="R49" s="8">
        <v>0.7298611111111111</v>
      </c>
      <c r="S49" s="8">
        <v>0.7611111111111111</v>
      </c>
      <c r="T49" s="8">
        <v>0.7888888888888889</v>
      </c>
      <c r="U49" s="8">
        <v>0.8166666666666667</v>
      </c>
    </row>
    <row r="50">
      <c r="A50" s="1" t="s">
        <v>20</v>
      </c>
      <c r="B50" s="9" t="s">
        <v>21</v>
      </c>
      <c r="C50" s="8">
        <v>0.22569444444444445</v>
      </c>
      <c r="D50" s="8">
        <v>0.24513888888888888</v>
      </c>
      <c r="E50" s="8">
        <v>0.27291666666666664</v>
      </c>
      <c r="F50" s="8">
        <v>0.30069444444444443</v>
      </c>
      <c r="G50" s="8">
        <v>0.33194444444444443</v>
      </c>
      <c r="H50" s="8">
        <v>0.3597222222222222</v>
      </c>
      <c r="I50" s="8">
        <v>0.41180555555555554</v>
      </c>
      <c r="J50" s="8">
        <v>0.45694444444444443</v>
      </c>
      <c r="K50" s="8">
        <v>0.5090277777777777</v>
      </c>
      <c r="L50" s="8">
        <v>0.5541666666666667</v>
      </c>
      <c r="M50" s="8">
        <v>0.60625</v>
      </c>
      <c r="N50" s="8">
        <v>0.6340277777777777</v>
      </c>
      <c r="O50" s="8">
        <v>0.6548611111111111</v>
      </c>
      <c r="P50" s="8">
        <v>0.6791666666666667</v>
      </c>
      <c r="Q50" s="8">
        <v>0.7125</v>
      </c>
      <c r="R50" s="8">
        <v>0.7347222222222223</v>
      </c>
      <c r="S50" s="8">
        <v>0.7659722222222223</v>
      </c>
      <c r="T50" s="8">
        <v>0.79375</v>
      </c>
      <c r="U50" s="8">
        <v>0.8215277777777777</v>
      </c>
    </row>
    <row r="51">
      <c r="A51" s="7" t="s">
        <v>18</v>
      </c>
      <c r="B51" s="9" t="s">
        <v>19</v>
      </c>
      <c r="C51" s="8">
        <v>0.22916666666666666</v>
      </c>
      <c r="D51" s="8">
        <v>0.24861111111111112</v>
      </c>
      <c r="E51" s="8">
        <v>0.2763888888888889</v>
      </c>
      <c r="F51" s="8">
        <v>0.30416666666666664</v>
      </c>
      <c r="G51" s="8">
        <v>0.33541666666666664</v>
      </c>
      <c r="H51" s="8">
        <v>0.36319444444444443</v>
      </c>
      <c r="I51" s="8">
        <v>0.4152777777777778</v>
      </c>
      <c r="J51" s="8">
        <v>0.46041666666666664</v>
      </c>
      <c r="K51" s="8">
        <v>0.5125</v>
      </c>
      <c r="L51" s="8">
        <v>0.5576388888888889</v>
      </c>
      <c r="M51" s="8">
        <v>0.6097222222222223</v>
      </c>
      <c r="N51" s="8">
        <v>0.6375</v>
      </c>
      <c r="O51" s="8">
        <v>0.6583333333333333</v>
      </c>
      <c r="P51" s="8">
        <v>0.6826388888888889</v>
      </c>
      <c r="Q51" s="8">
        <v>0.7159722222222222</v>
      </c>
      <c r="R51" s="8">
        <v>0.7381944444444445</v>
      </c>
      <c r="S51" s="8">
        <v>0.7694444444444445</v>
      </c>
      <c r="T51" s="8">
        <v>0.7972222222222223</v>
      </c>
      <c r="U51" s="8">
        <v>0.825</v>
      </c>
    </row>
    <row r="52">
      <c r="A52" s="7" t="s">
        <v>16</v>
      </c>
      <c r="B52" s="9" t="s">
        <v>17</v>
      </c>
      <c r="C52" s="8">
        <v>0.23402777777777778</v>
      </c>
      <c r="D52" s="8">
        <v>0.2534722222222222</v>
      </c>
      <c r="E52" s="8">
        <v>0.28125</v>
      </c>
      <c r="F52" s="8">
        <v>0.3090277777777778</v>
      </c>
      <c r="G52" s="8">
        <v>0.3402777777777778</v>
      </c>
      <c r="H52" s="8">
        <v>0.3680555555555556</v>
      </c>
      <c r="I52" s="8">
        <v>0.4201388888888889</v>
      </c>
      <c r="J52" s="8">
        <v>0.4652777777777778</v>
      </c>
      <c r="K52" s="8">
        <v>0.5173611111111112</v>
      </c>
      <c r="L52" s="8">
        <v>0.5625</v>
      </c>
      <c r="M52" s="8">
        <v>0.6145833333333334</v>
      </c>
      <c r="N52" s="8">
        <v>0.6423611111111112</v>
      </c>
      <c r="O52" s="8">
        <v>0.6631944444444444</v>
      </c>
      <c r="P52" s="8">
        <v>0.6875</v>
      </c>
      <c r="Q52" s="8">
        <v>0.7208333333333333</v>
      </c>
      <c r="R52" s="8">
        <v>0.7430555555555556</v>
      </c>
      <c r="S52" s="8">
        <v>0.7743055555555556</v>
      </c>
      <c r="T52" s="8">
        <v>0.8020833333333334</v>
      </c>
      <c r="U52" s="8">
        <v>0.8298611111111112</v>
      </c>
    </row>
    <row r="53">
      <c r="A53" s="7" t="s">
        <v>14</v>
      </c>
      <c r="B53" s="9" t="s">
        <v>15</v>
      </c>
      <c r="C53" s="8">
        <v>0.23680555555555555</v>
      </c>
      <c r="D53" s="8">
        <v>0.25625</v>
      </c>
      <c r="E53" s="8">
        <v>0.28402777777777777</v>
      </c>
      <c r="F53" s="8">
        <v>0.31180555555555556</v>
      </c>
      <c r="G53" s="8">
        <v>0.34305555555555556</v>
      </c>
      <c r="H53" s="8">
        <v>0.37083333333333335</v>
      </c>
      <c r="I53" s="8">
        <v>0.42291666666666666</v>
      </c>
      <c r="J53" s="8">
        <v>0.46805555555555556</v>
      </c>
      <c r="K53" s="8">
        <v>0.5201388888888889</v>
      </c>
      <c r="L53" s="8">
        <v>0.5652777777777778</v>
      </c>
      <c r="M53" s="8">
        <v>0.6173611111111111</v>
      </c>
      <c r="N53" s="8">
        <v>0.6451388888888889</v>
      </c>
      <c r="O53" s="8">
        <v>0.6659722222222222</v>
      </c>
      <c r="P53" s="8">
        <v>0.6902777777777778</v>
      </c>
      <c r="Q53" s="8">
        <v>0.7236111111111111</v>
      </c>
      <c r="R53" s="8">
        <v>0.7458333333333333</v>
      </c>
      <c r="S53" s="8">
        <v>0.7770833333333333</v>
      </c>
      <c r="T53" s="8">
        <v>0.8048611111111111</v>
      </c>
      <c r="U53" s="8">
        <v>0.8326388888888889</v>
      </c>
    </row>
    <row r="54">
      <c r="A54" s="1" t="s">
        <v>12</v>
      </c>
      <c r="B54" s="9" t="s">
        <v>13</v>
      </c>
      <c r="C54" s="8">
        <v>0.24097222222222223</v>
      </c>
      <c r="D54" s="8">
        <v>0.2604166666666667</v>
      </c>
      <c r="E54" s="8">
        <v>0.2881944444444444</v>
      </c>
      <c r="F54" s="8">
        <v>0.3159722222222222</v>
      </c>
      <c r="G54" s="8">
        <v>0.3472222222222222</v>
      </c>
      <c r="H54" s="8">
        <v>0.375</v>
      </c>
      <c r="I54" s="8">
        <v>0.4270833333333333</v>
      </c>
      <c r="J54" s="8">
        <v>0.4722222222222222</v>
      </c>
      <c r="K54" s="8">
        <v>0.5243055555555556</v>
      </c>
      <c r="L54" s="8">
        <v>0.5694444444444444</v>
      </c>
      <c r="M54" s="8">
        <v>0.6215277777777778</v>
      </c>
      <c r="N54" s="8">
        <v>0.6493055555555556</v>
      </c>
      <c r="O54" s="8">
        <v>0.6701388888888888</v>
      </c>
      <c r="P54" s="8">
        <v>0.6944444444444444</v>
      </c>
      <c r="Q54" s="8">
        <v>0.7277777777777777</v>
      </c>
      <c r="R54" s="8">
        <v>0.75</v>
      </c>
      <c r="S54" s="8">
        <v>0.78125</v>
      </c>
      <c r="T54" s="8">
        <v>0.8090277777777778</v>
      </c>
      <c r="U54" s="8">
        <v>0.8368055555555556</v>
      </c>
    </row>
    <row r="55">
      <c r="A55" s="1" t="s">
        <v>10</v>
      </c>
      <c r="B55" s="9" t="s">
        <v>11</v>
      </c>
      <c r="C55" s="8">
        <v>0.24444444444444444</v>
      </c>
      <c r="D55" s="8">
        <v>0.2638888888888889</v>
      </c>
      <c r="E55" s="8">
        <v>0.2916666666666667</v>
      </c>
      <c r="F55" s="8">
        <v>0.3194444444444444</v>
      </c>
      <c r="G55" s="8">
        <v>0.3506944444444444</v>
      </c>
      <c r="H55" s="8">
        <v>0.3784722222222222</v>
      </c>
      <c r="I55" s="8">
        <v>0.4305555555555556</v>
      </c>
      <c r="J55" s="8">
        <v>0.4756944444444444</v>
      </c>
      <c r="K55" s="8">
        <v>0.5277777777777778</v>
      </c>
      <c r="L55" s="8">
        <v>0.5729166666666666</v>
      </c>
      <c r="M55" s="8">
        <v>0.625</v>
      </c>
      <c r="N55" s="8">
        <v>0.6527777777777778</v>
      </c>
      <c r="O55" s="8">
        <v>0.6736111111111112</v>
      </c>
      <c r="P55" s="8">
        <v>0.6979166666666666</v>
      </c>
      <c r="Q55" s="8">
        <v>0.73125</v>
      </c>
      <c r="R55" s="8">
        <v>0.7534722222222222</v>
      </c>
      <c r="S55" s="8">
        <v>0.7847222222222222</v>
      </c>
      <c r="T55" s="8">
        <v>0.8125</v>
      </c>
      <c r="U55" s="8">
        <v>0.8402777777777778</v>
      </c>
    </row>
    <row r="56">
      <c r="A56" s="7" t="s">
        <v>8</v>
      </c>
      <c r="B56" s="9" t="s">
        <v>9</v>
      </c>
      <c r="C56" s="8">
        <v>0.2520833333333333</v>
      </c>
      <c r="D56" s="8">
        <v>0.27152777777777776</v>
      </c>
      <c r="E56" s="8">
        <v>0.29930555555555555</v>
      </c>
      <c r="F56" s="8">
        <v>0.32708333333333334</v>
      </c>
      <c r="G56" s="8">
        <v>0.35833333333333334</v>
      </c>
      <c r="H56" s="8">
        <v>0.3861111111111111</v>
      </c>
      <c r="I56" s="8">
        <v>0.43819444444444444</v>
      </c>
      <c r="J56" s="8">
        <v>0.48333333333333334</v>
      </c>
      <c r="K56" s="8">
        <v>0.5354166666666667</v>
      </c>
      <c r="L56" s="8">
        <v>0.5805555555555556</v>
      </c>
      <c r="M56" s="8">
        <v>0.6326388888888889</v>
      </c>
      <c r="N56" s="8">
        <v>0.6604166666666667</v>
      </c>
      <c r="O56" s="8">
        <v>0.68125</v>
      </c>
      <c r="P56" s="8">
        <v>0.7055555555555556</v>
      </c>
      <c r="Q56" s="8">
        <v>0.7388888888888889</v>
      </c>
      <c r="R56" s="8">
        <v>0.7611111111111111</v>
      </c>
      <c r="S56" s="8">
        <v>0.7923611111111111</v>
      </c>
      <c r="T56" s="8">
        <v>0.8201388888888889</v>
      </c>
      <c r="U56" s="8">
        <v>0.8479166666666667</v>
      </c>
    </row>
    <row r="57">
      <c r="A57" s="7" t="s">
        <v>6</v>
      </c>
      <c r="B57" s="9" t="s">
        <v>7</v>
      </c>
      <c r="C57" s="8">
        <v>0.2548611111111111</v>
      </c>
      <c r="D57" s="8">
        <v>0.2743055555555556</v>
      </c>
      <c r="E57" s="8">
        <v>0.3020833333333333</v>
      </c>
      <c r="F57" s="8">
        <v>0.3298611111111111</v>
      </c>
      <c r="G57" s="8">
        <v>0.3611111111111111</v>
      </c>
      <c r="H57" s="8">
        <v>0.3888888888888889</v>
      </c>
      <c r="I57" s="8">
        <v>0.4409722222222222</v>
      </c>
      <c r="J57" s="8">
        <v>0.4861111111111111</v>
      </c>
      <c r="K57" s="8">
        <v>0.5381944444444444</v>
      </c>
      <c r="L57" s="8">
        <v>0.5833333333333334</v>
      </c>
      <c r="M57" s="8">
        <v>0.6354166666666666</v>
      </c>
      <c r="N57" s="8">
        <v>0.6631944444444444</v>
      </c>
      <c r="O57" s="8">
        <v>0.6840277777777778</v>
      </c>
      <c r="P57" s="8">
        <v>0.7083333333333334</v>
      </c>
      <c r="Q57" s="8">
        <v>0.7416666666666667</v>
      </c>
      <c r="R57" s="8">
        <v>0.7638888888888888</v>
      </c>
      <c r="S57" s="8">
        <v>0.7951388888888888</v>
      </c>
      <c r="T57" s="8">
        <v>0.8229166666666666</v>
      </c>
      <c r="U57" s="8">
        <v>0.8506944444444444</v>
      </c>
    </row>
    <row r="58">
      <c r="A58" s="1" t="s">
        <v>4</v>
      </c>
      <c r="B58" s="9" t="s">
        <v>5</v>
      </c>
      <c r="C58" s="8">
        <v>0.25833333333333336</v>
      </c>
      <c r="D58" s="8">
        <v>0.2777777777777778</v>
      </c>
      <c r="E58" s="8">
        <v>0.3055555555555556</v>
      </c>
      <c r="F58" s="8">
        <v>0.3333333333333333</v>
      </c>
      <c r="G58" s="8">
        <v>0.3645833333333333</v>
      </c>
      <c r="H58" s="8">
        <v>0.3923611111111111</v>
      </c>
      <c r="I58" s="8">
        <v>0.4444444444444444</v>
      </c>
      <c r="J58" s="8">
        <v>0.4895833333333333</v>
      </c>
      <c r="K58" s="8">
        <v>0.5416666666666666</v>
      </c>
      <c r="L58" s="8">
        <v>0.5868055555555556</v>
      </c>
      <c r="M58" s="8">
        <v>0.6388888888888888</v>
      </c>
      <c r="N58" s="8">
        <v>0.6666666666666666</v>
      </c>
      <c r="O58" s="8">
        <v>0.6875</v>
      </c>
      <c r="P58" s="8">
        <v>0.7118055555555556</v>
      </c>
      <c r="Q58" s="8">
        <v>0.7451388888888889</v>
      </c>
      <c r="R58" s="8">
        <v>0.7673611111111112</v>
      </c>
      <c r="S58" s="8">
        <v>0.7986111111111112</v>
      </c>
      <c r="T58" s="8">
        <v>0.8263888888888888</v>
      </c>
      <c r="U58" s="8">
        <v>0.8541666666666666</v>
      </c>
    </row>
    <row r="61">
      <c r="A61" s="7" t="s">
        <v>89</v>
      </c>
    </row>
    <row r="63">
      <c r="A63" s="1" t="s">
        <v>2</v>
      </c>
      <c r="B63" s="1" t="s">
        <v>3</v>
      </c>
      <c r="C63" s="1">
        <v>4400.0</v>
      </c>
      <c r="D63" s="1">
        <v>4402.0</v>
      </c>
      <c r="E63" s="1">
        <v>4404.0</v>
      </c>
      <c r="F63" s="1">
        <v>4406.0</v>
      </c>
      <c r="G63" s="1">
        <v>4408.0</v>
      </c>
      <c r="H63" s="1">
        <v>4410.0</v>
      </c>
      <c r="I63" s="1">
        <v>4412.0</v>
      </c>
      <c r="J63" s="1">
        <v>4414.0</v>
      </c>
      <c r="K63" s="1">
        <v>4416.0</v>
      </c>
      <c r="L63" s="1">
        <v>4418.0</v>
      </c>
      <c r="M63" s="1">
        <v>4420.0</v>
      </c>
      <c r="N63" s="1">
        <v>4422.0</v>
      </c>
      <c r="O63" s="1">
        <v>4424.0</v>
      </c>
      <c r="P63" s="1">
        <v>4426.0</v>
      </c>
      <c r="Q63" s="1">
        <v>4428.0</v>
      </c>
      <c r="R63" s="1">
        <v>4430.0</v>
      </c>
      <c r="S63" s="1">
        <v>4432.0</v>
      </c>
      <c r="T63" s="1">
        <v>4434.0</v>
      </c>
      <c r="U63" s="3"/>
      <c r="V63" s="3"/>
      <c r="W63" s="3"/>
      <c r="X63" s="3"/>
      <c r="Y63" s="3"/>
      <c r="Z63" s="3"/>
      <c r="AA63" s="3"/>
    </row>
    <row r="64">
      <c r="A64" s="4" t="s">
        <v>4</v>
      </c>
      <c r="B64" s="5" t="s">
        <v>5</v>
      </c>
      <c r="C64" s="6">
        <v>0.16319444444444445</v>
      </c>
      <c r="D64" s="6">
        <v>0.1840277777777778</v>
      </c>
      <c r="E64" s="6">
        <v>0.20833333333333334</v>
      </c>
      <c r="F64" s="6">
        <v>0.2361111111111111</v>
      </c>
      <c r="G64" s="6">
        <v>0.2652777777777778</v>
      </c>
      <c r="H64" s="6">
        <v>0.2916666666666667</v>
      </c>
      <c r="I64" s="6">
        <v>0.3194444444444444</v>
      </c>
      <c r="J64" s="6">
        <v>0.3541666666666667</v>
      </c>
      <c r="K64" s="6">
        <v>0.3993055555555556</v>
      </c>
      <c r="L64" s="6">
        <v>0.4513888888888889</v>
      </c>
      <c r="M64" s="6">
        <v>0.4965277777777778</v>
      </c>
      <c r="N64" s="6">
        <v>0.5486111111111112</v>
      </c>
      <c r="O64" s="6">
        <v>0.59375</v>
      </c>
      <c r="P64" s="6">
        <v>0.6458333333333334</v>
      </c>
      <c r="Q64" s="6">
        <v>0.6736111111111112</v>
      </c>
      <c r="R64" s="6">
        <v>0.6979166666666666</v>
      </c>
      <c r="S64" s="6">
        <v>0.7291666666666666</v>
      </c>
      <c r="T64" s="6">
        <v>0.7569444444444444</v>
      </c>
    </row>
    <row r="65">
      <c r="A65" s="1" t="s">
        <v>6</v>
      </c>
      <c r="B65" s="7" t="s">
        <v>7</v>
      </c>
      <c r="C65" s="8">
        <v>0.16666666666666666</v>
      </c>
      <c r="D65" s="8">
        <v>0.1875</v>
      </c>
      <c r="E65" s="8">
        <v>0.21180555555555555</v>
      </c>
      <c r="F65" s="8">
        <v>0.23958333333333334</v>
      </c>
      <c r="G65" s="8">
        <v>0.26875</v>
      </c>
      <c r="H65" s="8">
        <v>0.2951388888888889</v>
      </c>
      <c r="I65" s="8">
        <v>0.3229166666666667</v>
      </c>
      <c r="J65" s="8">
        <v>0.3576388888888889</v>
      </c>
      <c r="K65" s="8">
        <v>0.4027777777777778</v>
      </c>
      <c r="L65" s="8">
        <v>0.4548611111111111</v>
      </c>
      <c r="M65" s="8">
        <v>0.5</v>
      </c>
      <c r="N65" s="8">
        <v>0.5520833333333334</v>
      </c>
      <c r="O65" s="8">
        <v>0.5972222222222222</v>
      </c>
      <c r="P65" s="8">
        <v>0.6493055555555556</v>
      </c>
      <c r="Q65" s="8">
        <v>0.6770833333333334</v>
      </c>
      <c r="R65" s="8">
        <v>0.7013888888888888</v>
      </c>
      <c r="S65" s="8">
        <v>0.7326388888888888</v>
      </c>
      <c r="T65" s="8">
        <v>0.7604166666666666</v>
      </c>
    </row>
    <row r="66">
      <c r="A66" s="1" t="s">
        <v>8</v>
      </c>
      <c r="B66" s="7" t="s">
        <v>9</v>
      </c>
      <c r="C66" s="8">
        <v>0.16875</v>
      </c>
      <c r="D66" s="8">
        <v>0.18958333333333333</v>
      </c>
      <c r="E66" s="8">
        <v>0.21388888888888888</v>
      </c>
      <c r="F66" s="8">
        <v>0.24166666666666667</v>
      </c>
      <c r="G66" s="8">
        <v>0.2708333333333333</v>
      </c>
      <c r="H66" s="8">
        <v>0.2972222222222222</v>
      </c>
      <c r="I66" s="8">
        <v>0.325</v>
      </c>
      <c r="J66" s="8">
        <v>0.3597222222222222</v>
      </c>
      <c r="K66" s="8">
        <v>0.4048611111111111</v>
      </c>
      <c r="L66" s="8">
        <v>0.45694444444444443</v>
      </c>
      <c r="M66" s="8">
        <v>0.5020833333333333</v>
      </c>
      <c r="N66" s="8">
        <v>0.5541666666666667</v>
      </c>
      <c r="O66" s="8">
        <v>0.5993055555555555</v>
      </c>
      <c r="P66" s="8">
        <v>0.6513888888888889</v>
      </c>
      <c r="Q66" s="8">
        <v>0.6791666666666667</v>
      </c>
      <c r="R66" s="8">
        <v>0.7034722222222223</v>
      </c>
      <c r="S66" s="8">
        <v>0.7347222222222223</v>
      </c>
      <c r="T66" s="8">
        <v>0.7625</v>
      </c>
    </row>
    <row r="67">
      <c r="A67" s="7" t="s">
        <v>10</v>
      </c>
      <c r="B67" s="7" t="s">
        <v>11</v>
      </c>
      <c r="C67" s="8">
        <v>0.17708333333333334</v>
      </c>
      <c r="D67" s="8">
        <v>0.19791666666666666</v>
      </c>
      <c r="E67" s="8">
        <v>0.2222222222222222</v>
      </c>
      <c r="F67" s="8">
        <v>0.25</v>
      </c>
      <c r="G67" s="8">
        <v>0.2791666666666667</v>
      </c>
      <c r="H67" s="8">
        <v>0.3055555555555556</v>
      </c>
      <c r="I67" s="8">
        <v>0.3333333333333333</v>
      </c>
      <c r="J67" s="8">
        <v>0.3680555555555556</v>
      </c>
      <c r="K67" s="8">
        <v>0.4131944444444444</v>
      </c>
      <c r="L67" s="8">
        <v>0.4652777777777778</v>
      </c>
      <c r="M67" s="8">
        <v>0.5104166666666666</v>
      </c>
      <c r="N67" s="8">
        <v>0.5625</v>
      </c>
      <c r="O67" s="8">
        <v>0.6076388888888888</v>
      </c>
      <c r="P67" s="8">
        <v>0.6597222222222222</v>
      </c>
      <c r="Q67" s="8">
        <v>0.6875</v>
      </c>
      <c r="R67" s="8">
        <v>0.7118055555555556</v>
      </c>
      <c r="S67" s="8">
        <v>0.7430555555555556</v>
      </c>
      <c r="T67" s="8">
        <v>0.7708333333333334</v>
      </c>
    </row>
    <row r="68">
      <c r="A68" s="7" t="s">
        <v>12</v>
      </c>
      <c r="B68" s="9" t="s">
        <v>13</v>
      </c>
      <c r="C68" s="8">
        <v>0.18055555555555555</v>
      </c>
      <c r="D68" s="8">
        <v>0.2013888888888889</v>
      </c>
      <c r="E68" s="8">
        <v>0.22569444444444445</v>
      </c>
      <c r="F68" s="8">
        <v>0.2534722222222222</v>
      </c>
      <c r="G68" s="8">
        <v>0.2826388888888889</v>
      </c>
      <c r="H68" s="8">
        <v>0.3090277777777778</v>
      </c>
      <c r="I68" s="8">
        <v>0.3368055555555556</v>
      </c>
      <c r="J68" s="8">
        <v>0.3715277777777778</v>
      </c>
      <c r="K68" s="8">
        <v>0.4166666666666667</v>
      </c>
      <c r="L68" s="8">
        <v>0.46875</v>
      </c>
      <c r="M68" s="8">
        <v>0.5138888888888888</v>
      </c>
      <c r="N68" s="8">
        <v>0.5659722222222222</v>
      </c>
      <c r="O68" s="8">
        <v>0.6111111111111112</v>
      </c>
      <c r="P68" s="8">
        <v>0.6631944444444444</v>
      </c>
      <c r="Q68" s="8">
        <v>0.6909722222222222</v>
      </c>
      <c r="R68" s="8">
        <v>0.7152777777777778</v>
      </c>
      <c r="S68" s="8">
        <v>0.7465277777777778</v>
      </c>
      <c r="T68" s="8">
        <v>0.7743055555555556</v>
      </c>
    </row>
    <row r="69">
      <c r="A69" s="7" t="s">
        <v>14</v>
      </c>
      <c r="B69" s="9" t="s">
        <v>15</v>
      </c>
      <c r="C69" s="8">
        <v>0.18472222222222223</v>
      </c>
      <c r="D69" s="8">
        <v>0.20555555555555555</v>
      </c>
      <c r="E69" s="8">
        <v>0.2298611111111111</v>
      </c>
      <c r="F69" s="8">
        <v>0.25763888888888886</v>
      </c>
      <c r="G69" s="8">
        <v>0.28680555555555554</v>
      </c>
      <c r="H69" s="8">
        <v>0.31319444444444444</v>
      </c>
      <c r="I69" s="8">
        <v>0.34097222222222223</v>
      </c>
      <c r="J69" s="8">
        <v>0.37569444444444444</v>
      </c>
      <c r="K69" s="8">
        <v>0.42083333333333334</v>
      </c>
      <c r="L69" s="8">
        <v>0.47291666666666665</v>
      </c>
      <c r="M69" s="8">
        <v>0.5180555555555556</v>
      </c>
      <c r="N69" s="8">
        <v>0.5701388888888889</v>
      </c>
      <c r="O69" s="8">
        <v>0.6152777777777778</v>
      </c>
      <c r="P69" s="8">
        <v>0.6673611111111111</v>
      </c>
      <c r="Q69" s="8">
        <v>0.6951388888888889</v>
      </c>
      <c r="R69" s="8">
        <v>0.7194444444444444</v>
      </c>
      <c r="S69" s="8">
        <v>0.7506944444444444</v>
      </c>
      <c r="T69" s="8">
        <v>0.7784722222222222</v>
      </c>
    </row>
    <row r="70">
      <c r="A70" s="1" t="s">
        <v>16</v>
      </c>
      <c r="B70" s="9" t="s">
        <v>17</v>
      </c>
      <c r="C70" s="8">
        <v>0.1875</v>
      </c>
      <c r="D70" s="8">
        <v>0.20833333333333334</v>
      </c>
      <c r="E70" s="8">
        <v>0.2326388888888889</v>
      </c>
      <c r="F70" s="8">
        <v>0.2604166666666667</v>
      </c>
      <c r="G70" s="8">
        <v>0.28958333333333336</v>
      </c>
      <c r="H70" s="8">
        <v>0.3159722222222222</v>
      </c>
      <c r="I70" s="8">
        <v>0.34375</v>
      </c>
      <c r="J70" s="8">
        <v>0.3784722222222222</v>
      </c>
      <c r="K70" s="8">
        <v>0.4236111111111111</v>
      </c>
      <c r="L70" s="8">
        <v>0.4756944444444444</v>
      </c>
      <c r="M70" s="8">
        <v>0.5208333333333334</v>
      </c>
      <c r="N70" s="8">
        <v>0.5729166666666666</v>
      </c>
      <c r="O70" s="8">
        <v>0.6180555555555556</v>
      </c>
      <c r="P70" s="8">
        <v>0.6701388888888888</v>
      </c>
      <c r="Q70" s="8">
        <v>0.6979166666666666</v>
      </c>
      <c r="R70" s="8">
        <v>0.7222222222222222</v>
      </c>
      <c r="S70" s="8">
        <v>0.7534722222222222</v>
      </c>
      <c r="T70" s="8">
        <v>0.78125</v>
      </c>
    </row>
    <row r="71">
      <c r="A71" s="1" t="s">
        <v>18</v>
      </c>
      <c r="B71" s="9" t="s">
        <v>19</v>
      </c>
      <c r="C71" s="8">
        <v>0.19236111111111112</v>
      </c>
      <c r="D71" s="8">
        <v>0.21319444444444444</v>
      </c>
      <c r="E71" s="8">
        <v>0.2375</v>
      </c>
      <c r="F71" s="8">
        <v>0.2652777777777778</v>
      </c>
      <c r="G71" s="8">
        <v>0.29444444444444445</v>
      </c>
      <c r="H71" s="8">
        <v>0.32083333333333336</v>
      </c>
      <c r="I71" s="8">
        <v>0.3486111111111111</v>
      </c>
      <c r="J71" s="8">
        <v>0.38333333333333336</v>
      </c>
      <c r="K71" s="8">
        <v>0.4284722222222222</v>
      </c>
      <c r="L71" s="8">
        <v>0.48055555555555557</v>
      </c>
      <c r="M71" s="8">
        <v>0.5256944444444445</v>
      </c>
      <c r="N71" s="8">
        <v>0.5777777777777777</v>
      </c>
      <c r="O71" s="8">
        <v>0.6229166666666667</v>
      </c>
      <c r="P71" s="8">
        <v>0.675</v>
      </c>
      <c r="Q71" s="8">
        <v>0.7027777777777777</v>
      </c>
      <c r="R71" s="8">
        <v>0.7270833333333333</v>
      </c>
      <c r="S71" s="8">
        <v>0.7583333333333333</v>
      </c>
      <c r="T71" s="8">
        <v>0.7861111111111111</v>
      </c>
    </row>
    <row r="72">
      <c r="A72" s="7" t="s">
        <v>20</v>
      </c>
      <c r="B72" s="9" t="s">
        <v>21</v>
      </c>
      <c r="C72" s="8">
        <v>0.19583333333333333</v>
      </c>
      <c r="D72" s="8">
        <v>0.21666666666666667</v>
      </c>
      <c r="E72" s="8">
        <v>0.24097222222222223</v>
      </c>
      <c r="F72" s="8">
        <v>0.26875</v>
      </c>
      <c r="G72" s="8">
        <v>0.29791666666666666</v>
      </c>
      <c r="H72" s="8">
        <v>0.32430555555555557</v>
      </c>
      <c r="I72" s="8">
        <v>0.35208333333333336</v>
      </c>
      <c r="J72" s="8">
        <v>0.38680555555555557</v>
      </c>
      <c r="K72" s="8">
        <v>0.43194444444444446</v>
      </c>
      <c r="L72" s="8">
        <v>0.4840277777777778</v>
      </c>
      <c r="M72" s="8">
        <v>0.5291666666666667</v>
      </c>
      <c r="N72" s="8">
        <v>0.58125</v>
      </c>
      <c r="O72" s="8">
        <v>0.6263888888888889</v>
      </c>
      <c r="P72" s="8">
        <v>0.6784722222222223</v>
      </c>
      <c r="Q72" s="8">
        <v>0.70625</v>
      </c>
      <c r="R72" s="8">
        <v>0.7305555555555555</v>
      </c>
      <c r="S72" s="8">
        <v>0.7618055555555555</v>
      </c>
      <c r="T72" s="8">
        <v>0.7895833333333333</v>
      </c>
    </row>
    <row r="73">
      <c r="A73" s="7" t="s">
        <v>22</v>
      </c>
      <c r="B73" s="9" t="s">
        <v>23</v>
      </c>
      <c r="C73" s="8">
        <v>0.20069444444444445</v>
      </c>
      <c r="D73" s="8">
        <v>0.22152777777777777</v>
      </c>
      <c r="E73" s="8">
        <v>0.24583333333333332</v>
      </c>
      <c r="F73" s="8">
        <v>0.27361111111111114</v>
      </c>
      <c r="G73" s="8">
        <v>0.30277777777777776</v>
      </c>
      <c r="H73" s="8">
        <v>0.32916666666666666</v>
      </c>
      <c r="I73" s="8">
        <v>0.35694444444444445</v>
      </c>
      <c r="J73" s="8">
        <v>0.39166666666666666</v>
      </c>
      <c r="K73" s="8">
        <v>0.43680555555555556</v>
      </c>
      <c r="L73" s="8">
        <v>0.4888888888888889</v>
      </c>
      <c r="M73" s="8">
        <v>0.5340277777777778</v>
      </c>
      <c r="N73" s="8">
        <v>0.5861111111111111</v>
      </c>
      <c r="O73" s="8">
        <v>0.63125</v>
      </c>
      <c r="P73" s="8">
        <v>0.6833333333333333</v>
      </c>
      <c r="Q73" s="8">
        <v>0.7111111111111111</v>
      </c>
      <c r="R73" s="8">
        <v>0.7354166666666667</v>
      </c>
      <c r="S73" s="8">
        <v>0.7666666666666667</v>
      </c>
      <c r="T73" s="8">
        <v>0.7944444444444444</v>
      </c>
    </row>
    <row r="74">
      <c r="A74" s="1" t="s">
        <v>24</v>
      </c>
      <c r="B74" s="10" t="s">
        <v>25</v>
      </c>
      <c r="C74" s="8">
        <v>0.2048611111111111</v>
      </c>
      <c r="D74" s="8">
        <v>0.22569444444444445</v>
      </c>
      <c r="E74" s="8">
        <v>0.25</v>
      </c>
      <c r="F74" s="8">
        <v>0.2777777777777778</v>
      </c>
      <c r="G74" s="8">
        <v>0.30694444444444446</v>
      </c>
      <c r="H74" s="8">
        <v>0.3333333333333333</v>
      </c>
      <c r="I74" s="8">
        <v>0.3611111111111111</v>
      </c>
      <c r="J74" s="8">
        <v>0.3958333333333333</v>
      </c>
      <c r="K74" s="8">
        <v>0.4409722222222222</v>
      </c>
      <c r="L74" s="8">
        <v>0.4930555555555556</v>
      </c>
      <c r="M74" s="8">
        <v>0.5381944444444444</v>
      </c>
      <c r="N74" s="8">
        <v>0.5902777777777778</v>
      </c>
      <c r="O74" s="8">
        <v>0.6354166666666666</v>
      </c>
      <c r="P74" s="8">
        <v>0.6875</v>
      </c>
      <c r="Q74" s="8">
        <v>0.7152777777777778</v>
      </c>
      <c r="R74" s="8">
        <v>0.7395833333333334</v>
      </c>
      <c r="S74" s="8">
        <v>0.7708333333333334</v>
      </c>
      <c r="T74" s="8">
        <v>0.7986111111111112</v>
      </c>
    </row>
    <row r="77">
      <c r="A77" s="7" t="s">
        <v>90</v>
      </c>
      <c r="B77" s="7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"/>
      <c r="U78" s="3"/>
      <c r="V78" s="3"/>
      <c r="W78" s="3"/>
      <c r="X78" s="3"/>
      <c r="Y78" s="3"/>
      <c r="Z78" s="3"/>
      <c r="AA78" s="3"/>
    </row>
    <row r="79">
      <c r="A79" s="1" t="s">
        <v>2</v>
      </c>
      <c r="B79" s="1" t="s">
        <v>3</v>
      </c>
      <c r="C79" s="1">
        <v>1801.0</v>
      </c>
      <c r="D79" s="1">
        <v>1803.0</v>
      </c>
      <c r="E79" s="1">
        <v>1805.0</v>
      </c>
      <c r="F79" s="1">
        <v>1807.0</v>
      </c>
      <c r="G79" s="1">
        <v>1809.0</v>
      </c>
      <c r="H79" s="1">
        <v>1811.0</v>
      </c>
      <c r="I79" s="1">
        <v>1813.0</v>
      </c>
      <c r="J79" s="1">
        <v>1815.0</v>
      </c>
      <c r="K79" s="1">
        <v>1817.0</v>
      </c>
      <c r="L79" s="1">
        <v>1819.0</v>
      </c>
      <c r="M79" s="1">
        <v>1821.0</v>
      </c>
      <c r="N79" s="1">
        <v>1823.0</v>
      </c>
      <c r="O79" s="1">
        <v>1825.0</v>
      </c>
      <c r="P79" s="1">
        <v>1827.0</v>
      </c>
      <c r="Q79" s="1">
        <v>1829.0</v>
      </c>
      <c r="R79" s="1">
        <v>1831.0</v>
      </c>
      <c r="S79" s="1">
        <v>1833.0</v>
      </c>
      <c r="T79" s="3"/>
      <c r="U79" s="3"/>
      <c r="V79" s="3"/>
      <c r="W79" s="3"/>
      <c r="X79" s="3"/>
      <c r="Y79" s="3"/>
      <c r="Z79" s="3"/>
      <c r="AA79" s="3"/>
    </row>
    <row r="80">
      <c r="A80" s="5" t="s">
        <v>24</v>
      </c>
      <c r="B80" s="6" t="str">
        <f>'PTA-to-PIEN_Sat'!B79</f>
        <v/>
      </c>
      <c r="C80" s="6">
        <v>0.21180555555555555</v>
      </c>
      <c r="D80" s="6">
        <v>0.24305555555555555</v>
      </c>
      <c r="E80" s="6">
        <v>0.2743055555555556</v>
      </c>
      <c r="F80" s="6">
        <v>0.3090277777777778</v>
      </c>
      <c r="G80" s="6">
        <v>0.3402777777777778</v>
      </c>
      <c r="H80" s="81">
        <v>0.375</v>
      </c>
      <c r="I80" s="6">
        <v>0.4375</v>
      </c>
      <c r="J80" s="81">
        <v>0.4861111111111111</v>
      </c>
      <c r="K80" s="6">
        <v>0.5347222222222222</v>
      </c>
      <c r="L80" s="6">
        <v>0.5833333333333334</v>
      </c>
      <c r="M80" s="6">
        <v>0.6145833333333334</v>
      </c>
      <c r="N80" s="6">
        <v>0.6458333333333334</v>
      </c>
      <c r="O80" s="6">
        <v>0.6805555555555556</v>
      </c>
      <c r="P80" s="6">
        <v>0.7118055555555556</v>
      </c>
      <c r="Q80" s="6">
        <v>0.7430555555555556</v>
      </c>
      <c r="R80" s="6">
        <v>0.7777777777777778</v>
      </c>
      <c r="S80" s="6">
        <v>0.8159722222222222</v>
      </c>
    </row>
    <row r="81">
      <c r="A81" s="7" t="s">
        <v>91</v>
      </c>
      <c r="B81" s="7" t="s">
        <v>92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>
      <c r="A82" s="7" t="s">
        <v>93</v>
      </c>
      <c r="B82" s="7" t="s">
        <v>94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>
      <c r="A83" s="7" t="s">
        <v>22</v>
      </c>
      <c r="B83" s="7" t="s">
        <v>23</v>
      </c>
      <c r="C83" s="8">
        <v>0.21597222222222223</v>
      </c>
      <c r="D83" s="8">
        <v>0.24722222222222223</v>
      </c>
      <c r="E83" s="8">
        <v>0.27847222222222223</v>
      </c>
      <c r="F83" s="8">
        <v>0.31319444444444444</v>
      </c>
      <c r="G83" s="8">
        <v>0.34444444444444444</v>
      </c>
      <c r="H83" s="8">
        <v>0.37916666666666665</v>
      </c>
      <c r="I83" s="8">
        <v>0.44166666666666665</v>
      </c>
      <c r="J83" s="8">
        <v>0.49027777777777776</v>
      </c>
      <c r="K83" s="8">
        <v>0.5388888888888889</v>
      </c>
      <c r="L83" s="8">
        <v>0.5875</v>
      </c>
      <c r="M83" s="8">
        <v>0.61875</v>
      </c>
      <c r="N83" s="8">
        <v>0.65</v>
      </c>
      <c r="O83" s="8">
        <v>0.6847222222222222</v>
      </c>
      <c r="P83" s="8">
        <v>0.7159722222222222</v>
      </c>
      <c r="Q83" s="8">
        <v>0.7472222222222222</v>
      </c>
      <c r="R83" s="8">
        <v>0.7819444444444444</v>
      </c>
      <c r="S83" s="8">
        <v>0.8201388888888889</v>
      </c>
    </row>
    <row r="84">
      <c r="A84" s="7" t="s">
        <v>95</v>
      </c>
      <c r="B84" s="7" t="s">
        <v>96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>
      <c r="A85" s="7" t="s">
        <v>97</v>
      </c>
      <c r="B85" s="7" t="s">
        <v>98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>
      <c r="A86" s="7" t="s">
        <v>99</v>
      </c>
      <c r="B86" s="7" t="s">
        <v>100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>
      <c r="A87" s="7" t="s">
        <v>101</v>
      </c>
      <c r="B87" s="7" t="s">
        <v>102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>
      <c r="A88" s="7" t="s">
        <v>20</v>
      </c>
      <c r="B88" s="7" t="s">
        <v>21</v>
      </c>
      <c r="C88" s="8">
        <v>0.22152777777777777</v>
      </c>
      <c r="D88" s="8">
        <v>0.25277777777777777</v>
      </c>
      <c r="E88" s="8">
        <v>0.28402777777777777</v>
      </c>
      <c r="F88" s="8">
        <v>0.31875</v>
      </c>
      <c r="G88" s="8">
        <v>0.35</v>
      </c>
      <c r="H88" s="8">
        <v>0.38472222222222224</v>
      </c>
      <c r="I88" s="8">
        <v>0.44722222222222224</v>
      </c>
      <c r="J88" s="8">
        <v>0.49583333333333335</v>
      </c>
      <c r="K88" s="8">
        <v>0.5444444444444444</v>
      </c>
      <c r="L88" s="8">
        <v>0.5930555555555556</v>
      </c>
      <c r="M88" s="8">
        <v>0.6243055555555556</v>
      </c>
      <c r="N88" s="8">
        <v>0.6555555555555556</v>
      </c>
      <c r="O88" s="8">
        <v>0.6902777777777778</v>
      </c>
      <c r="P88" s="8">
        <v>0.7215277777777778</v>
      </c>
      <c r="Q88" s="8">
        <v>0.7527777777777778</v>
      </c>
      <c r="R88" s="8">
        <v>0.7875</v>
      </c>
      <c r="S88" s="8">
        <v>0.8256944444444444</v>
      </c>
    </row>
    <row r="89">
      <c r="A89" s="7" t="s">
        <v>103</v>
      </c>
      <c r="B89" s="7" t="s">
        <v>104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>
      <c r="A90" s="7" t="s">
        <v>18</v>
      </c>
      <c r="B90" s="7" t="s">
        <v>19</v>
      </c>
      <c r="C90" s="8">
        <v>0.225</v>
      </c>
      <c r="D90" s="8">
        <v>0.25625</v>
      </c>
      <c r="E90" s="8">
        <v>0.2875</v>
      </c>
      <c r="F90" s="8">
        <v>0.32222222222222224</v>
      </c>
      <c r="G90" s="8">
        <v>0.35347222222222224</v>
      </c>
      <c r="H90" s="8">
        <v>0.38819444444444445</v>
      </c>
      <c r="I90" s="8">
        <v>0.45069444444444445</v>
      </c>
      <c r="J90" s="8">
        <v>0.49930555555555556</v>
      </c>
      <c r="K90" s="8">
        <v>0.5479166666666667</v>
      </c>
      <c r="L90" s="8">
        <v>0.5965277777777778</v>
      </c>
      <c r="M90" s="8">
        <v>0.6277777777777778</v>
      </c>
      <c r="N90" s="8">
        <v>0.6590277777777778</v>
      </c>
      <c r="O90" s="8">
        <v>0.69375</v>
      </c>
      <c r="P90" s="8">
        <v>0.725</v>
      </c>
      <c r="Q90" s="8">
        <v>0.75625</v>
      </c>
      <c r="R90" s="8">
        <v>0.7909722222222222</v>
      </c>
      <c r="S90" s="8">
        <v>0.8291666666666667</v>
      </c>
    </row>
    <row r="91">
      <c r="A91" s="7" t="s">
        <v>105</v>
      </c>
      <c r="B91" s="7" t="s">
        <v>106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>
      <c r="A92" s="7" t="s">
        <v>16</v>
      </c>
      <c r="B92" s="7" t="s">
        <v>17</v>
      </c>
      <c r="C92" s="8">
        <v>0.2298611111111111</v>
      </c>
      <c r="D92" s="8">
        <v>0.2611111111111111</v>
      </c>
      <c r="E92" s="8">
        <v>0.2923611111111111</v>
      </c>
      <c r="F92" s="8">
        <v>0.32708333333333334</v>
      </c>
      <c r="G92" s="8">
        <v>0.35833333333333334</v>
      </c>
      <c r="H92" s="8">
        <v>0.39305555555555555</v>
      </c>
      <c r="I92" s="8">
        <v>0.45555555555555555</v>
      </c>
      <c r="J92" s="8">
        <v>0.5041666666666667</v>
      </c>
      <c r="K92" s="8">
        <v>0.5527777777777778</v>
      </c>
      <c r="L92" s="8">
        <v>0.6013888888888889</v>
      </c>
      <c r="M92" s="8">
        <v>0.6326388888888889</v>
      </c>
      <c r="N92" s="8">
        <v>0.6638888888888889</v>
      </c>
      <c r="O92" s="8">
        <v>0.6986111111111111</v>
      </c>
      <c r="P92" s="8">
        <v>0.7298611111111111</v>
      </c>
      <c r="Q92" s="8">
        <v>0.7611111111111111</v>
      </c>
      <c r="R92" s="8">
        <v>0.7958333333333333</v>
      </c>
      <c r="S92" s="8">
        <v>0.8340277777777778</v>
      </c>
    </row>
    <row r="93">
      <c r="A93" s="7" t="s">
        <v>14</v>
      </c>
      <c r="B93" s="7" t="s">
        <v>15</v>
      </c>
      <c r="C93" s="8">
        <v>0.2326388888888889</v>
      </c>
      <c r="D93" s="8">
        <v>0.2638888888888889</v>
      </c>
      <c r="E93" s="8">
        <v>0.2951388888888889</v>
      </c>
      <c r="F93" s="8">
        <v>0.3298611111111111</v>
      </c>
      <c r="G93" s="8">
        <v>0.3611111111111111</v>
      </c>
      <c r="H93" s="8">
        <v>0.3958333333333333</v>
      </c>
      <c r="I93" s="8">
        <v>0.4583333333333333</v>
      </c>
      <c r="J93" s="8">
        <v>0.5069444444444444</v>
      </c>
      <c r="K93" s="8">
        <v>0.5555555555555556</v>
      </c>
      <c r="L93" s="8">
        <v>0.6041666666666666</v>
      </c>
      <c r="M93" s="8">
        <v>0.6354166666666666</v>
      </c>
      <c r="N93" s="8">
        <v>0.6666666666666666</v>
      </c>
      <c r="O93" s="8">
        <v>0.7013888888888888</v>
      </c>
      <c r="P93" s="8">
        <v>0.7326388888888888</v>
      </c>
      <c r="Q93" s="8">
        <v>0.7638888888888888</v>
      </c>
      <c r="R93" s="8">
        <v>0.7986111111111112</v>
      </c>
      <c r="S93" s="8">
        <v>0.8368055555555556</v>
      </c>
    </row>
    <row r="94">
      <c r="A94" s="7" t="s">
        <v>12</v>
      </c>
      <c r="B94" s="7" t="s">
        <v>13</v>
      </c>
      <c r="C94" s="8">
        <v>0.2361111111111111</v>
      </c>
      <c r="D94" s="8">
        <v>0.2673611111111111</v>
      </c>
      <c r="E94" s="8">
        <v>0.2986111111111111</v>
      </c>
      <c r="F94" s="8">
        <v>0.3333333333333333</v>
      </c>
      <c r="G94" s="8">
        <v>0.3645833333333333</v>
      </c>
      <c r="H94" s="8">
        <v>0.3993055555555556</v>
      </c>
      <c r="I94" s="8">
        <v>0.4618055555555556</v>
      </c>
      <c r="J94" s="8">
        <v>0.5104166666666666</v>
      </c>
      <c r="K94" s="8">
        <v>0.5590277777777778</v>
      </c>
      <c r="L94" s="8">
        <v>0.6076388888888888</v>
      </c>
      <c r="M94" s="8">
        <v>0.6388888888888888</v>
      </c>
      <c r="N94" s="8">
        <v>0.6701388888888888</v>
      </c>
      <c r="O94" s="8">
        <v>0.7048611111111112</v>
      </c>
      <c r="P94" s="8">
        <v>0.7361111111111112</v>
      </c>
      <c r="Q94" s="8">
        <v>0.7673611111111112</v>
      </c>
      <c r="R94" s="8">
        <v>0.8020833333333334</v>
      </c>
      <c r="S94" s="8">
        <v>0.8402777777777778</v>
      </c>
    </row>
    <row r="95">
      <c r="A95" s="7" t="s">
        <v>107</v>
      </c>
      <c r="B95" s="7" t="s">
        <v>108</v>
      </c>
      <c r="C95" s="8">
        <v>0.24097222222222223</v>
      </c>
      <c r="D95" s="8">
        <v>0.2722222222222222</v>
      </c>
      <c r="E95" s="8">
        <v>0.3034722222222222</v>
      </c>
      <c r="F95" s="8">
        <v>0.33819444444444446</v>
      </c>
      <c r="G95" s="8">
        <v>0.36944444444444446</v>
      </c>
      <c r="H95" s="8">
        <v>0.4041666666666667</v>
      </c>
      <c r="I95" s="8">
        <v>0.4666666666666667</v>
      </c>
      <c r="J95" s="8">
        <v>0.5152777777777777</v>
      </c>
      <c r="K95" s="8">
        <v>0.5638888888888889</v>
      </c>
      <c r="L95" s="8">
        <v>0.6125</v>
      </c>
      <c r="M95" s="8">
        <v>0.64375</v>
      </c>
      <c r="N95" s="8">
        <v>0.675</v>
      </c>
      <c r="O95" s="8">
        <v>0.7097222222222223</v>
      </c>
      <c r="P95" s="8">
        <v>0.7409722222222223</v>
      </c>
      <c r="Q95" s="8">
        <v>0.7722222222222223</v>
      </c>
      <c r="R95" s="8">
        <v>0.8069444444444445</v>
      </c>
      <c r="S95" s="8">
        <v>0.8451388888888889</v>
      </c>
    </row>
    <row r="96">
      <c r="A96" s="7" t="s">
        <v>109</v>
      </c>
      <c r="B96" s="82" t="s">
        <v>110</v>
      </c>
      <c r="C96" s="8">
        <v>0.24444444444444444</v>
      </c>
      <c r="D96" s="8">
        <v>0.27569444444444446</v>
      </c>
      <c r="E96" s="8">
        <v>0.30694444444444446</v>
      </c>
      <c r="F96" s="8">
        <v>0.3416666666666667</v>
      </c>
      <c r="G96" s="8">
        <v>0.3729166666666667</v>
      </c>
      <c r="H96" s="8">
        <v>0.4076388888888889</v>
      </c>
      <c r="I96" s="8">
        <v>0.4701388888888889</v>
      </c>
      <c r="J96" s="8">
        <v>0.51875</v>
      </c>
      <c r="K96" s="8">
        <v>0.5673611111111111</v>
      </c>
      <c r="L96" s="8">
        <v>0.6159722222222223</v>
      </c>
      <c r="M96" s="8">
        <v>0.6472222222222223</v>
      </c>
      <c r="N96" s="8">
        <v>0.6784722222222223</v>
      </c>
      <c r="O96" s="8">
        <v>0.7131944444444445</v>
      </c>
      <c r="P96" s="8">
        <v>0.7444444444444445</v>
      </c>
      <c r="Q96" s="8">
        <v>0.7756944444444445</v>
      </c>
      <c r="R96" s="8">
        <v>0.8104166666666667</v>
      </c>
      <c r="S96" s="8">
        <v>0.8486111111111111</v>
      </c>
    </row>
    <row r="97">
      <c r="A97" s="7" t="s">
        <v>111</v>
      </c>
      <c r="B97" s="7" t="s">
        <v>112</v>
      </c>
    </row>
    <row r="98">
      <c r="A98" s="7" t="s">
        <v>113</v>
      </c>
      <c r="B98" s="7" t="s">
        <v>114</v>
      </c>
    </row>
    <row r="99">
      <c r="A99" s="7" t="s">
        <v>115</v>
      </c>
      <c r="B99" s="7" t="s">
        <v>116</v>
      </c>
      <c r="C99" s="8">
        <v>0.2534722222222222</v>
      </c>
      <c r="D99" s="8">
        <v>0.2847222222222222</v>
      </c>
      <c r="E99" s="8">
        <v>0.3159722222222222</v>
      </c>
      <c r="F99" s="8">
        <v>0.3506944444444444</v>
      </c>
      <c r="G99" s="8">
        <v>0.3819444444444444</v>
      </c>
      <c r="H99" s="8">
        <v>0.4166666666666667</v>
      </c>
      <c r="I99" s="8">
        <v>0.4791666666666667</v>
      </c>
      <c r="J99" s="8">
        <v>0.5277777777777778</v>
      </c>
      <c r="K99" s="8">
        <v>0.5763888888888888</v>
      </c>
      <c r="L99" s="8">
        <v>0.625</v>
      </c>
      <c r="M99" s="8">
        <v>0.65625</v>
      </c>
      <c r="N99" s="8">
        <v>0.6875</v>
      </c>
      <c r="O99" s="8">
        <v>0.7222222222222222</v>
      </c>
      <c r="P99" s="8">
        <v>0.7534722222222222</v>
      </c>
      <c r="Q99" s="8">
        <v>0.7847222222222222</v>
      </c>
      <c r="R99" s="8">
        <v>0.8194444444444444</v>
      </c>
      <c r="S99" s="8">
        <v>0.8576388888888888</v>
      </c>
    </row>
    <row r="102">
      <c r="A102" s="7" t="s">
        <v>117</v>
      </c>
    </row>
    <row r="104">
      <c r="A104" s="1" t="s">
        <v>2</v>
      </c>
      <c r="B104" s="1" t="s">
        <v>3</v>
      </c>
      <c r="C104" s="1">
        <v>1800.0</v>
      </c>
      <c r="D104" s="1">
        <v>1802.0</v>
      </c>
      <c r="E104" s="1">
        <v>1804.0</v>
      </c>
      <c r="F104" s="1">
        <v>1806.0</v>
      </c>
      <c r="G104" s="1">
        <v>1808.0</v>
      </c>
      <c r="H104" s="1">
        <v>1810.0</v>
      </c>
      <c r="I104" s="1">
        <v>1812.0</v>
      </c>
      <c r="J104" s="1">
        <v>1814.0</v>
      </c>
      <c r="K104" s="1">
        <v>1816.0</v>
      </c>
      <c r="L104" s="1">
        <v>1818.0</v>
      </c>
      <c r="M104" s="1">
        <v>1820.0</v>
      </c>
      <c r="N104" s="1">
        <v>1822.0</v>
      </c>
      <c r="O104" s="1">
        <v>1824.0</v>
      </c>
      <c r="P104" s="1">
        <v>1826.0</v>
      </c>
      <c r="Q104" s="1">
        <v>1828.0</v>
      </c>
      <c r="R104" s="1">
        <v>1830.0</v>
      </c>
      <c r="S104" s="1">
        <v>1832.0</v>
      </c>
      <c r="T104" s="1">
        <v>1834.0</v>
      </c>
      <c r="U104" s="3"/>
      <c r="V104" s="3"/>
      <c r="W104" s="3"/>
      <c r="X104" s="3"/>
      <c r="Y104" s="3"/>
      <c r="Z104" s="3"/>
      <c r="AA104" s="3"/>
    </row>
    <row r="105">
      <c r="A105" s="5" t="s">
        <v>115</v>
      </c>
      <c r="B105" s="60" t="s">
        <v>116</v>
      </c>
      <c r="C105" s="6">
        <v>0.16319444444444445</v>
      </c>
      <c r="D105" s="6">
        <v>0.19444444444444445</v>
      </c>
      <c r="E105" s="6">
        <v>0.22569444444444445</v>
      </c>
      <c r="F105" s="6">
        <v>0.2604166666666667</v>
      </c>
      <c r="G105" s="6">
        <v>0.2916666666666667</v>
      </c>
      <c r="H105" s="6">
        <v>0.3229166666666667</v>
      </c>
      <c r="I105" s="6">
        <v>0.3576388888888889</v>
      </c>
      <c r="J105" s="6">
        <v>0.3888888888888889</v>
      </c>
      <c r="K105" s="6">
        <v>0.4375</v>
      </c>
      <c r="L105" s="6">
        <v>0.4861111111111111</v>
      </c>
      <c r="M105" s="6">
        <v>0.5347222222222222</v>
      </c>
      <c r="N105" s="6">
        <v>0.5659722222222222</v>
      </c>
      <c r="O105" s="6">
        <v>0.5972222222222222</v>
      </c>
      <c r="P105" s="6">
        <v>0.6319444444444444</v>
      </c>
      <c r="Q105" s="6">
        <v>0.6631944444444444</v>
      </c>
      <c r="R105" s="6">
        <v>0.6944444444444444</v>
      </c>
      <c r="S105" s="6">
        <v>0.7291666666666666</v>
      </c>
      <c r="T105" s="6">
        <v>0.7604166666666666</v>
      </c>
    </row>
    <row r="106">
      <c r="A106" s="7" t="s">
        <v>113</v>
      </c>
      <c r="B106" s="9" t="s">
        <v>114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>
      <c r="A107" s="7" t="s">
        <v>111</v>
      </c>
      <c r="B107" s="9" t="s">
        <v>112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>
      <c r="A108" s="7" t="s">
        <v>109</v>
      </c>
      <c r="B108" s="9" t="s">
        <v>110</v>
      </c>
      <c r="C108" s="8">
        <v>0.17152777777777778</v>
      </c>
      <c r="D108" s="8">
        <v>0.20277777777777778</v>
      </c>
      <c r="E108" s="8">
        <v>0.23402777777777778</v>
      </c>
      <c r="F108" s="8">
        <v>0.26875</v>
      </c>
      <c r="G108" s="8">
        <v>0.3</v>
      </c>
      <c r="H108" s="8">
        <v>0.33125</v>
      </c>
      <c r="I108" s="8">
        <v>0.3659722222222222</v>
      </c>
      <c r="J108" s="8">
        <v>0.3972222222222222</v>
      </c>
      <c r="K108" s="8">
        <v>0.44583333333333336</v>
      </c>
      <c r="L108" s="8">
        <v>0.49444444444444446</v>
      </c>
      <c r="M108" s="8">
        <v>0.5430555555555555</v>
      </c>
      <c r="N108" s="8">
        <v>0.5743055555555555</v>
      </c>
      <c r="O108" s="8">
        <v>0.6055555555555555</v>
      </c>
      <c r="P108" s="8">
        <v>0.6402777777777777</v>
      </c>
      <c r="Q108" s="8">
        <f t="shared" ref="Q108:T108" si="97">Q105+$X132</f>
        <v>0.6631944444</v>
      </c>
      <c r="R108" s="8">
        <f t="shared" si="97"/>
        <v>0.6944444444</v>
      </c>
      <c r="S108" s="8">
        <f t="shared" si="97"/>
        <v>0.7291666667</v>
      </c>
      <c r="T108" s="8">
        <f t="shared" si="97"/>
        <v>0.7604166667</v>
      </c>
    </row>
    <row r="109">
      <c r="A109" s="7" t="s">
        <v>107</v>
      </c>
      <c r="B109" s="9" t="s">
        <v>108</v>
      </c>
      <c r="C109" s="8">
        <v>0.17569444444444443</v>
      </c>
      <c r="D109" s="8">
        <v>0.20694444444444443</v>
      </c>
      <c r="E109" s="8">
        <v>0.23819444444444443</v>
      </c>
      <c r="F109" s="8">
        <v>0.27291666666666664</v>
      </c>
      <c r="G109" s="8">
        <v>0.30416666666666664</v>
      </c>
      <c r="H109" s="8">
        <v>0.33541666666666664</v>
      </c>
      <c r="I109" s="8">
        <v>0.3701388888888889</v>
      </c>
      <c r="J109" s="8">
        <v>0.4013888888888889</v>
      </c>
      <c r="K109" s="8">
        <v>0.45</v>
      </c>
      <c r="L109" s="8">
        <v>0.4986111111111111</v>
      </c>
      <c r="M109" s="8">
        <v>0.5472222222222223</v>
      </c>
      <c r="N109" s="8">
        <v>0.5784722222222223</v>
      </c>
      <c r="O109" s="8">
        <v>0.6097222222222223</v>
      </c>
      <c r="P109" s="8">
        <v>0.6444444444444445</v>
      </c>
      <c r="Q109" s="8">
        <f t="shared" ref="Q109:T109" si="98">Q108+$X133</f>
        <v>0.6631944444</v>
      </c>
      <c r="R109" s="8">
        <f t="shared" si="98"/>
        <v>0.6944444444</v>
      </c>
      <c r="S109" s="8">
        <f t="shared" si="98"/>
        <v>0.7291666667</v>
      </c>
      <c r="T109" s="8">
        <f t="shared" si="98"/>
        <v>0.7604166667</v>
      </c>
    </row>
    <row r="110">
      <c r="A110" s="7" t="s">
        <v>12</v>
      </c>
      <c r="B110" s="9" t="s">
        <v>13</v>
      </c>
      <c r="C110" s="8">
        <v>0.18055555555555555</v>
      </c>
      <c r="D110" s="8">
        <v>0.21180555555555555</v>
      </c>
      <c r="E110" s="8">
        <v>0.24305555555555555</v>
      </c>
      <c r="F110" s="8">
        <v>0.2777777777777778</v>
      </c>
      <c r="G110" s="8">
        <v>0.3090277777777778</v>
      </c>
      <c r="H110" s="8">
        <v>0.3402777777777778</v>
      </c>
      <c r="I110" s="8">
        <v>0.375</v>
      </c>
      <c r="J110" s="8">
        <v>0.40625</v>
      </c>
      <c r="K110" s="8">
        <v>0.4548611111111111</v>
      </c>
      <c r="L110" s="8">
        <v>0.5034722222222222</v>
      </c>
      <c r="M110" s="8">
        <v>0.5520833333333334</v>
      </c>
      <c r="N110" s="8">
        <v>0.5833333333333334</v>
      </c>
      <c r="O110" s="8">
        <v>0.6145833333333334</v>
      </c>
      <c r="P110" s="8">
        <v>0.6493055555555556</v>
      </c>
      <c r="Q110" s="8">
        <f t="shared" ref="Q110:T110" si="99">Q109+$X134</f>
        <v>0.6631944444</v>
      </c>
      <c r="R110" s="8">
        <f t="shared" si="99"/>
        <v>0.6944444444</v>
      </c>
      <c r="S110" s="8">
        <f t="shared" si="99"/>
        <v>0.7291666667</v>
      </c>
      <c r="T110" s="8">
        <f t="shared" si="99"/>
        <v>0.7604166667</v>
      </c>
    </row>
    <row r="111">
      <c r="A111" s="7" t="s">
        <v>14</v>
      </c>
      <c r="B111" s="9" t="s">
        <v>15</v>
      </c>
      <c r="C111" s="8">
        <v>0.18472222222222223</v>
      </c>
      <c r="D111" s="8">
        <v>0.21597222222222223</v>
      </c>
      <c r="E111" s="8">
        <v>0.24722222222222223</v>
      </c>
      <c r="F111" s="8">
        <v>0.28194444444444444</v>
      </c>
      <c r="G111" s="8">
        <v>0.31319444444444444</v>
      </c>
      <c r="H111" s="8">
        <v>0.34444444444444444</v>
      </c>
      <c r="I111" s="8">
        <v>0.37916666666666665</v>
      </c>
      <c r="J111" s="8">
        <v>0.41041666666666665</v>
      </c>
      <c r="K111" s="8">
        <v>0.45902777777777776</v>
      </c>
      <c r="L111" s="8">
        <v>0.5076388888888889</v>
      </c>
      <c r="M111" s="8">
        <v>0.55625</v>
      </c>
      <c r="N111" s="8">
        <v>0.5875</v>
      </c>
      <c r="O111" s="8">
        <v>0.61875</v>
      </c>
      <c r="P111" s="8">
        <v>0.6534722222222222</v>
      </c>
      <c r="Q111" s="8">
        <f t="shared" ref="Q111:T111" si="100">Q110+$X135</f>
        <v>0.6631944444</v>
      </c>
      <c r="R111" s="8">
        <f t="shared" si="100"/>
        <v>0.6944444444</v>
      </c>
      <c r="S111" s="8">
        <f t="shared" si="100"/>
        <v>0.7291666667</v>
      </c>
      <c r="T111" s="8">
        <f t="shared" si="100"/>
        <v>0.7604166667</v>
      </c>
    </row>
    <row r="112">
      <c r="A112" s="7" t="s">
        <v>16</v>
      </c>
      <c r="B112" s="9" t="s">
        <v>17</v>
      </c>
      <c r="C112" s="8">
        <v>0.1875</v>
      </c>
      <c r="D112" s="8">
        <v>0.21875</v>
      </c>
      <c r="E112" s="8">
        <v>0.25</v>
      </c>
      <c r="F112" s="8">
        <v>0.2847222222222222</v>
      </c>
      <c r="G112" s="8">
        <v>0.3159722222222222</v>
      </c>
      <c r="H112" s="8">
        <v>0.3472222222222222</v>
      </c>
      <c r="I112" s="8">
        <v>0.3819444444444444</v>
      </c>
      <c r="J112" s="8">
        <v>0.4131944444444444</v>
      </c>
      <c r="K112" s="8">
        <v>0.4618055555555556</v>
      </c>
      <c r="L112" s="8">
        <v>0.5104166666666666</v>
      </c>
      <c r="M112" s="8">
        <v>0.5590277777777778</v>
      </c>
      <c r="N112" s="8">
        <v>0.5902777777777778</v>
      </c>
      <c r="O112" s="8">
        <v>0.6215277777777778</v>
      </c>
      <c r="P112" s="8">
        <v>0.65625</v>
      </c>
      <c r="Q112" s="8">
        <f t="shared" ref="Q112:T112" si="101">Q111+$X136</f>
        <v>0.6631944444</v>
      </c>
      <c r="R112" s="8">
        <f t="shared" si="101"/>
        <v>0.6944444444</v>
      </c>
      <c r="S112" s="8">
        <f t="shared" si="101"/>
        <v>0.7291666667</v>
      </c>
      <c r="T112" s="8">
        <f t="shared" si="101"/>
        <v>0.7604166667</v>
      </c>
    </row>
    <row r="113">
      <c r="A113" s="7" t="s">
        <v>105</v>
      </c>
      <c r="B113" s="9" t="s">
        <v>106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>
      <c r="A114" s="7" t="s">
        <v>18</v>
      </c>
      <c r="B114" s="9" t="s">
        <v>19</v>
      </c>
      <c r="C114" s="8">
        <v>0.19236111111111112</v>
      </c>
      <c r="D114" s="8">
        <v>0.22361111111111112</v>
      </c>
      <c r="E114" s="8">
        <v>0.2548611111111111</v>
      </c>
      <c r="F114" s="8">
        <v>0.28958333333333336</v>
      </c>
      <c r="G114" s="8">
        <v>0.32083333333333336</v>
      </c>
      <c r="H114" s="8">
        <v>0.35208333333333336</v>
      </c>
      <c r="I114" s="8">
        <v>0.38680555555555557</v>
      </c>
      <c r="J114" s="8">
        <v>0.41805555555555557</v>
      </c>
      <c r="K114" s="8">
        <v>0.4666666666666667</v>
      </c>
      <c r="L114" s="8">
        <v>0.5152777777777777</v>
      </c>
      <c r="M114" s="8">
        <v>0.5638888888888889</v>
      </c>
      <c r="N114" s="8">
        <v>0.5951388888888889</v>
      </c>
      <c r="O114" s="8">
        <v>0.6263888888888889</v>
      </c>
      <c r="P114" s="8">
        <v>0.6611111111111111</v>
      </c>
      <c r="Q114" s="8">
        <f t="shared" ref="Q114:T114" si="102">Q112+$X138</f>
        <v>0.6631944444</v>
      </c>
      <c r="R114" s="8">
        <f t="shared" si="102"/>
        <v>0.6944444444</v>
      </c>
      <c r="S114" s="8">
        <f t="shared" si="102"/>
        <v>0.7291666667</v>
      </c>
      <c r="T114" s="8">
        <f t="shared" si="102"/>
        <v>0.7604166667</v>
      </c>
    </row>
    <row r="115">
      <c r="A115" s="7" t="s">
        <v>103</v>
      </c>
      <c r="B115" s="9" t="s">
        <v>104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>
      <c r="A116" s="7" t="s">
        <v>20</v>
      </c>
      <c r="B116" s="9" t="s">
        <v>21</v>
      </c>
      <c r="C116" s="8">
        <v>0.19583333333333333</v>
      </c>
      <c r="D116" s="8">
        <v>0.22708333333333333</v>
      </c>
      <c r="E116" s="8">
        <v>0.25833333333333336</v>
      </c>
      <c r="F116" s="8">
        <v>0.29305555555555557</v>
      </c>
      <c r="G116" s="8">
        <v>0.32430555555555557</v>
      </c>
      <c r="H116" s="8">
        <v>0.35555555555555557</v>
      </c>
      <c r="I116" s="8">
        <v>0.3902777777777778</v>
      </c>
      <c r="J116" s="8">
        <v>0.4215277777777778</v>
      </c>
      <c r="K116" s="8">
        <v>0.4701388888888889</v>
      </c>
      <c r="L116" s="8">
        <v>0.51875</v>
      </c>
      <c r="M116" s="8">
        <v>0.5673611111111111</v>
      </c>
      <c r="N116" s="8">
        <v>0.5986111111111111</v>
      </c>
      <c r="O116" s="8">
        <v>0.6298611111111111</v>
      </c>
      <c r="P116" s="8">
        <v>0.6645833333333333</v>
      </c>
      <c r="Q116" s="8">
        <f t="shared" ref="Q116:T116" si="103">Q114+$X140</f>
        <v>0.6631944444</v>
      </c>
      <c r="R116" s="8">
        <f t="shared" si="103"/>
        <v>0.6944444444</v>
      </c>
      <c r="S116" s="8">
        <f t="shared" si="103"/>
        <v>0.7291666667</v>
      </c>
      <c r="T116" s="8">
        <f t="shared" si="103"/>
        <v>0.7604166667</v>
      </c>
    </row>
    <row r="117">
      <c r="A117" s="7" t="s">
        <v>101</v>
      </c>
      <c r="B117" s="9" t="s">
        <v>102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>
      <c r="A118" s="7" t="s">
        <v>99</v>
      </c>
      <c r="B118" s="9" t="s">
        <v>100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>
      <c r="A119" s="7" t="s">
        <v>97</v>
      </c>
      <c r="B119" s="9" t="s">
        <v>98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>
      <c r="A120" s="7" t="s">
        <v>95</v>
      </c>
      <c r="B120" s="9" t="s">
        <v>96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>
      <c r="A121" s="7" t="s">
        <v>22</v>
      </c>
      <c r="B121" s="9" t="s">
        <v>23</v>
      </c>
      <c r="C121" s="8">
        <v>0.20069444444444445</v>
      </c>
      <c r="D121" s="8">
        <v>0.23194444444444445</v>
      </c>
      <c r="E121" s="8">
        <v>0.26319444444444445</v>
      </c>
      <c r="F121" s="8">
        <v>0.29791666666666666</v>
      </c>
      <c r="G121" s="8">
        <v>0.32916666666666666</v>
      </c>
      <c r="H121" s="8">
        <v>0.36041666666666666</v>
      </c>
      <c r="I121" s="8">
        <v>0.3951388888888889</v>
      </c>
      <c r="J121" s="8">
        <v>0.4263888888888889</v>
      </c>
      <c r="K121" s="8">
        <v>0.475</v>
      </c>
      <c r="L121" s="8">
        <v>0.5236111111111111</v>
      </c>
      <c r="M121" s="8">
        <v>0.5722222222222222</v>
      </c>
      <c r="N121" s="8">
        <v>0.6034722222222222</v>
      </c>
      <c r="O121" s="8">
        <v>0.6347222222222222</v>
      </c>
      <c r="P121" s="8">
        <v>0.6694444444444444</v>
      </c>
      <c r="Q121" s="8">
        <f t="shared" ref="Q121:T121" si="104">Q116+$X145</f>
        <v>0.6631944444</v>
      </c>
      <c r="R121" s="8">
        <f t="shared" si="104"/>
        <v>0.6944444444</v>
      </c>
      <c r="S121" s="8">
        <f t="shared" si="104"/>
        <v>0.7291666667</v>
      </c>
      <c r="T121" s="8">
        <f t="shared" si="104"/>
        <v>0.7604166667</v>
      </c>
    </row>
    <row r="122">
      <c r="A122" s="7" t="s">
        <v>93</v>
      </c>
      <c r="B122" s="9" t="s">
        <v>94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>
      <c r="A123" s="7" t="s">
        <v>91</v>
      </c>
      <c r="B123" s="9" t="s">
        <v>92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>
      <c r="A124" s="7" t="s">
        <v>24</v>
      </c>
      <c r="B124" s="10" t="s">
        <v>25</v>
      </c>
      <c r="C124" s="8">
        <v>0.2048611111111111</v>
      </c>
      <c r="D124" s="8">
        <v>0.2361111111111111</v>
      </c>
      <c r="E124" s="8">
        <v>0.2673611111111111</v>
      </c>
      <c r="F124" s="8">
        <v>0.3020833333333333</v>
      </c>
      <c r="G124" s="8">
        <v>0.3333333333333333</v>
      </c>
      <c r="H124" s="8">
        <v>0.3645833333333333</v>
      </c>
      <c r="I124" s="8">
        <v>0.3993055555555556</v>
      </c>
      <c r="J124" s="8">
        <v>0.4305555555555556</v>
      </c>
      <c r="K124" s="8">
        <v>0.4791666666666667</v>
      </c>
      <c r="L124" s="8">
        <v>0.5277777777777778</v>
      </c>
      <c r="M124" s="8">
        <v>0.5763888888888888</v>
      </c>
      <c r="N124" s="8">
        <v>0.6076388888888888</v>
      </c>
      <c r="O124" s="8">
        <v>0.6388888888888888</v>
      </c>
      <c r="P124" s="8">
        <v>0.6736111111111112</v>
      </c>
      <c r="Q124" s="8">
        <f t="shared" ref="Q124:T124" si="105">Q121+$X148</f>
        <v>0.6631944444</v>
      </c>
      <c r="R124" s="8">
        <f t="shared" si="105"/>
        <v>0.6944444444</v>
      </c>
      <c r="S124" s="8">
        <f t="shared" si="105"/>
        <v>0.7291666667</v>
      </c>
      <c r="T124" s="8">
        <f t="shared" si="105"/>
        <v>0.7604166667</v>
      </c>
    </row>
    <row r="126">
      <c r="A126" s="4" t="s">
        <v>118</v>
      </c>
    </row>
    <row r="128">
      <c r="A128" s="1" t="s">
        <v>0</v>
      </c>
      <c r="B128" s="2" t="str">
        <f>#REF!</f>
        <v>#REF!</v>
      </c>
      <c r="C128" s="1" t="s">
        <v>1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"/>
      <c r="V128" s="3"/>
      <c r="W128" s="3"/>
      <c r="X128" s="3"/>
      <c r="Y128" s="3"/>
      <c r="Z128" s="3"/>
      <c r="AA128" s="3"/>
    </row>
    <row r="129">
      <c r="A129" s="1" t="s">
        <v>2</v>
      </c>
      <c r="B129" s="1" t="s">
        <v>3</v>
      </c>
      <c r="C129" s="1">
        <v>624.0</v>
      </c>
      <c r="D129" s="1">
        <v>626.0</v>
      </c>
      <c r="E129" s="1">
        <v>628.0</v>
      </c>
      <c r="F129" s="1">
        <v>630.0</v>
      </c>
      <c r="G129" s="1">
        <v>632.0</v>
      </c>
      <c r="H129" s="1">
        <v>634.0</v>
      </c>
      <c r="I129" s="1">
        <v>636.0</v>
      </c>
      <c r="J129" s="1">
        <v>638.0</v>
      </c>
      <c r="K129" s="1">
        <v>640.0</v>
      </c>
      <c r="L129" s="1">
        <v>642.0</v>
      </c>
      <c r="M129" s="1">
        <v>644.0</v>
      </c>
      <c r="N129" s="1">
        <v>646.0</v>
      </c>
      <c r="O129" s="1"/>
      <c r="P129" s="1"/>
      <c r="Q129" s="1"/>
      <c r="R129" s="1"/>
      <c r="S129" s="1"/>
      <c r="T129" s="1"/>
      <c r="U129" s="1"/>
      <c r="V129" s="3"/>
      <c r="W129" s="3"/>
      <c r="X129" s="3"/>
      <c r="Y129" s="3"/>
      <c r="Z129" s="3"/>
      <c r="AA129" s="3"/>
    </row>
    <row r="130">
      <c r="A130" s="4" t="s">
        <v>24</v>
      </c>
      <c r="B130" s="80" t="s">
        <v>25</v>
      </c>
      <c r="C130" s="6">
        <v>0.2222222222222222</v>
      </c>
      <c r="D130" s="6">
        <v>0.2708333333333333</v>
      </c>
      <c r="E130" s="6">
        <v>0.3194444444444444</v>
      </c>
      <c r="F130" s="6">
        <v>0.3715277777777778</v>
      </c>
      <c r="G130" s="6">
        <v>0.4201388888888889</v>
      </c>
      <c r="H130" s="6">
        <v>0.46875</v>
      </c>
      <c r="I130" s="6">
        <v>0.5173611111111112</v>
      </c>
      <c r="J130" s="6">
        <v>0.5659722222222222</v>
      </c>
      <c r="K130" s="6">
        <v>0.6145833333333334</v>
      </c>
      <c r="L130" s="6">
        <v>0.6631944444444444</v>
      </c>
      <c r="M130" s="6">
        <v>0.7118055555555556</v>
      </c>
      <c r="N130" s="6">
        <v>0.7604166666666666</v>
      </c>
      <c r="O130" s="6"/>
      <c r="P130" s="6"/>
      <c r="Q130" s="6"/>
      <c r="R130" s="6"/>
      <c r="S130" s="6"/>
      <c r="T130" s="6"/>
      <c r="U130" s="6"/>
    </row>
    <row r="131">
      <c r="A131" s="1" t="s">
        <v>29</v>
      </c>
      <c r="B131" s="7" t="s">
        <v>119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>
      <c r="A132" s="1" t="s">
        <v>30</v>
      </c>
      <c r="B132" s="7" t="s">
        <v>120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>
      <c r="A133" s="7" t="s">
        <v>31</v>
      </c>
      <c r="B133" s="7" t="s">
        <v>121</v>
      </c>
      <c r="C133" s="8">
        <v>0.23055555555555557</v>
      </c>
      <c r="D133" s="8">
        <v>0.2791666666666667</v>
      </c>
      <c r="E133" s="8">
        <v>0.3277777777777778</v>
      </c>
      <c r="F133" s="8">
        <v>0.3798611111111111</v>
      </c>
      <c r="G133" s="8">
        <v>0.4284722222222222</v>
      </c>
      <c r="H133" s="8">
        <v>0.47708333333333336</v>
      </c>
      <c r="I133" s="8">
        <v>0.5256944444444445</v>
      </c>
      <c r="J133" s="8">
        <v>0.5743055555555555</v>
      </c>
      <c r="K133" s="8">
        <v>0.6229166666666667</v>
      </c>
      <c r="L133" s="8">
        <v>0.6715277777777777</v>
      </c>
      <c r="M133" s="8">
        <v>0.7201388888888889</v>
      </c>
      <c r="N133" s="8">
        <v>0.76875</v>
      </c>
      <c r="O133" s="8"/>
      <c r="P133" s="8"/>
      <c r="Q133" s="8"/>
      <c r="R133" s="8"/>
      <c r="S133" s="8"/>
      <c r="T133" s="8"/>
      <c r="U133" s="8"/>
    </row>
    <row r="134">
      <c r="A134" s="7" t="s">
        <v>32</v>
      </c>
      <c r="B134" s="7" t="s">
        <v>122</v>
      </c>
      <c r="C134" s="8">
        <v>0.23333333333333334</v>
      </c>
      <c r="D134" s="8">
        <v>0.28194444444444444</v>
      </c>
      <c r="E134" s="8">
        <v>0.33055555555555555</v>
      </c>
      <c r="F134" s="8">
        <v>0.38263888888888886</v>
      </c>
      <c r="G134" s="8">
        <v>0.43125</v>
      </c>
      <c r="H134" s="8">
        <v>0.4798611111111111</v>
      </c>
      <c r="I134" s="8">
        <v>0.5284722222222222</v>
      </c>
      <c r="J134" s="8">
        <v>0.5770833333333333</v>
      </c>
      <c r="K134" s="8">
        <v>0.6256944444444444</v>
      </c>
      <c r="L134" s="8">
        <v>0.6743055555555556</v>
      </c>
      <c r="M134" s="8">
        <v>0.7229166666666667</v>
      </c>
      <c r="N134" s="8">
        <v>0.7715277777777778</v>
      </c>
      <c r="O134" s="8"/>
      <c r="P134" s="8"/>
      <c r="Q134" s="8"/>
      <c r="R134" s="8"/>
      <c r="S134" s="8"/>
      <c r="T134" s="8"/>
      <c r="U134" s="8"/>
    </row>
    <row r="135">
      <c r="A135" s="7" t="s">
        <v>33</v>
      </c>
      <c r="B135" s="7" t="s">
        <v>123</v>
      </c>
      <c r="C135" s="8">
        <v>0.23958333333333334</v>
      </c>
      <c r="D135" s="8">
        <v>0.2881944444444444</v>
      </c>
      <c r="E135" s="8">
        <v>0.3368055555555556</v>
      </c>
      <c r="F135" s="8">
        <v>0.3888888888888889</v>
      </c>
      <c r="G135" s="8">
        <v>0.4375</v>
      </c>
      <c r="H135" s="8">
        <v>0.4861111111111111</v>
      </c>
      <c r="I135" s="8">
        <v>0.5347222222222222</v>
      </c>
      <c r="J135" s="8">
        <v>0.5833333333333334</v>
      </c>
      <c r="K135" s="8">
        <v>0.6319444444444444</v>
      </c>
      <c r="L135" s="8">
        <v>0.6805555555555556</v>
      </c>
      <c r="M135" s="8">
        <v>0.7291666666666666</v>
      </c>
      <c r="N135" s="8">
        <v>0.7777777777777778</v>
      </c>
      <c r="O135" s="8"/>
      <c r="P135" s="8"/>
      <c r="Q135" s="8"/>
      <c r="R135" s="8"/>
      <c r="S135" s="8"/>
      <c r="T135" s="8"/>
      <c r="U135" s="8"/>
    </row>
    <row r="138">
      <c r="A138" s="4" t="s">
        <v>124</v>
      </c>
      <c r="B138" s="7"/>
    </row>
    <row r="140">
      <c r="A140" s="1" t="s">
        <v>0</v>
      </c>
      <c r="B140" s="2">
        <v>45466.0</v>
      </c>
      <c r="C140" s="1" t="s">
        <v>1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3"/>
      <c r="V140" s="3"/>
      <c r="W140" s="3"/>
      <c r="X140" s="3"/>
      <c r="Y140" s="3"/>
      <c r="Z140" s="3"/>
      <c r="AA140" s="3"/>
    </row>
    <row r="141">
      <c r="A141" s="1" t="s">
        <v>2</v>
      </c>
      <c r="B141" s="1" t="s">
        <v>3</v>
      </c>
      <c r="C141" s="1">
        <v>625.0</v>
      </c>
      <c r="D141" s="1">
        <v>627.0</v>
      </c>
      <c r="E141" s="1">
        <v>629.0</v>
      </c>
      <c r="F141" s="1">
        <v>631.0</v>
      </c>
      <c r="G141" s="1">
        <v>633.0</v>
      </c>
      <c r="H141" s="1">
        <v>635.0</v>
      </c>
      <c r="I141" s="1">
        <v>637.0</v>
      </c>
      <c r="J141" s="1">
        <v>639.0</v>
      </c>
      <c r="K141" s="1">
        <v>641.0</v>
      </c>
      <c r="L141" s="1">
        <v>643.0</v>
      </c>
      <c r="M141" s="1">
        <v>645.0</v>
      </c>
      <c r="N141" s="1">
        <v>647.0</v>
      </c>
      <c r="O141" s="1"/>
      <c r="P141" s="1"/>
      <c r="Q141" s="1"/>
      <c r="R141" s="1"/>
      <c r="S141" s="1"/>
      <c r="T141" s="1"/>
      <c r="U141" s="3"/>
      <c r="V141" s="3"/>
      <c r="W141" s="3"/>
      <c r="X141" s="3"/>
      <c r="Y141" s="3"/>
      <c r="Z141" s="3"/>
      <c r="AA141" s="3"/>
    </row>
    <row r="142">
      <c r="A142" s="4" t="s">
        <v>33</v>
      </c>
      <c r="B142" s="5" t="s">
        <v>123</v>
      </c>
      <c r="C142" s="81">
        <v>0.2465277777777778</v>
      </c>
      <c r="D142" s="6">
        <v>0.2951388888888889</v>
      </c>
      <c r="E142" s="6">
        <v>0.34375</v>
      </c>
      <c r="F142" s="6">
        <v>0.3958333333333333</v>
      </c>
      <c r="G142" s="6">
        <v>0.4444444444444444</v>
      </c>
      <c r="H142" s="6">
        <v>0.4930555555555556</v>
      </c>
      <c r="I142" s="6">
        <v>0.5416666666666666</v>
      </c>
      <c r="J142" s="6">
        <v>0.5902777777777778</v>
      </c>
      <c r="K142" s="6">
        <v>0.6388888888888888</v>
      </c>
      <c r="L142" s="6">
        <v>0.6875</v>
      </c>
      <c r="M142" s="6">
        <v>0.7361111111111112</v>
      </c>
      <c r="N142" s="6">
        <v>0.7847222222222222</v>
      </c>
      <c r="O142" s="6"/>
      <c r="P142" s="6"/>
      <c r="Q142" s="6"/>
      <c r="R142" s="6"/>
      <c r="S142" s="6"/>
      <c r="T142" s="6"/>
    </row>
    <row r="143">
      <c r="A143" s="1" t="s">
        <v>32</v>
      </c>
      <c r="B143" s="7" t="s">
        <v>122</v>
      </c>
      <c r="C143" s="83">
        <v>0.25277777777777777</v>
      </c>
      <c r="D143" s="8">
        <v>0.3013888888888889</v>
      </c>
      <c r="E143" s="8">
        <v>0.35</v>
      </c>
      <c r="F143" s="8">
        <v>0.40208333333333335</v>
      </c>
      <c r="G143" s="8">
        <v>0.45069444444444445</v>
      </c>
      <c r="H143" s="8">
        <v>0.49930555555555556</v>
      </c>
      <c r="I143" s="8">
        <v>0.5479166666666667</v>
      </c>
      <c r="J143" s="8">
        <v>0.5965277777777778</v>
      </c>
      <c r="K143" s="8">
        <v>0.6451388888888889</v>
      </c>
      <c r="L143" s="8">
        <v>0.69375</v>
      </c>
      <c r="M143" s="8">
        <v>0.7423611111111111</v>
      </c>
      <c r="N143" s="8">
        <v>0.7909722222222222</v>
      </c>
      <c r="O143" s="8"/>
      <c r="P143" s="8"/>
      <c r="Q143" s="8"/>
      <c r="R143" s="8"/>
      <c r="S143" s="8"/>
      <c r="T143" s="8"/>
    </row>
    <row r="144">
      <c r="A144" s="1" t="s">
        <v>31</v>
      </c>
      <c r="B144" s="8" t="s">
        <v>121</v>
      </c>
      <c r="C144" s="83">
        <v>0.25555555555555554</v>
      </c>
      <c r="D144" s="8">
        <v>0.30416666666666664</v>
      </c>
      <c r="E144" s="8">
        <v>0.3527777777777778</v>
      </c>
      <c r="F144" s="8">
        <v>0.4048611111111111</v>
      </c>
      <c r="G144" s="8">
        <v>0.4534722222222222</v>
      </c>
      <c r="H144" s="8">
        <v>0.5020833333333333</v>
      </c>
      <c r="I144" s="8">
        <v>0.5506944444444445</v>
      </c>
      <c r="J144" s="8">
        <v>0.5993055555555555</v>
      </c>
      <c r="K144" s="8">
        <v>0.6479166666666667</v>
      </c>
      <c r="L144" s="8">
        <v>0.6965277777777777</v>
      </c>
      <c r="M144" s="8">
        <v>0.7451388888888889</v>
      </c>
      <c r="N144" s="8">
        <v>0.79375</v>
      </c>
      <c r="O144" s="8"/>
      <c r="P144" s="8"/>
      <c r="Q144" s="8"/>
      <c r="R144" s="8"/>
      <c r="S144" s="8"/>
      <c r="T144" s="8"/>
    </row>
    <row r="145">
      <c r="A145" s="7" t="s">
        <v>30</v>
      </c>
      <c r="B145" s="8" t="s">
        <v>120</v>
      </c>
      <c r="C145" s="84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8"/>
      <c r="P145" s="8"/>
      <c r="Q145" s="8"/>
      <c r="R145" s="8"/>
      <c r="S145" s="8"/>
      <c r="T145" s="8"/>
    </row>
    <row r="146">
      <c r="A146" s="7" t="s">
        <v>29</v>
      </c>
      <c r="B146" s="8" t="s">
        <v>119</v>
      </c>
      <c r="C146" s="84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8"/>
      <c r="P146" s="8"/>
      <c r="Q146" s="8"/>
      <c r="R146" s="8"/>
      <c r="S146" s="8"/>
      <c r="T146" s="8"/>
    </row>
    <row r="147">
      <c r="A147" s="7" t="s">
        <v>24</v>
      </c>
      <c r="B147" s="8" t="s">
        <v>25</v>
      </c>
      <c r="C147" s="83">
        <v>0.2638888888888889</v>
      </c>
      <c r="D147" s="8">
        <v>0.3125</v>
      </c>
      <c r="E147" s="8">
        <v>0.3611111111111111</v>
      </c>
      <c r="F147" s="8">
        <v>0.4131944444444444</v>
      </c>
      <c r="G147" s="8">
        <v>0.4618055555555556</v>
      </c>
      <c r="H147" s="8">
        <v>0.5104166666666666</v>
      </c>
      <c r="I147" s="8">
        <v>0.5590277777777778</v>
      </c>
      <c r="J147" s="8">
        <v>0.6076388888888888</v>
      </c>
      <c r="K147" s="8">
        <v>0.65625</v>
      </c>
      <c r="L147" s="8">
        <v>0.7048611111111112</v>
      </c>
      <c r="M147" s="8">
        <v>0.7534722222222222</v>
      </c>
      <c r="N147" s="8">
        <v>0.8020833333333334</v>
      </c>
      <c r="O147" s="8"/>
      <c r="P147" s="8"/>
      <c r="Q147" s="8"/>
      <c r="R147" s="8"/>
      <c r="S147" s="8"/>
      <c r="T147" s="8"/>
    </row>
    <row r="152">
      <c r="A152" s="13" t="s">
        <v>50</v>
      </c>
      <c r="B152" s="11" t="s">
        <v>43</v>
      </c>
    </row>
    <row r="154">
      <c r="A154" s="13" t="s">
        <v>24</v>
      </c>
      <c r="B154" s="17"/>
      <c r="C154" s="14">
        <v>0.2361111111111111</v>
      </c>
      <c r="D154" s="14">
        <v>0.3402777777777778</v>
      </c>
      <c r="E154" s="14">
        <v>0.4479166666666667</v>
      </c>
      <c r="F154" s="14">
        <v>0.6006944444444444</v>
      </c>
      <c r="G154" s="14">
        <v>0.7013888888888888</v>
      </c>
      <c r="H154" s="14">
        <v>0.8055555555555556</v>
      </c>
      <c r="J154" s="85">
        <f t="shared" ref="J154:N154" si="106">C154-C154</f>
        <v>0</v>
      </c>
      <c r="K154" s="86">
        <f t="shared" si="106"/>
        <v>0</v>
      </c>
      <c r="L154" s="86">
        <f t="shared" si="106"/>
        <v>0</v>
      </c>
      <c r="M154" s="86">
        <f t="shared" si="106"/>
        <v>0</v>
      </c>
      <c r="N154" s="87">
        <f t="shared" si="106"/>
        <v>0</v>
      </c>
    </row>
    <row r="155">
      <c r="A155" s="11" t="s">
        <v>29</v>
      </c>
      <c r="B155" s="17"/>
      <c r="C155" s="17"/>
      <c r="D155" s="17"/>
      <c r="E155" s="17"/>
      <c r="F155" s="17"/>
      <c r="G155" s="17"/>
      <c r="H155" s="17"/>
      <c r="J155" s="41"/>
      <c r="N155" s="42"/>
    </row>
    <row r="156">
      <c r="A156" s="11" t="s">
        <v>30</v>
      </c>
      <c r="B156" s="17"/>
      <c r="C156" s="17"/>
      <c r="D156" s="17"/>
      <c r="E156" s="17"/>
      <c r="F156" s="17"/>
      <c r="G156" s="17"/>
      <c r="H156" s="17"/>
      <c r="J156" s="41"/>
      <c r="N156" s="42"/>
    </row>
    <row r="157">
      <c r="A157" s="11" t="s">
        <v>31</v>
      </c>
      <c r="B157" s="17"/>
      <c r="C157" s="14">
        <v>0.24375</v>
      </c>
      <c r="D157" s="14">
        <v>0.34791666666666665</v>
      </c>
      <c r="E157" s="14">
        <v>0.45555555555555555</v>
      </c>
      <c r="F157" s="14">
        <v>0.6083333333333333</v>
      </c>
      <c r="G157" s="14">
        <v>0.7090277777777778</v>
      </c>
      <c r="H157" s="14">
        <v>0.8138888888888889</v>
      </c>
      <c r="J157" s="88">
        <f t="shared" ref="J157:N157" si="107">C157-C154</f>
        <v>0.007638888889</v>
      </c>
      <c r="K157" s="84">
        <f t="shared" si="107"/>
        <v>0.007638888889</v>
      </c>
      <c r="L157" s="84">
        <f t="shared" si="107"/>
        <v>0.007638888889</v>
      </c>
      <c r="M157" s="84">
        <f t="shared" si="107"/>
        <v>0.007638888889</v>
      </c>
      <c r="N157" s="89">
        <f t="shared" si="107"/>
        <v>0.007638888889</v>
      </c>
    </row>
    <row r="158">
      <c r="A158" s="11" t="s">
        <v>32</v>
      </c>
      <c r="B158" s="17"/>
      <c r="C158" s="14">
        <v>0.2465277777777778</v>
      </c>
      <c r="D158" s="14">
        <v>0.3506944444444444</v>
      </c>
      <c r="E158" s="14">
        <v>0.4583333333333333</v>
      </c>
      <c r="F158" s="14">
        <v>0.6111111111111112</v>
      </c>
      <c r="G158" s="14">
        <v>0.7118055555555556</v>
      </c>
      <c r="H158" s="14">
        <v>0.8173611111111111</v>
      </c>
      <c r="J158" s="88">
        <f t="shared" ref="J158:N158" si="108">C158-C157</f>
        <v>0.002777777778</v>
      </c>
      <c r="K158" s="84">
        <f t="shared" si="108"/>
        <v>0.002777777778</v>
      </c>
      <c r="L158" s="84">
        <f t="shared" si="108"/>
        <v>0.002777777778</v>
      </c>
      <c r="M158" s="84">
        <f t="shared" si="108"/>
        <v>0.002777777778</v>
      </c>
      <c r="N158" s="89">
        <f t="shared" si="108"/>
        <v>0.002777777778</v>
      </c>
    </row>
    <row r="159">
      <c r="A159" s="11" t="s">
        <v>33</v>
      </c>
      <c r="B159" s="17"/>
      <c r="C159" s="14">
        <v>0.2520833333333333</v>
      </c>
      <c r="D159" s="14">
        <v>0.35625</v>
      </c>
      <c r="E159" s="14">
        <v>0.4638888888888889</v>
      </c>
      <c r="F159" s="14">
        <v>0.6166666666666667</v>
      </c>
      <c r="G159" s="48">
        <v>0.7173611111111111</v>
      </c>
      <c r="H159" s="14">
        <v>0.8229166666666666</v>
      </c>
      <c r="J159" s="88">
        <f t="shared" ref="J159:N159" si="109">C159-C158</f>
        <v>0.005555555556</v>
      </c>
      <c r="K159" s="84">
        <f t="shared" si="109"/>
        <v>0.005555555556</v>
      </c>
      <c r="L159" s="84">
        <f t="shared" si="109"/>
        <v>0.005555555556</v>
      </c>
      <c r="M159" s="84">
        <f t="shared" si="109"/>
        <v>0.005555555556</v>
      </c>
      <c r="N159" s="89">
        <f t="shared" si="109"/>
        <v>0.005555555556</v>
      </c>
    </row>
    <row r="160">
      <c r="A160" s="11" t="s">
        <v>34</v>
      </c>
      <c r="B160" s="17"/>
      <c r="C160" s="17"/>
      <c r="D160" s="17"/>
      <c r="E160" s="17"/>
      <c r="F160" s="17"/>
      <c r="G160" s="17"/>
      <c r="H160" s="17"/>
      <c r="J160" s="41"/>
      <c r="N160" s="42"/>
    </row>
    <row r="161">
      <c r="A161" s="11" t="s">
        <v>35</v>
      </c>
      <c r="B161" s="17"/>
      <c r="C161" s="14">
        <v>0.2611111111111111</v>
      </c>
      <c r="D161" s="14">
        <v>0.36527777777777776</v>
      </c>
      <c r="E161" s="14">
        <v>0.47291666666666665</v>
      </c>
      <c r="F161" s="14">
        <v>0.6256944444444444</v>
      </c>
      <c r="G161" s="14">
        <v>0.7263888888888889</v>
      </c>
      <c r="H161" s="14">
        <v>0.8333333333333334</v>
      </c>
      <c r="J161" s="88">
        <f t="shared" ref="J161:N161" si="110">C161-C159</f>
        <v>0.009027777778</v>
      </c>
      <c r="K161" s="84">
        <f t="shared" si="110"/>
        <v>0.009027777778</v>
      </c>
      <c r="L161" s="84">
        <f t="shared" si="110"/>
        <v>0.009027777778</v>
      </c>
      <c r="M161" s="84">
        <f t="shared" si="110"/>
        <v>0.009027777778</v>
      </c>
      <c r="N161" s="89">
        <f t="shared" si="110"/>
        <v>0.009027777778</v>
      </c>
    </row>
    <row r="162">
      <c r="A162" s="11" t="s">
        <v>36</v>
      </c>
      <c r="B162" s="17"/>
      <c r="C162" s="14">
        <v>0.26666666666666666</v>
      </c>
      <c r="D162" s="14">
        <v>0.37083333333333335</v>
      </c>
      <c r="E162" s="14">
        <v>0.47847222222222224</v>
      </c>
      <c r="F162" s="14">
        <v>0.63125</v>
      </c>
      <c r="G162" s="14">
        <v>0.7319444444444444</v>
      </c>
      <c r="H162" s="14">
        <v>0.8388888888888889</v>
      </c>
      <c r="J162" s="88">
        <f t="shared" ref="J162:N162" si="111">C162-C161</f>
        <v>0.005555555556</v>
      </c>
      <c r="K162" s="84">
        <f t="shared" si="111"/>
        <v>0.005555555556</v>
      </c>
      <c r="L162" s="84">
        <f t="shared" si="111"/>
        <v>0.005555555556</v>
      </c>
      <c r="M162" s="84">
        <f t="shared" si="111"/>
        <v>0.005555555556</v>
      </c>
      <c r="N162" s="89">
        <f t="shared" si="111"/>
        <v>0.005555555556</v>
      </c>
    </row>
    <row r="163">
      <c r="A163" s="11" t="s">
        <v>40</v>
      </c>
      <c r="B163" s="17"/>
      <c r="C163" s="17"/>
      <c r="D163" s="17"/>
      <c r="E163" s="17"/>
      <c r="F163" s="17"/>
      <c r="G163" s="17"/>
      <c r="H163" s="17"/>
      <c r="J163" s="41"/>
      <c r="N163" s="42"/>
    </row>
    <row r="164">
      <c r="A164" s="11" t="s">
        <v>41</v>
      </c>
      <c r="B164" s="17"/>
      <c r="C164" s="17"/>
      <c r="D164" s="17"/>
      <c r="E164" s="17"/>
      <c r="F164" s="17"/>
      <c r="G164" s="17"/>
      <c r="H164" s="17"/>
      <c r="J164" s="41"/>
      <c r="N164" s="42"/>
    </row>
    <row r="165">
      <c r="A165" s="11" t="s">
        <v>42</v>
      </c>
      <c r="B165" s="17"/>
      <c r="C165" s="17"/>
      <c r="D165" s="17"/>
      <c r="E165" s="17"/>
      <c r="F165" s="17"/>
      <c r="G165" s="17"/>
      <c r="H165" s="17"/>
      <c r="J165" s="41"/>
      <c r="N165" s="42"/>
    </row>
    <row r="166">
      <c r="A166" s="11" t="s">
        <v>43</v>
      </c>
      <c r="B166" s="14"/>
      <c r="C166" s="33">
        <v>0.2777777777777778</v>
      </c>
      <c r="D166" s="33">
        <v>0.3819444444444444</v>
      </c>
      <c r="E166" s="19">
        <v>0.4895833333333333</v>
      </c>
      <c r="F166" s="19">
        <v>0.6423611111111112</v>
      </c>
      <c r="G166" s="19">
        <v>0.7430555555555556</v>
      </c>
      <c r="H166" s="14">
        <v>0.8520833333333333</v>
      </c>
      <c r="J166" s="90">
        <f t="shared" ref="J166:N166" si="112">C166-C162</f>
        <v>0.01111111111</v>
      </c>
      <c r="K166" s="91">
        <f t="shared" si="112"/>
        <v>0.01111111111</v>
      </c>
      <c r="L166" s="91">
        <f t="shared" si="112"/>
        <v>0.01111111111</v>
      </c>
      <c r="M166" s="91">
        <f t="shared" si="112"/>
        <v>0.01111111111</v>
      </c>
      <c r="N166" s="92">
        <f t="shared" si="112"/>
        <v>0.01111111111</v>
      </c>
    </row>
    <row r="170">
      <c r="A170" s="11" t="s">
        <v>51</v>
      </c>
      <c r="B170" s="11" t="s">
        <v>52</v>
      </c>
      <c r="C170" s="13" t="s">
        <v>24</v>
      </c>
    </row>
    <row r="173">
      <c r="A173" s="50" t="s">
        <v>27</v>
      </c>
      <c r="C173" s="51">
        <v>615.0</v>
      </c>
      <c r="D173" s="51">
        <v>617.0</v>
      </c>
      <c r="E173" s="51">
        <v>619.0</v>
      </c>
      <c r="F173" s="51">
        <v>621.0</v>
      </c>
      <c r="G173" s="51">
        <v>623.0</v>
      </c>
    </row>
    <row r="174">
      <c r="A174" s="52" t="s">
        <v>43</v>
      </c>
      <c r="C174" s="53">
        <v>0.2847222222222222</v>
      </c>
      <c r="D174" s="53">
        <v>0.3958333333333333</v>
      </c>
      <c r="E174" s="53">
        <v>0.5</v>
      </c>
      <c r="F174" s="53">
        <v>0.6493055555555556</v>
      </c>
      <c r="G174" s="53">
        <v>0.7534722222222222</v>
      </c>
      <c r="J174" s="85">
        <f t="shared" ref="J174:N174" si="113">C174-C174</f>
        <v>0</v>
      </c>
      <c r="K174" s="86">
        <f t="shared" si="113"/>
        <v>0</v>
      </c>
      <c r="L174" s="86">
        <f t="shared" si="113"/>
        <v>0</v>
      </c>
      <c r="M174" s="86">
        <f t="shared" si="113"/>
        <v>0</v>
      </c>
      <c r="N174" s="87">
        <f t="shared" si="113"/>
        <v>0</v>
      </c>
    </row>
    <row r="175">
      <c r="A175" s="50" t="s">
        <v>42</v>
      </c>
      <c r="C175" s="49"/>
      <c r="D175" s="49"/>
      <c r="E175" s="49"/>
      <c r="F175" s="49"/>
      <c r="G175" s="49"/>
      <c r="J175" s="41"/>
      <c r="N175" s="42"/>
    </row>
    <row r="176">
      <c r="A176" s="50" t="s">
        <v>41</v>
      </c>
      <c r="C176" s="49"/>
      <c r="D176" s="49"/>
      <c r="E176" s="49"/>
      <c r="F176" s="49"/>
      <c r="G176" s="49"/>
      <c r="J176" s="41"/>
      <c r="N176" s="42"/>
    </row>
    <row r="177">
      <c r="A177" s="50" t="s">
        <v>40</v>
      </c>
      <c r="C177" s="49"/>
      <c r="D177" s="49"/>
      <c r="E177" s="49"/>
      <c r="F177" s="49"/>
      <c r="G177" s="49"/>
      <c r="J177" s="41"/>
      <c r="N177" s="42"/>
    </row>
    <row r="178">
      <c r="A178" s="50" t="s">
        <v>36</v>
      </c>
      <c r="C178" s="54">
        <v>0.2965277777777778</v>
      </c>
      <c r="D178" s="54">
        <v>0.4076388888888889</v>
      </c>
      <c r="E178" s="54">
        <v>0.5118055555555555</v>
      </c>
      <c r="F178" s="54">
        <v>0.6611111111111111</v>
      </c>
      <c r="G178" s="54">
        <v>0.7652777777777777</v>
      </c>
      <c r="J178" s="88">
        <f t="shared" ref="J178:N178" si="114">C178-C174</f>
        <v>0.01180555556</v>
      </c>
      <c r="K178" s="84">
        <f t="shared" si="114"/>
        <v>0.01180555556</v>
      </c>
      <c r="L178" s="84">
        <f t="shared" si="114"/>
        <v>0.01180555556</v>
      </c>
      <c r="M178" s="84">
        <f t="shared" si="114"/>
        <v>0.01180555556</v>
      </c>
      <c r="N178" s="89">
        <f t="shared" si="114"/>
        <v>0.01180555556</v>
      </c>
    </row>
    <row r="179">
      <c r="A179" s="50" t="s">
        <v>35</v>
      </c>
      <c r="C179" s="54">
        <v>0.3020833333333333</v>
      </c>
      <c r="D179" s="54">
        <v>0.4131944444444444</v>
      </c>
      <c r="E179" s="54">
        <v>0.5173611111111112</v>
      </c>
      <c r="F179" s="54">
        <v>0.6666666666666666</v>
      </c>
      <c r="G179" s="54">
        <v>0.7708333333333334</v>
      </c>
      <c r="J179" s="88">
        <f t="shared" ref="J179:N179" si="115">C179-C178</f>
        <v>0.005555555556</v>
      </c>
      <c r="K179" s="84">
        <f t="shared" si="115"/>
        <v>0.005555555556</v>
      </c>
      <c r="L179" s="84">
        <f t="shared" si="115"/>
        <v>0.005555555556</v>
      </c>
      <c r="M179" s="84">
        <f t="shared" si="115"/>
        <v>0.005555555556</v>
      </c>
      <c r="N179" s="89">
        <f t="shared" si="115"/>
        <v>0.005555555556</v>
      </c>
    </row>
    <row r="180">
      <c r="A180" s="50" t="s">
        <v>34</v>
      </c>
      <c r="C180" s="49"/>
      <c r="D180" s="49"/>
      <c r="E180" s="49"/>
      <c r="F180" s="49"/>
      <c r="G180" s="49"/>
      <c r="J180" s="41"/>
      <c r="N180" s="42"/>
    </row>
    <row r="181">
      <c r="A181" s="50" t="s">
        <v>33</v>
      </c>
      <c r="C181" s="54">
        <v>0.3104166666666667</v>
      </c>
      <c r="D181" s="54">
        <v>0.4215277777777778</v>
      </c>
      <c r="E181" s="54">
        <v>0.5256944444444445</v>
      </c>
      <c r="F181" s="54">
        <v>0.675</v>
      </c>
      <c r="G181" s="54">
        <v>0.7791666666666667</v>
      </c>
      <c r="J181" s="88">
        <f t="shared" ref="J181:N181" si="116">C181-C179</f>
        <v>0.008333333333</v>
      </c>
      <c r="K181" s="84">
        <f t="shared" si="116"/>
        <v>0.008333333333</v>
      </c>
      <c r="L181" s="84">
        <f t="shared" si="116"/>
        <v>0.008333333333</v>
      </c>
      <c r="M181" s="84">
        <f t="shared" si="116"/>
        <v>0.008333333333</v>
      </c>
      <c r="N181" s="89">
        <f t="shared" si="116"/>
        <v>0.008333333333</v>
      </c>
    </row>
    <row r="182">
      <c r="A182" s="50" t="s">
        <v>32</v>
      </c>
      <c r="C182" s="54">
        <v>0.31666666666666665</v>
      </c>
      <c r="D182" s="54">
        <v>0.42777777777777776</v>
      </c>
      <c r="E182" s="54">
        <v>0.5319444444444444</v>
      </c>
      <c r="F182" s="54">
        <v>0.68125</v>
      </c>
      <c r="G182" s="54">
        <v>0.7854166666666667</v>
      </c>
      <c r="J182" s="88">
        <f t="shared" ref="J182:N182" si="117">C182-C181</f>
        <v>0.00625</v>
      </c>
      <c r="K182" s="84">
        <f t="shared" si="117"/>
        <v>0.00625</v>
      </c>
      <c r="L182" s="84">
        <f t="shared" si="117"/>
        <v>0.00625</v>
      </c>
      <c r="M182" s="84">
        <f t="shared" si="117"/>
        <v>0.00625</v>
      </c>
      <c r="N182" s="89">
        <f t="shared" si="117"/>
        <v>0.00625</v>
      </c>
    </row>
    <row r="183">
      <c r="A183" s="50" t="s">
        <v>31</v>
      </c>
      <c r="C183" s="54">
        <v>0.31875</v>
      </c>
      <c r="D183" s="54">
        <v>0.42986111111111114</v>
      </c>
      <c r="E183" s="54">
        <v>0.5340277777777778</v>
      </c>
      <c r="F183" s="54">
        <v>0.6833333333333333</v>
      </c>
      <c r="G183" s="54">
        <v>0.7875</v>
      </c>
      <c r="J183" s="88">
        <f t="shared" ref="J183:N183" si="118">C183-C182</f>
        <v>0.002083333333</v>
      </c>
      <c r="K183" s="84">
        <f t="shared" si="118"/>
        <v>0.002083333333</v>
      </c>
      <c r="L183" s="84">
        <f t="shared" si="118"/>
        <v>0.002083333333</v>
      </c>
      <c r="M183" s="84">
        <f t="shared" si="118"/>
        <v>0.002083333333</v>
      </c>
      <c r="N183" s="89">
        <f t="shared" si="118"/>
        <v>0.002083333333</v>
      </c>
    </row>
    <row r="184">
      <c r="A184" s="50" t="s">
        <v>30</v>
      </c>
      <c r="C184" s="49"/>
      <c r="D184" s="49"/>
      <c r="E184" s="49"/>
      <c r="F184" s="49"/>
      <c r="G184" s="49"/>
      <c r="J184" s="41"/>
      <c r="N184" s="42"/>
    </row>
    <row r="185">
      <c r="A185" s="50" t="s">
        <v>29</v>
      </c>
      <c r="C185" s="49"/>
      <c r="D185" s="49"/>
      <c r="E185" s="49"/>
      <c r="F185" s="49"/>
      <c r="G185" s="49"/>
      <c r="J185" s="41"/>
      <c r="N185" s="42"/>
    </row>
    <row r="186">
      <c r="A186" s="52" t="s">
        <v>24</v>
      </c>
      <c r="C186" s="54">
        <v>0.3263888888888889</v>
      </c>
      <c r="D186" s="54">
        <v>0.4375</v>
      </c>
      <c r="E186" s="54">
        <v>0.5416666666666666</v>
      </c>
      <c r="F186" s="54">
        <v>0.6909722222222222</v>
      </c>
      <c r="G186" s="54">
        <v>0.7951388888888888</v>
      </c>
      <c r="J186" s="90">
        <f t="shared" ref="J186:N186" si="119">C186-C183</f>
        <v>0.007638888889</v>
      </c>
      <c r="K186" s="91">
        <f t="shared" si="119"/>
        <v>0.007638888889</v>
      </c>
      <c r="L186" s="91">
        <f t="shared" si="119"/>
        <v>0.007638888889</v>
      </c>
      <c r="M186" s="91">
        <f t="shared" si="119"/>
        <v>0.007638888889</v>
      </c>
      <c r="N186" s="92">
        <f t="shared" si="119"/>
        <v>0.007638888889</v>
      </c>
    </row>
    <row r="208">
      <c r="H208" s="93">
        <v>0.2986111111111111</v>
      </c>
      <c r="I208" s="93">
        <v>0.4340277777777778</v>
      </c>
      <c r="J208" s="93">
        <v>0.7083333333333334</v>
      </c>
    </row>
    <row r="212">
      <c r="J212" s="93">
        <f>C212-C212</f>
        <v>0</v>
      </c>
    </row>
    <row r="213">
      <c r="J213" s="94"/>
    </row>
    <row r="214">
      <c r="J214" s="94"/>
    </row>
    <row r="215">
      <c r="J215" s="94"/>
    </row>
    <row r="216">
      <c r="J216" s="95">
        <f>C216-C212</f>
        <v>0</v>
      </c>
    </row>
    <row r="217">
      <c r="J217" s="95">
        <f>C217-C216</f>
        <v>0</v>
      </c>
    </row>
    <row r="218">
      <c r="J218" s="94"/>
    </row>
    <row r="219">
      <c r="J219" s="95">
        <f>C219-C217</f>
        <v>0</v>
      </c>
    </row>
    <row r="220">
      <c r="J220" s="95">
        <f t="shared" ref="J220:J221" si="120">C220-C219</f>
        <v>0</v>
      </c>
    </row>
    <row r="221">
      <c r="J221" s="95">
        <f t="shared" si="120"/>
        <v>0</v>
      </c>
    </row>
    <row r="222">
      <c r="J222" s="94"/>
    </row>
    <row r="223">
      <c r="J223" s="94"/>
    </row>
    <row r="224">
      <c r="J224" s="95">
        <f>C224-C221</f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125</v>
      </c>
    </row>
    <row r="2">
      <c r="A2" s="7" t="s">
        <v>126</v>
      </c>
    </row>
    <row r="3">
      <c r="A3" s="7" t="s">
        <v>127</v>
      </c>
    </row>
    <row r="4">
      <c r="A4" s="7" t="s">
        <v>128</v>
      </c>
    </row>
    <row r="5">
      <c r="A5" s="7" t="s">
        <v>129</v>
      </c>
    </row>
    <row r="6">
      <c r="A6" s="7" t="s">
        <v>130</v>
      </c>
    </row>
    <row r="7">
      <c r="A7" s="7" t="s">
        <v>131</v>
      </c>
    </row>
    <row r="8">
      <c r="A8" s="7" t="s">
        <v>132</v>
      </c>
    </row>
    <row r="9">
      <c r="A9" s="7" t="s">
        <v>133</v>
      </c>
    </row>
    <row r="10">
      <c r="A10" s="7" t="s">
        <v>134</v>
      </c>
    </row>
    <row r="11">
      <c r="A11" s="7" t="s">
        <v>135</v>
      </c>
    </row>
    <row r="12">
      <c r="A12" s="7" t="s">
        <v>136</v>
      </c>
    </row>
    <row r="13">
      <c r="A13" s="7" t="s">
        <v>137</v>
      </c>
    </row>
    <row r="14">
      <c r="A14" s="7" t="s">
        <v>138</v>
      </c>
    </row>
    <row r="15">
      <c r="A15" s="7" t="s">
        <v>139</v>
      </c>
    </row>
    <row r="16">
      <c r="A16" s="7" t="s">
        <v>140</v>
      </c>
    </row>
    <row r="17">
      <c r="A17" s="7" t="s">
        <v>141</v>
      </c>
    </row>
    <row r="18">
      <c r="A18" s="7" t="s">
        <v>142</v>
      </c>
    </row>
    <row r="19">
      <c r="A19" s="7" t="s">
        <v>143</v>
      </c>
    </row>
    <row r="20">
      <c r="A20" s="7" t="s">
        <v>144</v>
      </c>
    </row>
    <row r="21">
      <c r="A21" s="7" t="s">
        <v>145</v>
      </c>
    </row>
    <row r="22">
      <c r="A22" s="7" t="s">
        <v>146</v>
      </c>
    </row>
    <row r="23">
      <c r="A23" s="7" t="s">
        <v>147</v>
      </c>
    </row>
    <row r="24">
      <c r="A24" s="7" t="s">
        <v>148</v>
      </c>
    </row>
    <row r="25">
      <c r="A25" s="7" t="s">
        <v>149</v>
      </c>
    </row>
    <row r="26">
      <c r="A26" s="7" t="s">
        <v>150</v>
      </c>
    </row>
    <row r="27">
      <c r="A27" s="7" t="s">
        <v>151</v>
      </c>
    </row>
    <row r="28">
      <c r="A28" s="7" t="s">
        <v>152</v>
      </c>
    </row>
    <row r="29">
      <c r="A29" s="7" t="s">
        <v>153</v>
      </c>
    </row>
    <row r="30">
      <c r="A30" s="7" t="s">
        <v>154</v>
      </c>
    </row>
    <row r="31">
      <c r="A31" s="7" t="s">
        <v>155</v>
      </c>
    </row>
    <row r="32">
      <c r="A32" s="7" t="s">
        <v>156</v>
      </c>
    </row>
    <row r="33">
      <c r="A33" s="7" t="s">
        <v>157</v>
      </c>
    </row>
    <row r="34">
      <c r="A34" s="7" t="s">
        <v>158</v>
      </c>
    </row>
    <row r="35">
      <c r="A35" s="7" t="s">
        <v>159</v>
      </c>
    </row>
    <row r="36">
      <c r="A36" s="7" t="s">
        <v>160</v>
      </c>
    </row>
    <row r="37">
      <c r="A37" s="7" t="s">
        <v>161</v>
      </c>
    </row>
    <row r="38">
      <c r="A38" s="7" t="s">
        <v>162</v>
      </c>
    </row>
    <row r="39">
      <c r="A39" s="7" t="s">
        <v>163</v>
      </c>
    </row>
    <row r="40">
      <c r="A40" s="7" t="s">
        <v>164</v>
      </c>
    </row>
    <row r="41">
      <c r="A41" s="7" t="s">
        <v>165</v>
      </c>
    </row>
    <row r="42">
      <c r="A42" s="7" t="s">
        <v>166</v>
      </c>
    </row>
    <row r="43">
      <c r="A43" s="7" t="s">
        <v>167</v>
      </c>
    </row>
    <row r="44">
      <c r="A44" s="7" t="s">
        <v>168</v>
      </c>
    </row>
    <row r="45">
      <c r="A45" s="7" t="s">
        <v>169</v>
      </c>
    </row>
    <row r="46">
      <c r="A46" s="7" t="s">
        <v>170</v>
      </c>
    </row>
    <row r="47">
      <c r="A47" s="7" t="s">
        <v>171</v>
      </c>
    </row>
    <row r="48">
      <c r="A48" s="7" t="s">
        <v>172</v>
      </c>
    </row>
    <row r="49">
      <c r="A49" s="7" t="s">
        <v>173</v>
      </c>
    </row>
    <row r="50">
      <c r="A50" s="7" t="s">
        <v>174</v>
      </c>
    </row>
    <row r="51">
      <c r="A51" s="7" t="s">
        <v>175</v>
      </c>
    </row>
    <row r="52">
      <c r="A52" s="7" t="s">
        <v>176</v>
      </c>
    </row>
    <row r="53">
      <c r="A53" s="7" t="s">
        <v>177</v>
      </c>
    </row>
    <row r="54">
      <c r="A54" s="7" t="s">
        <v>178</v>
      </c>
    </row>
    <row r="55">
      <c r="A55" s="7" t="s">
        <v>179</v>
      </c>
    </row>
    <row r="56">
      <c r="A56" s="7" t="s">
        <v>180</v>
      </c>
    </row>
    <row r="57">
      <c r="A57" s="7" t="s">
        <v>181</v>
      </c>
    </row>
    <row r="58">
      <c r="A58" s="7" t="s">
        <v>182</v>
      </c>
    </row>
    <row r="59">
      <c r="A59" s="7" t="s">
        <v>183</v>
      </c>
    </row>
    <row r="60">
      <c r="A60" s="7" t="s">
        <v>184</v>
      </c>
    </row>
    <row r="61">
      <c r="A61" s="7" t="s">
        <v>185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v>45890.0</v>
      </c>
      <c r="C1" s="96" t="s">
        <v>186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>
      <c r="A2" s="1" t="s">
        <v>2</v>
      </c>
      <c r="B2" s="1" t="str">
        <f>UPPER("Coordinates")</f>
        <v>COORDINATES</v>
      </c>
      <c r="C2" s="97">
        <v>1101.0</v>
      </c>
      <c r="D2" s="11">
        <v>1151.0</v>
      </c>
      <c r="E2" s="11">
        <v>1103.0</v>
      </c>
      <c r="F2" s="97">
        <v>1153.0</v>
      </c>
      <c r="G2" s="11">
        <v>1105.0</v>
      </c>
      <c r="H2" s="11">
        <v>1155.0</v>
      </c>
      <c r="I2" s="11">
        <v>1107.0</v>
      </c>
      <c r="J2" s="11">
        <v>1157.0</v>
      </c>
      <c r="K2" s="97">
        <v>1109.0</v>
      </c>
      <c r="L2" s="11">
        <v>1159.0</v>
      </c>
      <c r="M2" s="11">
        <v>1111.0</v>
      </c>
      <c r="N2" s="11">
        <v>1161.0</v>
      </c>
      <c r="O2" s="97">
        <v>1113.0</v>
      </c>
      <c r="P2" s="97">
        <v>1163.0</v>
      </c>
      <c r="Q2" s="11">
        <v>1115.0</v>
      </c>
      <c r="R2" s="97">
        <v>9109.0</v>
      </c>
      <c r="S2" s="11">
        <v>9111.0</v>
      </c>
      <c r="T2" s="97">
        <v>9113.0</v>
      </c>
      <c r="U2" s="11">
        <v>9115.0</v>
      </c>
      <c r="V2" s="11">
        <v>9117.0</v>
      </c>
      <c r="W2" s="11">
        <v>9119.0</v>
      </c>
      <c r="X2" s="11">
        <v>1167.0</v>
      </c>
      <c r="Y2" s="11">
        <v>1123.0</v>
      </c>
      <c r="Z2" s="11">
        <v>1165.0</v>
      </c>
      <c r="AA2" s="11">
        <v>1121.0</v>
      </c>
      <c r="AB2" s="11">
        <v>1171.0</v>
      </c>
      <c r="AC2" s="11">
        <v>1127.0</v>
      </c>
      <c r="AD2" s="11">
        <v>1169.0</v>
      </c>
      <c r="AE2" s="11">
        <v>1125.0</v>
      </c>
      <c r="AF2" s="97">
        <v>1173.0</v>
      </c>
      <c r="AG2" s="11">
        <v>1129.0</v>
      </c>
      <c r="AH2" s="11">
        <v>9121.0</v>
      </c>
      <c r="AI2" s="11">
        <v>9123.0</v>
      </c>
      <c r="AJ2" s="98"/>
      <c r="AK2" s="98"/>
      <c r="AL2" s="98"/>
      <c r="AM2" s="98"/>
      <c r="AN2" s="98"/>
      <c r="AO2" s="98"/>
      <c r="AP2" s="98"/>
      <c r="AQ2" s="98"/>
    </row>
    <row r="3">
      <c r="A3" s="60" t="s">
        <v>55</v>
      </c>
      <c r="B3" s="60" t="s">
        <v>25</v>
      </c>
      <c r="C3" s="99"/>
      <c r="D3" s="99">
        <v>0.1875</v>
      </c>
      <c r="E3" s="99"/>
      <c r="F3" s="99">
        <v>0.2152777777777778</v>
      </c>
      <c r="G3" s="99"/>
      <c r="H3" s="99">
        <v>0.22916666666666666</v>
      </c>
      <c r="I3" s="99"/>
      <c r="J3" s="99">
        <v>0.2638888888888889</v>
      </c>
      <c r="K3" s="99"/>
      <c r="L3" s="99">
        <v>0.2777777777777778</v>
      </c>
      <c r="M3" s="99"/>
      <c r="N3" s="99">
        <v>0.3125</v>
      </c>
      <c r="O3" s="99"/>
      <c r="P3" s="99">
        <v>0.3368055555555556</v>
      </c>
      <c r="Q3" s="99"/>
      <c r="R3" s="99">
        <v>0.3611111111111111</v>
      </c>
      <c r="S3" s="99">
        <v>0.4375</v>
      </c>
      <c r="T3" s="99">
        <v>0.5138888888888888</v>
      </c>
      <c r="U3" s="99">
        <v>0.5902777777777778</v>
      </c>
      <c r="V3" s="99">
        <v>0.6284722222222222</v>
      </c>
      <c r="W3" s="99">
        <v>0.6354166666666666</v>
      </c>
      <c r="X3" s="99">
        <v>0.6631944444444444</v>
      </c>
      <c r="Y3" s="99"/>
      <c r="Z3" s="99">
        <v>0.6701388888888888</v>
      </c>
      <c r="AA3" s="99"/>
      <c r="AB3" s="99">
        <v>0.7048611111111112</v>
      </c>
      <c r="AC3" s="99"/>
      <c r="AD3" s="99">
        <v>0.71875</v>
      </c>
      <c r="AE3" s="99"/>
      <c r="AF3" s="99">
        <v>0.75</v>
      </c>
      <c r="AG3" s="99"/>
      <c r="AH3" s="99">
        <v>0.7638888888888888</v>
      </c>
      <c r="AI3" s="99">
        <v>0.8090277777777778</v>
      </c>
      <c r="AJ3" s="100"/>
      <c r="AK3" s="101"/>
      <c r="AL3" s="101"/>
      <c r="AM3" s="101"/>
      <c r="AN3" s="101"/>
      <c r="AO3" s="101"/>
      <c r="AP3" s="101"/>
      <c r="AQ3" s="101"/>
    </row>
    <row r="4">
      <c r="A4" s="9" t="s">
        <v>58</v>
      </c>
      <c r="B4" s="9" t="s">
        <v>59</v>
      </c>
      <c r="C4" s="99"/>
      <c r="D4" s="99">
        <v>0.19027777777777777</v>
      </c>
      <c r="E4" s="99"/>
      <c r="F4" s="99">
        <v>0.21805555555555556</v>
      </c>
      <c r="G4" s="99"/>
      <c r="H4" s="99">
        <v>0.23194444444444445</v>
      </c>
      <c r="I4" s="99"/>
      <c r="J4" s="99">
        <v>0.26666666666666666</v>
      </c>
      <c r="K4" s="99"/>
      <c r="L4" s="99">
        <v>0.28055555555555556</v>
      </c>
      <c r="M4" s="99"/>
      <c r="N4" s="99">
        <v>0.31527777777777777</v>
      </c>
      <c r="O4" s="99"/>
      <c r="P4" s="99">
        <v>0.33958333333333335</v>
      </c>
      <c r="Q4" s="99"/>
      <c r="R4" s="99">
        <v>0.36319444444444443</v>
      </c>
      <c r="S4" s="99">
        <v>0.4395833333333333</v>
      </c>
      <c r="T4" s="99">
        <v>0.5159722222222223</v>
      </c>
      <c r="U4" s="99">
        <v>0.5923611111111111</v>
      </c>
      <c r="V4" s="99">
        <v>0.6305555555555555</v>
      </c>
      <c r="W4" s="99">
        <v>0.6381944444444444</v>
      </c>
      <c r="X4" s="99">
        <v>0.6659722222222222</v>
      </c>
      <c r="Y4" s="99"/>
      <c r="Z4" s="99">
        <v>0.6729166666666667</v>
      </c>
      <c r="AA4" s="99"/>
      <c r="AB4" s="99">
        <v>0.7076388888888889</v>
      </c>
      <c r="AC4" s="99"/>
      <c r="AD4" s="99">
        <v>0.7215277777777778</v>
      </c>
      <c r="AE4" s="99"/>
      <c r="AF4" s="99">
        <v>0.7527777777777778</v>
      </c>
      <c r="AG4" s="99"/>
      <c r="AH4" s="99">
        <v>0.7659722222222223</v>
      </c>
      <c r="AI4" s="99">
        <v>0.8111111111111111</v>
      </c>
      <c r="AJ4" s="100"/>
      <c r="AK4" s="101"/>
      <c r="AL4" s="101"/>
      <c r="AM4" s="101"/>
      <c r="AN4" s="101"/>
      <c r="AO4" s="101"/>
      <c r="AP4" s="101"/>
      <c r="AQ4" s="101"/>
    </row>
    <row r="5">
      <c r="A5" s="9" t="s">
        <v>60</v>
      </c>
      <c r="B5" s="9" t="s">
        <v>61</v>
      </c>
      <c r="C5" s="99"/>
      <c r="D5" s="99">
        <v>0.1909722222222222</v>
      </c>
      <c r="E5" s="99"/>
      <c r="F5" s="99">
        <v>0.21875</v>
      </c>
      <c r="G5" s="99"/>
      <c r="H5" s="99">
        <v>0.2326388888888889</v>
      </c>
      <c r="I5" s="99"/>
      <c r="J5" s="99">
        <v>0.2673611111111111</v>
      </c>
      <c r="K5" s="99"/>
      <c r="L5" s="99">
        <v>0.28125</v>
      </c>
      <c r="M5" s="99"/>
      <c r="N5" s="99">
        <v>0.3159722222222222</v>
      </c>
      <c r="O5" s="99"/>
      <c r="P5" s="99">
        <v>0.3402777777777778</v>
      </c>
      <c r="Q5" s="99"/>
      <c r="R5" s="99">
        <v>0.3645833333333333</v>
      </c>
      <c r="S5" s="99">
        <v>0.4409722222222222</v>
      </c>
      <c r="T5" s="99">
        <v>0.5173611111111112</v>
      </c>
      <c r="U5" s="99">
        <v>0.59375</v>
      </c>
      <c r="V5" s="99">
        <v>0.6319444444444444</v>
      </c>
      <c r="W5" s="99">
        <v>0.6388888888888888</v>
      </c>
      <c r="X5" s="99">
        <v>0.6666666666666666</v>
      </c>
      <c r="Y5" s="99"/>
      <c r="Z5" s="99">
        <v>0.6736111111111112</v>
      </c>
      <c r="AA5" s="99"/>
      <c r="AB5" s="99">
        <v>0.7083333333333334</v>
      </c>
      <c r="AC5" s="99"/>
      <c r="AD5" s="99">
        <v>0.7222222222222222</v>
      </c>
      <c r="AE5" s="99"/>
      <c r="AF5" s="99">
        <v>0.7534722222222222</v>
      </c>
      <c r="AG5" s="99"/>
      <c r="AH5" s="99">
        <v>0.7673611111111112</v>
      </c>
      <c r="AI5" s="99">
        <v>0.8125</v>
      </c>
      <c r="AJ5" s="100"/>
      <c r="AK5" s="101"/>
      <c r="AL5" s="101"/>
      <c r="AM5" s="101"/>
      <c r="AN5" s="101"/>
      <c r="AO5" s="101"/>
      <c r="AP5" s="101"/>
      <c r="AQ5" s="101"/>
    </row>
    <row r="6">
      <c r="A6" s="9" t="s">
        <v>62</v>
      </c>
      <c r="B6" s="9" t="s">
        <v>63</v>
      </c>
      <c r="C6" s="99"/>
      <c r="D6" s="99">
        <v>0.19305555555555556</v>
      </c>
      <c r="E6" s="99"/>
      <c r="F6" s="99">
        <v>0.22083333333333333</v>
      </c>
      <c r="G6" s="99"/>
      <c r="H6" s="99">
        <v>0.23472222222222222</v>
      </c>
      <c r="I6" s="99"/>
      <c r="J6" s="102">
        <v>0.26944444444444443</v>
      </c>
      <c r="K6" s="99"/>
      <c r="L6" s="99">
        <v>0.2833333333333333</v>
      </c>
      <c r="M6" s="99"/>
      <c r="N6" s="99">
        <v>0.31805555555555554</v>
      </c>
      <c r="O6" s="99"/>
      <c r="P6" s="99">
        <v>0.3423611111111111</v>
      </c>
      <c r="Q6" s="99"/>
      <c r="R6" s="99">
        <v>0.3659722222222222</v>
      </c>
      <c r="S6" s="99">
        <v>0.4423611111111111</v>
      </c>
      <c r="T6" s="99">
        <v>0.51875</v>
      </c>
      <c r="U6" s="102">
        <v>0.5951388888888889</v>
      </c>
      <c r="V6" s="99">
        <v>0.6333333333333333</v>
      </c>
      <c r="W6" s="99">
        <v>0.6402777777777777</v>
      </c>
      <c r="X6" s="99">
        <v>0.66875</v>
      </c>
      <c r="Y6" s="99"/>
      <c r="Z6" s="99">
        <v>0.6756944444444445</v>
      </c>
      <c r="AA6" s="99"/>
      <c r="AB6" s="99">
        <v>0.7104166666666667</v>
      </c>
      <c r="AC6" s="99"/>
      <c r="AD6" s="99">
        <v>0.7243055555555555</v>
      </c>
      <c r="AE6" s="99"/>
      <c r="AF6" s="99">
        <v>0.7555555555555555</v>
      </c>
      <c r="AG6" s="99"/>
      <c r="AH6" s="99">
        <v>0.76875</v>
      </c>
      <c r="AI6" s="99">
        <v>0.8138888888888889</v>
      </c>
      <c r="AJ6" s="100"/>
      <c r="AK6" s="101"/>
      <c r="AL6" s="101"/>
      <c r="AM6" s="101"/>
      <c r="AN6" s="101"/>
      <c r="AO6" s="101"/>
      <c r="AP6" s="101"/>
      <c r="AQ6" s="101"/>
    </row>
    <row r="7">
      <c r="A7" s="9" t="s">
        <v>64</v>
      </c>
      <c r="B7" s="9" t="s">
        <v>65</v>
      </c>
      <c r="C7" s="102"/>
      <c r="D7" s="102">
        <v>0.19444444444444445</v>
      </c>
      <c r="E7" s="99"/>
      <c r="F7" s="99">
        <v>0.2222222222222222</v>
      </c>
      <c r="G7" s="99"/>
      <c r="H7" s="99">
        <v>0.2361111111111111</v>
      </c>
      <c r="I7" s="99"/>
      <c r="J7" s="99">
        <v>0.2708333333333333</v>
      </c>
      <c r="K7" s="99"/>
      <c r="L7" s="99">
        <v>0.2847222222222222</v>
      </c>
      <c r="M7" s="99"/>
      <c r="N7" s="99">
        <v>0.3194444444444444</v>
      </c>
      <c r="O7" s="99"/>
      <c r="P7" s="99">
        <v>0.34375</v>
      </c>
      <c r="Q7" s="99"/>
      <c r="R7" s="99">
        <v>0.3680555555555556</v>
      </c>
      <c r="S7" s="99">
        <v>0.4444444444444444</v>
      </c>
      <c r="T7" s="99">
        <v>0.5208333333333334</v>
      </c>
      <c r="U7" s="99">
        <v>0.5972222222222222</v>
      </c>
      <c r="V7" s="99">
        <v>0.6354166666666666</v>
      </c>
      <c r="W7" s="99">
        <v>0.6423611111111112</v>
      </c>
      <c r="X7" s="99">
        <v>0.6701388888888888</v>
      </c>
      <c r="Y7" s="99"/>
      <c r="Z7" s="99">
        <v>0.6770833333333334</v>
      </c>
      <c r="AA7" s="99"/>
      <c r="AB7" s="99">
        <v>0.7118055555555556</v>
      </c>
      <c r="AC7" s="99"/>
      <c r="AD7" s="99">
        <v>0.7256944444444444</v>
      </c>
      <c r="AE7" s="99"/>
      <c r="AF7" s="99">
        <v>0.7569444444444444</v>
      </c>
      <c r="AG7" s="99"/>
      <c r="AH7" s="99">
        <v>0.7708333333333334</v>
      </c>
      <c r="AI7" s="99">
        <v>0.8159722222222222</v>
      </c>
      <c r="AJ7" s="100"/>
      <c r="AK7" s="101"/>
      <c r="AL7" s="101"/>
      <c r="AM7" s="101"/>
      <c r="AN7" s="101"/>
      <c r="AO7" s="101"/>
      <c r="AP7" s="101"/>
      <c r="AQ7" s="101"/>
    </row>
    <row r="8">
      <c r="A8" s="9" t="s">
        <v>66</v>
      </c>
      <c r="B8" s="9" t="s">
        <v>67</v>
      </c>
      <c r="C8" s="102"/>
      <c r="D8" s="102">
        <v>0.19652777777777777</v>
      </c>
      <c r="E8" s="99"/>
      <c r="F8" s="99">
        <v>0.22430555555555556</v>
      </c>
      <c r="G8" s="99"/>
      <c r="H8" s="99">
        <v>0.23819444444444443</v>
      </c>
      <c r="I8" s="99"/>
      <c r="J8" s="99">
        <v>0.27291666666666664</v>
      </c>
      <c r="K8" s="99"/>
      <c r="L8" s="99">
        <v>0.28680555555555554</v>
      </c>
      <c r="M8" s="99"/>
      <c r="N8" s="99">
        <v>0.3215277777777778</v>
      </c>
      <c r="O8" s="99"/>
      <c r="P8" s="99">
        <v>0.3458333333333333</v>
      </c>
      <c r="Q8" s="99"/>
      <c r="R8" s="99">
        <v>0.36944444444444446</v>
      </c>
      <c r="S8" s="99">
        <v>0.44583333333333336</v>
      </c>
      <c r="T8" s="99">
        <v>0.5222222222222223</v>
      </c>
      <c r="U8" s="99">
        <v>0.5986111111111111</v>
      </c>
      <c r="V8" s="99">
        <v>0.6368055555555555</v>
      </c>
      <c r="W8" s="99">
        <v>0.64375</v>
      </c>
      <c r="X8" s="99">
        <v>0.6722222222222223</v>
      </c>
      <c r="Y8" s="99"/>
      <c r="Z8" s="99">
        <v>0.6791666666666667</v>
      </c>
      <c r="AA8" s="99"/>
      <c r="AB8" s="99">
        <v>0.7138888888888889</v>
      </c>
      <c r="AC8" s="99"/>
      <c r="AD8" s="99">
        <v>0.7277777777777777</v>
      </c>
      <c r="AE8" s="99"/>
      <c r="AF8" s="99">
        <v>0.7590277777777777</v>
      </c>
      <c r="AG8" s="99"/>
      <c r="AH8" s="102">
        <v>0.7722222222222223</v>
      </c>
      <c r="AI8" s="99">
        <v>0.8173611111111111</v>
      </c>
      <c r="AJ8" s="100"/>
      <c r="AK8" s="101"/>
      <c r="AL8" s="101"/>
      <c r="AM8" s="101"/>
      <c r="AN8" s="101"/>
      <c r="AO8" s="101"/>
      <c r="AP8" s="101"/>
      <c r="AQ8" s="101"/>
    </row>
    <row r="9">
      <c r="A9" s="9" t="s">
        <v>68</v>
      </c>
      <c r="B9" s="9" t="s">
        <v>69</v>
      </c>
      <c r="C9" s="99"/>
      <c r="D9" s="99">
        <v>0.19791666666666666</v>
      </c>
      <c r="E9" s="99"/>
      <c r="F9" s="99">
        <v>0.22569444444444445</v>
      </c>
      <c r="G9" s="99"/>
      <c r="H9" s="99">
        <v>0.23958333333333334</v>
      </c>
      <c r="I9" s="99"/>
      <c r="J9" s="99">
        <v>0.2743055555555556</v>
      </c>
      <c r="K9" s="99"/>
      <c r="L9" s="99">
        <v>0.2881944444444444</v>
      </c>
      <c r="M9" s="99"/>
      <c r="N9" s="99">
        <v>0.3229166666666667</v>
      </c>
      <c r="O9" s="99"/>
      <c r="P9" s="99">
        <v>0.3472222222222222</v>
      </c>
      <c r="Q9" s="99"/>
      <c r="R9" s="99">
        <v>0.37083333333333335</v>
      </c>
      <c r="S9" s="99">
        <v>0.44722222222222224</v>
      </c>
      <c r="T9" s="99">
        <v>0.5236111111111111</v>
      </c>
      <c r="U9" s="99">
        <v>0.6</v>
      </c>
      <c r="V9" s="99">
        <v>0.6381944444444444</v>
      </c>
      <c r="W9" s="99">
        <v>0.6451388888888889</v>
      </c>
      <c r="X9" s="99">
        <v>0.6736111111111112</v>
      </c>
      <c r="Y9" s="99"/>
      <c r="Z9" s="99">
        <v>0.6805555555555556</v>
      </c>
      <c r="AA9" s="99"/>
      <c r="AB9" s="99">
        <v>0.7152777777777778</v>
      </c>
      <c r="AC9" s="99"/>
      <c r="AD9" s="99">
        <v>0.7291666666666666</v>
      </c>
      <c r="AE9" s="99"/>
      <c r="AF9" s="99">
        <v>0.7604166666666666</v>
      </c>
      <c r="AG9" s="99"/>
      <c r="AH9" s="99">
        <v>0.7736111111111111</v>
      </c>
      <c r="AI9" s="99">
        <v>0.81875</v>
      </c>
      <c r="AJ9" s="100"/>
      <c r="AK9" s="101"/>
      <c r="AL9" s="101"/>
      <c r="AM9" s="101"/>
      <c r="AN9" s="101"/>
      <c r="AO9" s="101"/>
      <c r="AP9" s="101"/>
      <c r="AQ9" s="101"/>
    </row>
    <row r="10">
      <c r="A10" s="7" t="s">
        <v>187</v>
      </c>
      <c r="B10" s="7" t="s">
        <v>188</v>
      </c>
      <c r="C10" s="103"/>
      <c r="D10" s="104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0"/>
      <c r="AK10" s="101"/>
      <c r="AL10" s="101"/>
      <c r="AM10" s="101"/>
      <c r="AN10" s="101"/>
      <c r="AO10" s="101"/>
      <c r="AP10" s="101"/>
      <c r="AQ10" s="101"/>
    </row>
    <row r="11">
      <c r="A11" s="9" t="s">
        <v>70</v>
      </c>
      <c r="B11" s="68" t="s">
        <v>71</v>
      </c>
      <c r="C11" s="99">
        <v>0.1909722222222222</v>
      </c>
      <c r="D11" s="99">
        <v>0.2013888888888889</v>
      </c>
      <c r="E11" s="99">
        <v>0.21180555555555555</v>
      </c>
      <c r="F11" s="99">
        <v>0.22916666666666666</v>
      </c>
      <c r="G11" s="99">
        <v>0.23958333333333334</v>
      </c>
      <c r="H11" s="99">
        <v>0.24305555555555555</v>
      </c>
      <c r="I11" s="99">
        <v>0.25</v>
      </c>
      <c r="J11" s="99">
        <v>0.2777777777777778</v>
      </c>
      <c r="K11" s="99">
        <v>0.2881944444444444</v>
      </c>
      <c r="L11" s="99">
        <v>0.2916666666666667</v>
      </c>
      <c r="M11" s="99">
        <v>0.3020833333333333</v>
      </c>
      <c r="N11" s="99">
        <v>0.3263888888888889</v>
      </c>
      <c r="O11" s="99">
        <v>0.3368055555555556</v>
      </c>
      <c r="P11" s="99">
        <v>0.3506944444444444</v>
      </c>
      <c r="Q11" s="99">
        <v>0.3576388888888889</v>
      </c>
      <c r="R11" s="99">
        <v>0.37430555555555556</v>
      </c>
      <c r="S11" s="99">
        <v>0.45069444444444445</v>
      </c>
      <c r="T11" s="99">
        <v>0.5270833333333333</v>
      </c>
      <c r="U11" s="99">
        <v>0.6034722222222222</v>
      </c>
      <c r="V11" s="99">
        <v>0.6416666666666667</v>
      </c>
      <c r="W11" s="99">
        <v>0.6486111111111111</v>
      </c>
      <c r="X11" s="99">
        <v>0.6770833333333334</v>
      </c>
      <c r="Y11" s="99">
        <v>0.6840277777777778</v>
      </c>
      <c r="Z11" s="99">
        <v>0.6840277777777778</v>
      </c>
      <c r="AA11" s="99">
        <v>0.6909722222222222</v>
      </c>
      <c r="AB11" s="99">
        <v>0.71875</v>
      </c>
      <c r="AC11" s="99">
        <v>0.7256944444444444</v>
      </c>
      <c r="AD11" s="99">
        <v>0.7326388888888888</v>
      </c>
      <c r="AE11" s="99">
        <v>0.7395833333333334</v>
      </c>
      <c r="AF11" s="99">
        <v>0.7638888888888888</v>
      </c>
      <c r="AG11" s="99">
        <v>0.7708333333333334</v>
      </c>
      <c r="AH11" s="99">
        <v>0.7770833333333333</v>
      </c>
      <c r="AI11" s="99">
        <v>0.8222222222222222</v>
      </c>
      <c r="AJ11" s="100"/>
      <c r="AK11" s="101"/>
      <c r="AL11" s="101"/>
      <c r="AM11" s="101"/>
      <c r="AN11" s="101"/>
      <c r="AO11" s="101"/>
      <c r="AP11" s="101"/>
      <c r="AQ11" s="101"/>
    </row>
    <row r="12">
      <c r="A12" s="9" t="s">
        <v>72</v>
      </c>
      <c r="B12" s="7" t="s">
        <v>189</v>
      </c>
      <c r="C12" s="99">
        <v>0.19236111111111112</v>
      </c>
      <c r="D12" s="99"/>
      <c r="E12" s="99">
        <v>0.21319444444444444</v>
      </c>
      <c r="F12" s="99"/>
      <c r="G12" s="99">
        <v>0.24097222222222223</v>
      </c>
      <c r="H12" s="99"/>
      <c r="I12" s="99">
        <v>0.2513888888888889</v>
      </c>
      <c r="J12" s="99"/>
      <c r="K12" s="99">
        <v>0.28958333333333336</v>
      </c>
      <c r="L12" s="99"/>
      <c r="M12" s="99">
        <v>0.3034722222222222</v>
      </c>
      <c r="N12" s="99"/>
      <c r="O12" s="99">
        <v>0.33819444444444446</v>
      </c>
      <c r="P12" s="99"/>
      <c r="Q12" s="99">
        <v>0.3590277777777778</v>
      </c>
      <c r="R12" s="99">
        <v>0.3763888888888889</v>
      </c>
      <c r="S12" s="99">
        <v>0.4527777777777778</v>
      </c>
      <c r="T12" s="99">
        <v>0.5291666666666667</v>
      </c>
      <c r="U12" s="99">
        <v>0.6055555555555555</v>
      </c>
      <c r="V12" s="99">
        <v>0.64375</v>
      </c>
      <c r="W12" s="99">
        <v>0.6506944444444445</v>
      </c>
      <c r="X12" s="99"/>
      <c r="Y12" s="99">
        <v>0.6854166666666667</v>
      </c>
      <c r="Z12" s="99"/>
      <c r="AA12" s="99">
        <v>0.6923611111111111</v>
      </c>
      <c r="AB12" s="99"/>
      <c r="AC12" s="99">
        <v>0.7270833333333333</v>
      </c>
      <c r="AD12" s="99"/>
      <c r="AE12" s="99">
        <v>0.7409722222222223</v>
      </c>
      <c r="AF12" s="99"/>
      <c r="AG12" s="99">
        <v>0.7722222222222223</v>
      </c>
      <c r="AH12" s="99">
        <v>0.7791666666666667</v>
      </c>
      <c r="AI12" s="99">
        <v>0.8243055555555555</v>
      </c>
      <c r="AJ12" s="100"/>
      <c r="AK12" s="101"/>
      <c r="AL12" s="101"/>
      <c r="AM12" s="101"/>
      <c r="AN12" s="101"/>
      <c r="AO12" s="101"/>
      <c r="AP12" s="101"/>
      <c r="AQ12" s="101"/>
    </row>
    <row r="13">
      <c r="A13" s="7" t="s">
        <v>190</v>
      </c>
      <c r="B13" s="7" t="s">
        <v>191</v>
      </c>
      <c r="C13" s="103"/>
      <c r="D13" s="104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0"/>
      <c r="AK13" s="101"/>
      <c r="AL13" s="101"/>
      <c r="AM13" s="101"/>
      <c r="AN13" s="101"/>
      <c r="AO13" s="101"/>
      <c r="AP13" s="101"/>
      <c r="AQ13" s="101"/>
    </row>
    <row r="14">
      <c r="A14" s="9" t="s">
        <v>74</v>
      </c>
      <c r="B14" s="7" t="s">
        <v>192</v>
      </c>
      <c r="C14" s="99">
        <v>0.1951388888888889</v>
      </c>
      <c r="D14" s="105"/>
      <c r="E14" s="99">
        <v>0.21597222222222223</v>
      </c>
      <c r="F14" s="99"/>
      <c r="G14" s="99">
        <v>0.24375</v>
      </c>
      <c r="H14" s="99"/>
      <c r="I14" s="102">
        <v>0.25416666666666665</v>
      </c>
      <c r="J14" s="99"/>
      <c r="K14" s="99">
        <v>0.2923611111111111</v>
      </c>
      <c r="L14" s="99"/>
      <c r="M14" s="99">
        <v>0.30625</v>
      </c>
      <c r="N14" s="99"/>
      <c r="O14" s="99">
        <v>0.34097222222222223</v>
      </c>
      <c r="P14" s="99"/>
      <c r="Q14" s="99">
        <v>0.36180555555555555</v>
      </c>
      <c r="R14" s="99">
        <v>0.3784722222222222</v>
      </c>
      <c r="S14" s="102">
        <v>0.4548611111111111</v>
      </c>
      <c r="T14" s="99">
        <v>0.53125</v>
      </c>
      <c r="U14" s="99">
        <v>0.6076388888888888</v>
      </c>
      <c r="V14" s="99">
        <v>0.6458333333333334</v>
      </c>
      <c r="W14" s="99">
        <v>0.6534722222222222</v>
      </c>
      <c r="X14" s="99"/>
      <c r="Y14" s="99">
        <v>0.6881944444444444</v>
      </c>
      <c r="Z14" s="99"/>
      <c r="AA14" s="99">
        <v>0.6951388888888889</v>
      </c>
      <c r="AB14" s="99"/>
      <c r="AC14" s="99">
        <v>0.7298611111111111</v>
      </c>
      <c r="AD14" s="99"/>
      <c r="AE14" s="99">
        <v>0.74375</v>
      </c>
      <c r="AF14" s="99"/>
      <c r="AG14" s="102">
        <v>0.775</v>
      </c>
      <c r="AH14" s="99">
        <v>0.78125</v>
      </c>
      <c r="AI14" s="99">
        <v>0.8263888888888888</v>
      </c>
      <c r="AJ14" s="100"/>
      <c r="AK14" s="101"/>
      <c r="AL14" s="101"/>
      <c r="AM14" s="101"/>
      <c r="AN14" s="101"/>
      <c r="AO14" s="101"/>
      <c r="AP14" s="101"/>
      <c r="AQ14" s="101"/>
    </row>
    <row r="15">
      <c r="A15" s="9" t="s">
        <v>76</v>
      </c>
      <c r="B15" s="9" t="s">
        <v>77</v>
      </c>
      <c r="C15" s="102">
        <v>0.19652777777777777</v>
      </c>
      <c r="D15" s="105"/>
      <c r="E15" s="99">
        <v>0.21736111111111112</v>
      </c>
      <c r="F15" s="102"/>
      <c r="G15" s="99">
        <v>0.24513888888888888</v>
      </c>
      <c r="H15" s="99"/>
      <c r="I15" s="102">
        <v>0.25555555555555554</v>
      </c>
      <c r="J15" s="99"/>
      <c r="K15" s="99">
        <v>0.29375</v>
      </c>
      <c r="L15" s="99"/>
      <c r="M15" s="99">
        <v>0.3076388888888889</v>
      </c>
      <c r="N15" s="99"/>
      <c r="O15" s="99">
        <v>0.3423611111111111</v>
      </c>
      <c r="P15" s="99"/>
      <c r="Q15" s="99">
        <v>0.36319444444444443</v>
      </c>
      <c r="R15" s="99">
        <v>0.38055555555555554</v>
      </c>
      <c r="S15" s="102">
        <v>0.45694444444444443</v>
      </c>
      <c r="T15" s="99">
        <v>0.5333333333333333</v>
      </c>
      <c r="U15" s="99">
        <v>0.6097222222222223</v>
      </c>
      <c r="V15" s="99">
        <v>0.6479166666666667</v>
      </c>
      <c r="W15" s="99">
        <v>0.6548611111111111</v>
      </c>
      <c r="X15" s="99"/>
      <c r="Y15" s="99">
        <v>0.6895833333333333</v>
      </c>
      <c r="Z15" s="99"/>
      <c r="AA15" s="99">
        <v>0.6965277777777777</v>
      </c>
      <c r="AB15" s="99"/>
      <c r="AC15" s="99">
        <v>0.73125</v>
      </c>
      <c r="AD15" s="99"/>
      <c r="AE15" s="99">
        <v>0.7451388888888889</v>
      </c>
      <c r="AF15" s="99"/>
      <c r="AG15" s="99">
        <v>0.7763888888888889</v>
      </c>
      <c r="AH15" s="99">
        <v>0.7833333333333333</v>
      </c>
      <c r="AI15" s="99">
        <v>0.8284722222222223</v>
      </c>
      <c r="AJ15" s="100"/>
      <c r="AK15" s="101"/>
      <c r="AL15" s="101"/>
      <c r="AM15" s="101"/>
      <c r="AN15" s="101"/>
      <c r="AO15" s="101"/>
      <c r="AP15" s="101"/>
      <c r="AQ15" s="101"/>
    </row>
    <row r="16">
      <c r="A16" s="9" t="s">
        <v>78</v>
      </c>
      <c r="B16" s="9" t="s">
        <v>79</v>
      </c>
      <c r="C16" s="102">
        <v>0.1986111111111111</v>
      </c>
      <c r="D16" s="105"/>
      <c r="E16" s="99">
        <v>0.22013888888888888</v>
      </c>
      <c r="F16" s="102"/>
      <c r="G16" s="99">
        <v>0.24722222222222223</v>
      </c>
      <c r="H16" s="99"/>
      <c r="I16" s="102">
        <v>0.25833333333333336</v>
      </c>
      <c r="J16" s="99"/>
      <c r="K16" s="99">
        <v>0.29583333333333334</v>
      </c>
      <c r="L16" s="99"/>
      <c r="M16" s="102">
        <v>0.3104166666666667</v>
      </c>
      <c r="N16" s="99"/>
      <c r="O16" s="102">
        <v>0.34444444444444444</v>
      </c>
      <c r="P16" s="99"/>
      <c r="Q16" s="102">
        <v>0.3659722222222222</v>
      </c>
      <c r="R16" s="99">
        <v>0.38263888888888886</v>
      </c>
      <c r="S16" s="99">
        <v>0.45902777777777776</v>
      </c>
      <c r="T16" s="99">
        <v>0.5354166666666667</v>
      </c>
      <c r="U16" s="99">
        <v>0.6118055555555556</v>
      </c>
      <c r="V16" s="99">
        <v>0.65</v>
      </c>
      <c r="W16" s="99">
        <v>0.6576388888888889</v>
      </c>
      <c r="X16" s="99"/>
      <c r="Y16" s="99">
        <v>0.6923611111111111</v>
      </c>
      <c r="Z16" s="99"/>
      <c r="AA16" s="99">
        <v>0.6986111111111111</v>
      </c>
      <c r="AB16" s="99"/>
      <c r="AC16" s="99">
        <v>0.7340277777777777</v>
      </c>
      <c r="AD16" s="99"/>
      <c r="AE16" s="99">
        <v>0.7472222222222222</v>
      </c>
      <c r="AF16" s="99"/>
      <c r="AG16" s="99">
        <v>0.7791666666666667</v>
      </c>
      <c r="AH16" s="99">
        <v>0.7854166666666667</v>
      </c>
      <c r="AI16" s="99">
        <v>0.8305555555555556</v>
      </c>
      <c r="AJ16" s="100"/>
      <c r="AK16" s="101"/>
      <c r="AL16" s="101"/>
      <c r="AM16" s="101"/>
      <c r="AN16" s="101"/>
      <c r="AO16" s="101"/>
      <c r="AP16" s="101"/>
      <c r="AQ16" s="101"/>
    </row>
    <row r="17">
      <c r="A17" s="9" t="s">
        <v>80</v>
      </c>
      <c r="B17" s="9" t="s">
        <v>81</v>
      </c>
      <c r="C17" s="102">
        <v>0.2013888888888889</v>
      </c>
      <c r="D17" s="105"/>
      <c r="E17" s="99">
        <v>0.2222222222222222</v>
      </c>
      <c r="F17" s="102"/>
      <c r="G17" s="99">
        <v>0.25</v>
      </c>
      <c r="H17" s="99"/>
      <c r="I17" s="99">
        <v>0.2604166666666667</v>
      </c>
      <c r="J17" s="99"/>
      <c r="K17" s="99">
        <v>0.2986111111111111</v>
      </c>
      <c r="L17" s="99"/>
      <c r="M17" s="99">
        <v>0.3125</v>
      </c>
      <c r="N17" s="99"/>
      <c r="O17" s="99">
        <v>0.3472222222222222</v>
      </c>
      <c r="P17" s="99"/>
      <c r="Q17" s="99">
        <v>0.3680555555555556</v>
      </c>
      <c r="R17" s="99">
        <v>0.3854166666666667</v>
      </c>
      <c r="S17" s="99">
        <v>0.4618055555555556</v>
      </c>
      <c r="T17" s="99">
        <v>0.5381944444444444</v>
      </c>
      <c r="U17" s="99">
        <v>0.6145833333333334</v>
      </c>
      <c r="V17" s="99">
        <v>0.6527777777777778</v>
      </c>
      <c r="W17" s="99">
        <v>0.6597222222222222</v>
      </c>
      <c r="X17" s="99"/>
      <c r="Y17" s="99">
        <v>0.6944444444444444</v>
      </c>
      <c r="Z17" s="99"/>
      <c r="AA17" s="99">
        <v>0.7013888888888888</v>
      </c>
      <c r="AB17" s="99"/>
      <c r="AC17" s="99">
        <v>0.7361111111111112</v>
      </c>
      <c r="AD17" s="99"/>
      <c r="AE17" s="99">
        <v>0.75</v>
      </c>
      <c r="AF17" s="99"/>
      <c r="AG17" s="99">
        <v>0.78125</v>
      </c>
      <c r="AH17" s="99">
        <v>0.7881944444444444</v>
      </c>
      <c r="AI17" s="99">
        <v>0.8333333333333334</v>
      </c>
      <c r="AJ17" s="100"/>
      <c r="AK17" s="101"/>
      <c r="AL17" s="101"/>
      <c r="AM17" s="101"/>
      <c r="AN17" s="101"/>
      <c r="AO17" s="101"/>
      <c r="AP17" s="101"/>
      <c r="AQ17" s="101"/>
    </row>
    <row r="18">
      <c r="A18" s="7" t="s">
        <v>193</v>
      </c>
      <c r="B18" s="7" t="s">
        <v>194</v>
      </c>
      <c r="C18" s="103"/>
      <c r="D18" s="104"/>
      <c r="E18" s="103"/>
      <c r="F18" s="103"/>
      <c r="G18" s="103"/>
      <c r="H18" s="106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0"/>
      <c r="AK18" s="101"/>
      <c r="AL18" s="101"/>
      <c r="AM18" s="101"/>
      <c r="AN18" s="101"/>
      <c r="AO18" s="101"/>
      <c r="AP18" s="101"/>
      <c r="AQ18" s="101"/>
    </row>
    <row r="19">
      <c r="A19" s="9" t="s">
        <v>82</v>
      </c>
      <c r="B19" s="9" t="s">
        <v>83</v>
      </c>
      <c r="C19" s="99">
        <v>0.20833333333333334</v>
      </c>
      <c r="D19" s="105"/>
      <c r="E19" s="107"/>
      <c r="F19" s="99"/>
      <c r="G19" s="99">
        <v>0.2569444444444444</v>
      </c>
      <c r="H19" s="99"/>
      <c r="I19" s="99"/>
      <c r="J19" s="99"/>
      <c r="K19" s="99">
        <v>0.3055555555555556</v>
      </c>
      <c r="L19" s="108"/>
      <c r="M19" s="99"/>
      <c r="N19" s="99"/>
      <c r="O19" s="99">
        <v>0.3541666666666667</v>
      </c>
      <c r="P19" s="108"/>
      <c r="Q19" s="99"/>
      <c r="R19" s="99">
        <v>0.3923611111111111</v>
      </c>
      <c r="S19" s="99">
        <v>0.46875</v>
      </c>
      <c r="T19" s="99">
        <v>0.5451388888888888</v>
      </c>
      <c r="U19" s="99">
        <v>0.6215277777777778</v>
      </c>
      <c r="V19" s="99">
        <v>0.6597222222222222</v>
      </c>
      <c r="W19" s="99"/>
      <c r="X19" s="99"/>
      <c r="Z19" s="108"/>
      <c r="AA19" s="99">
        <v>0.7083333333333334</v>
      </c>
      <c r="AB19" s="99"/>
      <c r="AC19" s="99"/>
      <c r="AD19" s="99"/>
      <c r="AE19" s="99">
        <v>0.7569444444444444</v>
      </c>
      <c r="AF19" s="99"/>
      <c r="AG19" s="108"/>
      <c r="AH19" s="99">
        <v>0.7951388888888888</v>
      </c>
      <c r="AI19" s="99">
        <v>0.8402777777777778</v>
      </c>
      <c r="AJ19" s="100"/>
      <c r="AK19" s="101"/>
      <c r="AL19" s="101"/>
      <c r="AM19" s="101"/>
      <c r="AN19" s="101"/>
      <c r="AO19" s="101"/>
      <c r="AP19" s="101"/>
      <c r="AQ19" s="101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94"/>
      <c r="AN20" s="94"/>
      <c r="AO20" s="94"/>
      <c r="AP20" s="94"/>
      <c r="AQ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94"/>
      <c r="AN21" s="94"/>
      <c r="AO21" s="94"/>
      <c r="AP21" s="94"/>
      <c r="AQ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94"/>
      <c r="AN22" s="94"/>
      <c r="AO22" s="94"/>
      <c r="AP22" s="94"/>
      <c r="AQ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94"/>
      <c r="AN23" s="94"/>
      <c r="AO23" s="94"/>
      <c r="AP23" s="94"/>
      <c r="AQ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94"/>
      <c r="AN24" s="94"/>
      <c r="AO24" s="94"/>
      <c r="AP24" s="94"/>
      <c r="AQ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94"/>
      <c r="AN25" s="94"/>
      <c r="AO25" s="94"/>
      <c r="AP25" s="94"/>
      <c r="AQ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94"/>
      <c r="AN26" s="94"/>
      <c r="AO26" s="94"/>
      <c r="AP26" s="94"/>
      <c r="AQ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94"/>
      <c r="AN27" s="94"/>
      <c r="AO27" s="94"/>
      <c r="AP27" s="94"/>
      <c r="AQ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94"/>
      <c r="AN28" s="94"/>
      <c r="AO28" s="94"/>
      <c r="AP28" s="94"/>
      <c r="AQ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94"/>
      <c r="AN29" s="94"/>
      <c r="AO29" s="94"/>
      <c r="AP29" s="94"/>
      <c r="AQ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94"/>
      <c r="AN30" s="94"/>
      <c r="AO30" s="94"/>
      <c r="AP30" s="94"/>
      <c r="AQ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94"/>
      <c r="AN31" s="94"/>
      <c r="AO31" s="94"/>
      <c r="AP31" s="94"/>
      <c r="AQ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94"/>
      <c r="AN32" s="94"/>
      <c r="AO32" s="94"/>
      <c r="AP32" s="94"/>
      <c r="AQ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94"/>
      <c r="AN33" s="94"/>
      <c r="AO33" s="94"/>
      <c r="AP33" s="94"/>
      <c r="AQ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94"/>
      <c r="AN34" s="94"/>
      <c r="AO34" s="94"/>
      <c r="AP34" s="94"/>
      <c r="AQ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94"/>
      <c r="AN35" s="94"/>
      <c r="AO35" s="94"/>
      <c r="AP35" s="94"/>
      <c r="AQ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94"/>
      <c r="AN36" s="94"/>
      <c r="AO36" s="94"/>
      <c r="AP36" s="94"/>
      <c r="AQ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94"/>
      <c r="AN37" s="94"/>
      <c r="AO37" s="94"/>
      <c r="AP37" s="94"/>
      <c r="AQ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94"/>
      <c r="AN38" s="94"/>
      <c r="AO38" s="94"/>
      <c r="AP38" s="94"/>
      <c r="AQ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94"/>
      <c r="AN39" s="94"/>
      <c r="AO39" s="94"/>
      <c r="AP39" s="94"/>
      <c r="AQ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94"/>
      <c r="AN40" s="94"/>
      <c r="AO40" s="94"/>
      <c r="AP40" s="94"/>
      <c r="AQ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94"/>
      <c r="AN41" s="94"/>
      <c r="AO41" s="94"/>
      <c r="AP41" s="94"/>
      <c r="AQ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49"/>
      <c r="R42" s="49"/>
      <c r="S42" s="109"/>
      <c r="T42" s="109"/>
      <c r="U42" s="109"/>
      <c r="V42" s="109"/>
      <c r="W42" s="10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94"/>
      <c r="AN42" s="94"/>
      <c r="AO42" s="94"/>
      <c r="AP42" s="94"/>
      <c r="AQ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94"/>
      <c r="AN43" s="94"/>
      <c r="AO43" s="94"/>
      <c r="AP43" s="94"/>
      <c r="AQ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94"/>
      <c r="AN44" s="94"/>
      <c r="AO44" s="94"/>
      <c r="AP44" s="94"/>
      <c r="AQ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94"/>
      <c r="AN45" s="94"/>
      <c r="AO45" s="94"/>
      <c r="AP45" s="94"/>
      <c r="AQ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94"/>
      <c r="AN46" s="94"/>
      <c r="AO46" s="94"/>
      <c r="AP46" s="94"/>
      <c r="AQ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94"/>
      <c r="AN47" s="94"/>
      <c r="AO47" s="94"/>
      <c r="AP47" s="94"/>
      <c r="AQ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94"/>
      <c r="AN48" s="94"/>
      <c r="AO48" s="94"/>
      <c r="AP48" s="94"/>
      <c r="AQ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94"/>
      <c r="AN49" s="94"/>
      <c r="AO49" s="94"/>
      <c r="AP49" s="94"/>
      <c r="AQ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94"/>
      <c r="AN50" s="94"/>
      <c r="AO50" s="94"/>
      <c r="AP50" s="94"/>
      <c r="AQ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94"/>
      <c r="AN51" s="94"/>
      <c r="AO51" s="94"/>
      <c r="AP51" s="94"/>
      <c r="AQ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94"/>
      <c r="AN52" s="94"/>
      <c r="AO52" s="94"/>
      <c r="AP52" s="94"/>
      <c r="AQ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94"/>
      <c r="AN53" s="94"/>
      <c r="AO53" s="94"/>
      <c r="AP53" s="94"/>
      <c r="AQ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94"/>
      <c r="AN54" s="94"/>
      <c r="AO54" s="94"/>
      <c r="AP54" s="94"/>
      <c r="AQ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94"/>
      <c r="AN55" s="94"/>
      <c r="AO55" s="94"/>
      <c r="AP55" s="94"/>
      <c r="AQ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94"/>
      <c r="AN56" s="94"/>
      <c r="AO56" s="94"/>
      <c r="AP56" s="94"/>
      <c r="AQ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94"/>
      <c r="AN57" s="94"/>
      <c r="AO57" s="94"/>
      <c r="AP57" s="94"/>
      <c r="AQ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94"/>
      <c r="AN58" s="94"/>
      <c r="AO58" s="94"/>
      <c r="AP58" s="94"/>
      <c r="AQ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94"/>
      <c r="AN59" s="94"/>
      <c r="AO59" s="94"/>
      <c r="AP59" s="94"/>
      <c r="AQ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94"/>
      <c r="AN60" s="94"/>
      <c r="AO60" s="94"/>
      <c r="AP60" s="94"/>
      <c r="AQ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94"/>
      <c r="AN61" s="94"/>
      <c r="AO61" s="94"/>
      <c r="AP61" s="94"/>
      <c r="AQ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94"/>
      <c r="AN62" s="94"/>
      <c r="AO62" s="94"/>
      <c r="AP62" s="94"/>
      <c r="AQ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94"/>
      <c r="AN63" s="94"/>
      <c r="AO63" s="94"/>
      <c r="AP63" s="94"/>
      <c r="AQ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94"/>
      <c r="AN64" s="94"/>
      <c r="AO64" s="94"/>
      <c r="AP64" s="94"/>
      <c r="AQ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94"/>
      <c r="AN65" s="94"/>
      <c r="AO65" s="94"/>
      <c r="AP65" s="94"/>
      <c r="AQ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M66" s="94"/>
      <c r="AN66" s="94"/>
      <c r="AO66" s="94"/>
      <c r="AP66" s="94"/>
      <c r="AQ66" s="94"/>
    </row>
    <row r="67">
      <c r="A67" s="110"/>
      <c r="B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0"/>
      <c r="AJ67" s="111"/>
      <c r="AK67" s="112"/>
      <c r="AL67" s="111"/>
      <c r="AM67" s="111"/>
      <c r="AN67" s="111"/>
      <c r="AO67" s="112"/>
      <c r="AP67" s="113"/>
      <c r="AQ67" s="113"/>
    </row>
    <row r="68">
      <c r="A68" s="114"/>
      <c r="B68" s="110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  <c r="AF68" s="115"/>
      <c r="AG68" s="115"/>
      <c r="AH68" s="115"/>
      <c r="AI68" s="115"/>
      <c r="AJ68" s="111"/>
      <c r="AK68" s="112"/>
      <c r="AL68" s="111"/>
      <c r="AM68" s="111"/>
      <c r="AN68" s="111"/>
      <c r="AO68" s="111"/>
      <c r="AP68" s="113"/>
      <c r="AQ68" s="113"/>
    </row>
    <row r="69">
      <c r="A69" s="114"/>
      <c r="B69" s="116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1"/>
      <c r="AK69" s="112"/>
      <c r="AL69" s="111"/>
      <c r="AM69" s="111"/>
      <c r="AN69" s="111"/>
      <c r="AO69" s="111"/>
      <c r="AP69" s="113"/>
      <c r="AQ69" s="113"/>
    </row>
    <row r="70">
      <c r="A70" s="114"/>
      <c r="B70" s="116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15"/>
      <c r="AE70" s="115"/>
      <c r="AF70" s="115"/>
      <c r="AG70" s="115"/>
      <c r="AH70" s="115"/>
      <c r="AI70" s="115"/>
      <c r="AJ70" s="111"/>
      <c r="AK70" s="112"/>
      <c r="AL70" s="111"/>
      <c r="AM70" s="111"/>
      <c r="AN70" s="111"/>
      <c r="AO70" s="111"/>
      <c r="AP70" s="113"/>
      <c r="AQ70" s="113"/>
    </row>
    <row r="71">
      <c r="A71" s="114"/>
      <c r="B71" s="116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  <c r="AI71" s="115"/>
      <c r="AJ71" s="111"/>
      <c r="AK71" s="112"/>
      <c r="AL71" s="111"/>
      <c r="AM71" s="111"/>
      <c r="AN71" s="111"/>
      <c r="AO71" s="111"/>
      <c r="AP71" s="113"/>
      <c r="AQ71" s="113"/>
    </row>
    <row r="72">
      <c r="A72" s="114"/>
      <c r="B72" s="116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  <c r="AE72" s="115"/>
      <c r="AF72" s="115"/>
      <c r="AG72" s="115"/>
      <c r="AH72" s="115"/>
      <c r="AI72" s="115"/>
      <c r="AJ72" s="111"/>
      <c r="AK72" s="112"/>
      <c r="AL72" s="111"/>
      <c r="AM72" s="111"/>
      <c r="AN72" s="111"/>
      <c r="AO72" s="111"/>
      <c r="AP72" s="113"/>
      <c r="AQ72" s="113"/>
    </row>
    <row r="73">
      <c r="A73" s="114"/>
      <c r="B73" s="116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115"/>
      <c r="AE73" s="115"/>
      <c r="AF73" s="115"/>
      <c r="AG73" s="115"/>
      <c r="AH73" s="115"/>
      <c r="AI73" s="115"/>
      <c r="AJ73" s="111"/>
      <c r="AK73" s="112"/>
      <c r="AL73" s="111"/>
      <c r="AM73" s="111"/>
      <c r="AN73" s="111"/>
      <c r="AO73" s="111"/>
      <c r="AP73" s="113"/>
      <c r="AQ73" s="113"/>
    </row>
    <row r="74">
      <c r="A74" s="114"/>
      <c r="B74" s="116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115"/>
      <c r="AE74" s="115"/>
      <c r="AF74" s="115"/>
      <c r="AG74" s="115"/>
      <c r="AH74" s="115"/>
      <c r="AI74" s="115"/>
      <c r="AJ74" s="111"/>
      <c r="AK74" s="112"/>
      <c r="AL74" s="111"/>
      <c r="AM74" s="111"/>
      <c r="AN74" s="111"/>
      <c r="AO74" s="111"/>
      <c r="AP74" s="113"/>
      <c r="AQ74" s="1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44" width="14.5"/>
  </cols>
  <sheetData>
    <row r="1">
      <c r="A1" s="1" t="s">
        <v>0</v>
      </c>
      <c r="B1" s="2">
        <f>'PTA-to-PIEN_Weekday'!B1</f>
        <v>45890</v>
      </c>
      <c r="C1" s="1" t="str">
        <f>'PTA-to-PIEN_Weekday'!C1</f>
        <v>Z2</v>
      </c>
      <c r="D1" s="11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71" t="s">
        <v>2</v>
      </c>
      <c r="B2" s="71" t="s">
        <v>3</v>
      </c>
      <c r="C2" s="118">
        <v>1100.0</v>
      </c>
      <c r="D2" s="118">
        <v>1150.0</v>
      </c>
      <c r="E2" s="118">
        <v>1102.0</v>
      </c>
      <c r="F2" s="118">
        <v>1152.0</v>
      </c>
      <c r="G2" s="118">
        <v>1104.0</v>
      </c>
      <c r="H2" s="118">
        <v>1154.0</v>
      </c>
      <c r="I2" s="118">
        <v>1106.0</v>
      </c>
      <c r="J2" s="118">
        <v>1156.0</v>
      </c>
      <c r="K2" s="118">
        <v>1108.0</v>
      </c>
      <c r="L2" s="118">
        <v>1158.0</v>
      </c>
      <c r="M2" s="119">
        <v>1110.0</v>
      </c>
      <c r="N2" s="118">
        <v>1160.0</v>
      </c>
      <c r="O2" s="118">
        <v>1112.0</v>
      </c>
      <c r="P2" s="118">
        <v>1162.0</v>
      </c>
      <c r="Q2" s="118">
        <v>1114.0</v>
      </c>
      <c r="R2" s="118">
        <v>1164.0</v>
      </c>
      <c r="S2" s="118">
        <v>9108.0</v>
      </c>
      <c r="T2" s="118">
        <v>9106.0</v>
      </c>
      <c r="U2" s="118">
        <v>9110.0</v>
      </c>
      <c r="V2" s="118">
        <v>9112.0</v>
      </c>
      <c r="W2" s="120">
        <v>9114.0</v>
      </c>
      <c r="X2" s="109">
        <v>9116.0</v>
      </c>
      <c r="Y2" s="109">
        <v>1122.0</v>
      </c>
      <c r="Z2" s="109">
        <v>1168.0</v>
      </c>
      <c r="AA2" s="109">
        <v>1120.0</v>
      </c>
      <c r="AB2" s="109">
        <v>1166.0</v>
      </c>
      <c r="AC2" s="109">
        <v>1126.0</v>
      </c>
      <c r="AD2" s="109">
        <v>1172.0</v>
      </c>
      <c r="AE2" s="109">
        <v>1124.0</v>
      </c>
      <c r="AF2" s="109">
        <v>1170.0</v>
      </c>
      <c r="AG2" s="109">
        <v>1128.0</v>
      </c>
      <c r="AH2" s="109">
        <v>1174.0</v>
      </c>
      <c r="AI2" s="109">
        <v>9122.0</v>
      </c>
      <c r="AJ2" s="98"/>
      <c r="AK2" s="98"/>
      <c r="AM2" s="98"/>
      <c r="AN2" s="98"/>
      <c r="AO2" s="98"/>
      <c r="AP2" s="98"/>
      <c r="AQ2" s="98"/>
      <c r="AR2" s="98"/>
    </row>
    <row r="3">
      <c r="A3" s="60" t="s">
        <v>82</v>
      </c>
      <c r="B3" s="5" t="s">
        <v>83</v>
      </c>
      <c r="C3" s="121">
        <v>0.16666666666666666</v>
      </c>
      <c r="D3" s="122"/>
      <c r="E3" s="122"/>
      <c r="F3" s="122"/>
      <c r="G3" s="121">
        <v>0.2152777777777778</v>
      </c>
      <c r="H3" s="122"/>
      <c r="I3" s="122"/>
      <c r="J3" s="122"/>
      <c r="K3" s="121">
        <v>0.2638888888888889</v>
      </c>
      <c r="L3" s="122"/>
      <c r="M3" s="122"/>
      <c r="N3" s="122"/>
      <c r="O3" s="121">
        <v>0.3125</v>
      </c>
      <c r="P3" s="122"/>
      <c r="Q3" s="122"/>
      <c r="R3" s="122"/>
      <c r="S3" s="121">
        <v>0.3611111111111111</v>
      </c>
      <c r="T3" s="122"/>
      <c r="U3" s="121">
        <v>0.3993055555555556</v>
      </c>
      <c r="V3" s="121">
        <v>0.4756944444444444</v>
      </c>
      <c r="W3" s="123">
        <v>0.5520833333333334</v>
      </c>
      <c r="X3" s="124">
        <v>0.6284722222222222</v>
      </c>
      <c r="Y3" s="94"/>
      <c r="Z3" s="94"/>
      <c r="AA3" s="124">
        <v>0.6666666666666666</v>
      </c>
      <c r="AB3" s="94"/>
      <c r="AC3" s="94"/>
      <c r="AD3" s="94"/>
      <c r="AE3" s="124">
        <v>0.7152777777777778</v>
      </c>
      <c r="AF3" s="94"/>
      <c r="AG3" s="94"/>
      <c r="AH3" s="94"/>
      <c r="AI3" s="124">
        <v>0.7638888888888888</v>
      </c>
      <c r="AJ3" s="94"/>
      <c r="AK3" s="94"/>
      <c r="AM3" s="94"/>
      <c r="AN3" s="94"/>
      <c r="AO3" s="94"/>
      <c r="AP3" s="94"/>
      <c r="AQ3" s="94"/>
      <c r="AR3" s="94"/>
    </row>
    <row r="4">
      <c r="A4" s="7" t="s">
        <v>193</v>
      </c>
      <c r="B4" s="7" t="s">
        <v>194</v>
      </c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6"/>
      <c r="N4" s="126"/>
      <c r="O4" s="125"/>
      <c r="P4" s="125"/>
      <c r="Q4" s="125"/>
      <c r="R4" s="125"/>
      <c r="S4" s="125"/>
      <c r="T4" s="125"/>
      <c r="U4" s="125"/>
      <c r="V4" s="125"/>
      <c r="W4" s="127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M4" s="94"/>
      <c r="AN4" s="94"/>
      <c r="AO4" s="94"/>
      <c r="AP4" s="94"/>
      <c r="AQ4" s="94"/>
      <c r="AR4" s="94"/>
    </row>
    <row r="5">
      <c r="A5" s="9" t="s">
        <v>80</v>
      </c>
      <c r="B5" s="7" t="s">
        <v>81</v>
      </c>
      <c r="C5" s="128">
        <v>0.17291666666666666</v>
      </c>
      <c r="D5" s="125"/>
      <c r="E5" s="128">
        <v>0.1909722222222222</v>
      </c>
      <c r="F5" s="125"/>
      <c r="G5" s="128">
        <v>0.22152777777777777</v>
      </c>
      <c r="H5" s="125"/>
      <c r="I5" s="128">
        <v>0.2326388888888889</v>
      </c>
      <c r="J5" s="125"/>
      <c r="K5" s="128">
        <v>0.2701388888888889</v>
      </c>
      <c r="L5" s="125"/>
      <c r="M5" s="129">
        <v>0.2673611111111111</v>
      </c>
      <c r="N5" s="126"/>
      <c r="O5" s="128">
        <v>0.31875</v>
      </c>
      <c r="P5" s="125"/>
      <c r="Q5" s="128">
        <v>0.3298611111111111</v>
      </c>
      <c r="R5" s="125"/>
      <c r="S5" s="128">
        <v>0.36736111111111114</v>
      </c>
      <c r="T5" s="128">
        <v>0.375</v>
      </c>
      <c r="U5" s="128">
        <v>0.40555555555555556</v>
      </c>
      <c r="V5" s="128">
        <v>0.48194444444444445</v>
      </c>
      <c r="W5" s="123">
        <v>0.5583333333333333</v>
      </c>
      <c r="X5" s="124">
        <v>0.6347222222222222</v>
      </c>
      <c r="Y5" s="124">
        <v>0.6666666666666666</v>
      </c>
      <c r="Z5" s="94"/>
      <c r="AA5" s="124">
        <v>0.6729166666666667</v>
      </c>
      <c r="AB5" s="94"/>
      <c r="AC5" s="124">
        <v>0.7083333333333334</v>
      </c>
      <c r="AD5" s="94"/>
      <c r="AE5" s="124">
        <v>0.7215277777777778</v>
      </c>
      <c r="AF5" s="94"/>
      <c r="AG5" s="124">
        <v>0.7534722222222222</v>
      </c>
      <c r="AH5" s="94"/>
      <c r="AI5" s="124">
        <v>0.7701388888888889</v>
      </c>
      <c r="AJ5" s="94"/>
      <c r="AK5" s="94"/>
      <c r="AM5" s="94"/>
      <c r="AN5" s="94"/>
      <c r="AO5" s="94"/>
      <c r="AP5" s="94"/>
      <c r="AQ5" s="94"/>
      <c r="AR5" s="94"/>
    </row>
    <row r="6">
      <c r="A6" s="9" t="s">
        <v>78</v>
      </c>
      <c r="B6" s="7" t="s">
        <v>79</v>
      </c>
      <c r="C6" s="128">
        <v>0.1763888888888889</v>
      </c>
      <c r="D6" s="125"/>
      <c r="E6" s="128">
        <v>0.19375</v>
      </c>
      <c r="F6" s="125"/>
      <c r="G6" s="128">
        <v>0.225</v>
      </c>
      <c r="H6" s="125"/>
      <c r="I6" s="128">
        <v>0.23541666666666666</v>
      </c>
      <c r="J6" s="125"/>
      <c r="K6" s="128">
        <v>0.27361111111111114</v>
      </c>
      <c r="L6" s="125"/>
      <c r="M6" s="129">
        <v>0.2701388888888889</v>
      </c>
      <c r="N6" s="126"/>
      <c r="O6" s="128">
        <v>0.32222222222222224</v>
      </c>
      <c r="P6" s="125"/>
      <c r="Q6" s="128">
        <v>0.3326388888888889</v>
      </c>
      <c r="R6" s="125"/>
      <c r="S6" s="128">
        <v>0.37083333333333335</v>
      </c>
      <c r="T6" s="128">
        <v>0.37777777777777777</v>
      </c>
      <c r="U6" s="128">
        <v>0.40902777777777777</v>
      </c>
      <c r="V6" s="128">
        <v>0.48541666666666666</v>
      </c>
      <c r="W6" s="123">
        <v>0.5618055555555556</v>
      </c>
      <c r="X6" s="124">
        <v>0.6381944444444444</v>
      </c>
      <c r="Y6" s="124">
        <v>0.6694444444444444</v>
      </c>
      <c r="Z6" s="94"/>
      <c r="AA6" s="124">
        <v>0.6763888888888889</v>
      </c>
      <c r="AB6" s="94"/>
      <c r="AC6" s="124">
        <v>0.7111111111111111</v>
      </c>
      <c r="AD6" s="94"/>
      <c r="AE6" s="124">
        <v>0.725</v>
      </c>
      <c r="AF6" s="94"/>
      <c r="AG6" s="124">
        <v>0.75625</v>
      </c>
      <c r="AH6" s="94"/>
      <c r="AI6" s="124">
        <v>0.7736111111111111</v>
      </c>
      <c r="AJ6" s="94"/>
      <c r="AK6" s="94"/>
      <c r="AM6" s="94"/>
      <c r="AN6" s="94"/>
      <c r="AO6" s="94"/>
      <c r="AP6" s="94"/>
      <c r="AQ6" s="94"/>
      <c r="AR6" s="94"/>
    </row>
    <row r="7">
      <c r="A7" s="9" t="s">
        <v>76</v>
      </c>
      <c r="B7" s="7" t="s">
        <v>77</v>
      </c>
      <c r="C7" s="128">
        <v>0.17847222222222223</v>
      </c>
      <c r="D7" s="125"/>
      <c r="E7" s="128">
        <v>0.19583333333333333</v>
      </c>
      <c r="F7" s="125"/>
      <c r="G7" s="128">
        <v>0.22708333333333333</v>
      </c>
      <c r="H7" s="125"/>
      <c r="I7" s="128">
        <v>0.2375</v>
      </c>
      <c r="J7" s="125"/>
      <c r="K7" s="128">
        <v>0.27569444444444446</v>
      </c>
      <c r="L7" s="125"/>
      <c r="M7" s="129">
        <v>0.2722222222222222</v>
      </c>
      <c r="N7" s="126"/>
      <c r="O7" s="128">
        <v>0.32430555555555557</v>
      </c>
      <c r="P7" s="125"/>
      <c r="Q7" s="128">
        <v>0.3347222222222222</v>
      </c>
      <c r="R7" s="125"/>
      <c r="S7" s="128">
        <v>0.3729166666666667</v>
      </c>
      <c r="T7" s="128">
        <v>0.3798611111111111</v>
      </c>
      <c r="U7" s="128">
        <v>0.4111111111111111</v>
      </c>
      <c r="V7" s="128">
        <v>0.4875</v>
      </c>
      <c r="W7" s="123">
        <v>0.5638888888888889</v>
      </c>
      <c r="X7" s="124">
        <v>0.6402777777777777</v>
      </c>
      <c r="Y7" s="124">
        <v>0.6715277777777777</v>
      </c>
      <c r="Z7" s="94"/>
      <c r="AA7" s="124">
        <v>0.6784722222222223</v>
      </c>
      <c r="AB7" s="94"/>
      <c r="AC7" s="124">
        <v>0.7131944444444445</v>
      </c>
      <c r="AD7" s="94"/>
      <c r="AE7" s="124">
        <v>0.7270833333333333</v>
      </c>
      <c r="AF7" s="94"/>
      <c r="AG7" s="124">
        <v>0.7583333333333333</v>
      </c>
      <c r="AH7" s="94"/>
      <c r="AI7" s="124">
        <v>0.7756944444444445</v>
      </c>
      <c r="AJ7" s="94"/>
      <c r="AK7" s="94"/>
      <c r="AM7" s="94"/>
      <c r="AN7" s="94"/>
      <c r="AO7" s="94"/>
      <c r="AP7" s="94"/>
      <c r="AQ7" s="94"/>
      <c r="AR7" s="94"/>
    </row>
    <row r="8">
      <c r="A8" s="9" t="s">
        <v>74</v>
      </c>
      <c r="B8" s="7" t="s">
        <v>195</v>
      </c>
      <c r="C8" s="128">
        <v>0.1798611111111111</v>
      </c>
      <c r="D8" s="125"/>
      <c r="E8" s="128">
        <v>0.19722222222222222</v>
      </c>
      <c r="F8" s="125"/>
      <c r="G8" s="128">
        <v>0.22847222222222222</v>
      </c>
      <c r="H8" s="125"/>
      <c r="I8" s="128">
        <v>0.2388888888888889</v>
      </c>
      <c r="J8" s="125"/>
      <c r="K8" s="128">
        <v>0.27708333333333335</v>
      </c>
      <c r="L8" s="125"/>
      <c r="M8" s="129">
        <v>0.27361111111111114</v>
      </c>
      <c r="N8" s="126"/>
      <c r="O8" s="128">
        <v>0.32569444444444445</v>
      </c>
      <c r="P8" s="125"/>
      <c r="Q8" s="128">
        <v>0.33611111111111114</v>
      </c>
      <c r="R8" s="125"/>
      <c r="S8" s="128">
        <v>0.37430555555555556</v>
      </c>
      <c r="T8" s="128">
        <v>0.38125</v>
      </c>
      <c r="U8" s="128">
        <v>0.4125</v>
      </c>
      <c r="V8" s="128">
        <v>0.4888888888888889</v>
      </c>
      <c r="W8" s="123">
        <v>0.5652777777777778</v>
      </c>
      <c r="X8" s="124">
        <v>0.6416666666666667</v>
      </c>
      <c r="Y8" s="124">
        <v>0.6729166666666667</v>
      </c>
      <c r="Z8" s="94"/>
      <c r="AA8" s="124">
        <v>0.6798611111111111</v>
      </c>
      <c r="AB8" s="94"/>
      <c r="AC8" s="124">
        <v>0.7145833333333333</v>
      </c>
      <c r="AD8" s="94"/>
      <c r="AE8" s="124">
        <v>0.7284722222222222</v>
      </c>
      <c r="AF8" s="94"/>
      <c r="AG8" s="124">
        <v>0.7597222222222222</v>
      </c>
      <c r="AH8" s="94"/>
      <c r="AI8" s="124">
        <v>0.7770833333333333</v>
      </c>
      <c r="AJ8" s="94"/>
      <c r="AK8" s="94"/>
      <c r="AM8" s="94"/>
      <c r="AN8" s="94"/>
      <c r="AO8" s="94"/>
      <c r="AP8" s="94"/>
      <c r="AQ8" s="94"/>
      <c r="AR8" s="94"/>
    </row>
    <row r="9">
      <c r="A9" s="7" t="s">
        <v>190</v>
      </c>
      <c r="B9" s="7" t="s">
        <v>191</v>
      </c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6"/>
      <c r="N9" s="126"/>
      <c r="O9" s="125"/>
      <c r="P9" s="125"/>
      <c r="Q9" s="125"/>
      <c r="R9" s="125"/>
      <c r="S9" s="125"/>
      <c r="T9" s="125"/>
      <c r="U9" s="125"/>
      <c r="V9" s="125"/>
      <c r="W9" s="127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M9" s="94"/>
      <c r="AN9" s="94"/>
      <c r="AO9" s="94"/>
      <c r="AP9" s="94"/>
      <c r="AQ9" s="94"/>
      <c r="AR9" s="94"/>
    </row>
    <row r="10">
      <c r="A10" s="9" t="s">
        <v>72</v>
      </c>
      <c r="B10" s="7" t="s">
        <v>189</v>
      </c>
      <c r="C10" s="128">
        <v>0.18194444444444444</v>
      </c>
      <c r="D10" s="125"/>
      <c r="E10" s="128">
        <v>0.19930555555555557</v>
      </c>
      <c r="F10" s="125"/>
      <c r="G10" s="128">
        <v>0.23055555555555557</v>
      </c>
      <c r="H10" s="125"/>
      <c r="I10" s="128">
        <v>0.24097222222222223</v>
      </c>
      <c r="J10" s="125"/>
      <c r="K10" s="128">
        <v>0.2791666666666667</v>
      </c>
      <c r="L10" s="125"/>
      <c r="M10" s="129">
        <v>0.27569444444444446</v>
      </c>
      <c r="N10" s="126"/>
      <c r="O10" s="128">
        <v>0.3277777777777778</v>
      </c>
      <c r="P10" s="125"/>
      <c r="Q10" s="128">
        <v>0.33819444444444446</v>
      </c>
      <c r="R10" s="125"/>
      <c r="S10" s="128">
        <v>0.3763888888888889</v>
      </c>
      <c r="T10" s="128">
        <v>0.3840277777777778</v>
      </c>
      <c r="U10" s="128">
        <v>0.41458333333333336</v>
      </c>
      <c r="V10" s="128">
        <v>0.4909722222222222</v>
      </c>
      <c r="W10" s="123">
        <v>0.5673611111111111</v>
      </c>
      <c r="X10" s="124">
        <v>0.64375</v>
      </c>
      <c r="Y10" s="124">
        <v>0.675</v>
      </c>
      <c r="Z10" s="94"/>
      <c r="AA10" s="124">
        <v>0.6819444444444445</v>
      </c>
      <c r="AB10" s="94"/>
      <c r="AC10" s="124">
        <v>0.7166666666666667</v>
      </c>
      <c r="AD10" s="94"/>
      <c r="AE10" s="124">
        <v>0.7305555555555555</v>
      </c>
      <c r="AF10" s="94"/>
      <c r="AG10" s="124">
        <v>0.7618055555555555</v>
      </c>
      <c r="AH10" s="94"/>
      <c r="AI10" s="124">
        <v>0.7791666666666667</v>
      </c>
      <c r="AJ10" s="94"/>
      <c r="AK10" s="94"/>
      <c r="AM10" s="94"/>
      <c r="AN10" s="94"/>
      <c r="AO10" s="94"/>
      <c r="AP10" s="94"/>
      <c r="AQ10" s="94"/>
      <c r="AR10" s="94"/>
    </row>
    <row r="11">
      <c r="A11" s="67" t="s">
        <v>70</v>
      </c>
      <c r="B11" s="7" t="s">
        <v>71</v>
      </c>
      <c r="C11" s="130">
        <v>0.1840277777777778</v>
      </c>
      <c r="D11" s="130">
        <v>0.1909722222222222</v>
      </c>
      <c r="E11" s="130">
        <v>0.2013888888888889</v>
      </c>
      <c r="F11" s="130">
        <v>0.20833333333333334</v>
      </c>
      <c r="G11" s="130">
        <v>0.2326388888888889</v>
      </c>
      <c r="H11" s="130">
        <v>0.23958333333333334</v>
      </c>
      <c r="I11" s="130">
        <v>0.24305555555555555</v>
      </c>
      <c r="J11" s="130">
        <v>0.25</v>
      </c>
      <c r="K11" s="130">
        <v>0.28125</v>
      </c>
      <c r="L11" s="130">
        <v>0.2881944444444444</v>
      </c>
      <c r="M11" s="131">
        <v>0.2777777777777778</v>
      </c>
      <c r="N11" s="131">
        <v>0.2986111111111111</v>
      </c>
      <c r="O11" s="130">
        <v>0.3298611111111111</v>
      </c>
      <c r="P11" s="130">
        <v>0.3368055555555556</v>
      </c>
      <c r="Q11" s="130">
        <v>0.3402777777777778</v>
      </c>
      <c r="R11" s="130">
        <v>0.3576388888888889</v>
      </c>
      <c r="S11" s="130">
        <v>0.3784722222222222</v>
      </c>
      <c r="T11" s="130">
        <v>0.3854166666666667</v>
      </c>
      <c r="U11" s="130">
        <v>0.4166666666666667</v>
      </c>
      <c r="V11" s="130">
        <v>0.4930555555555556</v>
      </c>
      <c r="W11" s="123">
        <v>0.5694444444444444</v>
      </c>
      <c r="X11" s="124">
        <v>0.6458333333333334</v>
      </c>
      <c r="Y11" s="124">
        <v>0.6770833333333334</v>
      </c>
      <c r="Z11" s="124">
        <v>0.6840277777777778</v>
      </c>
      <c r="AA11" s="124">
        <v>0.6840277777777778</v>
      </c>
      <c r="AB11" s="124">
        <v>0.6944444444444444</v>
      </c>
      <c r="AC11" s="124">
        <v>0.71875</v>
      </c>
      <c r="AD11" s="124">
        <v>0.7256944444444444</v>
      </c>
      <c r="AE11" s="124">
        <v>0.7326388888888888</v>
      </c>
      <c r="AF11" s="124">
        <v>0.7430555555555556</v>
      </c>
      <c r="AG11" s="124">
        <v>0.7638888888888888</v>
      </c>
      <c r="AH11" s="124">
        <v>0.7708333333333334</v>
      </c>
      <c r="AI11" s="124">
        <v>0.78125</v>
      </c>
      <c r="AJ11" s="94"/>
      <c r="AK11" s="94"/>
      <c r="AM11" s="94"/>
      <c r="AN11" s="94"/>
      <c r="AO11" s="94"/>
      <c r="AP11" s="94"/>
      <c r="AQ11" s="94"/>
      <c r="AR11" s="94"/>
    </row>
    <row r="12">
      <c r="A12" s="7" t="s">
        <v>187</v>
      </c>
      <c r="B12" s="7" t="s">
        <v>188</v>
      </c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6"/>
      <c r="N12" s="126"/>
      <c r="O12" s="125"/>
      <c r="P12" s="125"/>
      <c r="Q12" s="125"/>
      <c r="R12" s="125"/>
      <c r="S12" s="125"/>
      <c r="T12" s="125"/>
      <c r="U12" s="125"/>
      <c r="V12" s="125"/>
      <c r="W12" s="127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M12" s="94"/>
      <c r="AN12" s="94"/>
      <c r="AO12" s="94"/>
      <c r="AP12" s="94"/>
      <c r="AQ12" s="94"/>
      <c r="AR12" s="94"/>
    </row>
    <row r="13">
      <c r="A13" s="9" t="s">
        <v>68</v>
      </c>
      <c r="B13" s="7" t="s">
        <v>69</v>
      </c>
      <c r="C13" s="125"/>
      <c r="D13" s="128">
        <v>0.19444444444444445</v>
      </c>
      <c r="E13" s="125"/>
      <c r="F13" s="128">
        <v>0.21180555555555555</v>
      </c>
      <c r="G13" s="125"/>
      <c r="H13" s="128">
        <v>0.24305555555555555</v>
      </c>
      <c r="I13" s="125"/>
      <c r="J13" s="128">
        <v>0.2534722222222222</v>
      </c>
      <c r="K13" s="125"/>
      <c r="L13" s="128">
        <v>0.2916666666666667</v>
      </c>
      <c r="M13" s="126"/>
      <c r="N13" s="129">
        <v>0.3020833333333333</v>
      </c>
      <c r="O13" s="125"/>
      <c r="P13" s="128">
        <v>0.3402777777777778</v>
      </c>
      <c r="Q13" s="125"/>
      <c r="R13" s="128">
        <v>0.3611111111111111</v>
      </c>
      <c r="S13" s="128">
        <v>0.38263888888888886</v>
      </c>
      <c r="T13" s="128">
        <v>0.38958333333333334</v>
      </c>
      <c r="U13" s="128">
        <v>0.42083333333333334</v>
      </c>
      <c r="V13" s="128">
        <v>0.49722222222222223</v>
      </c>
      <c r="W13" s="123">
        <v>0.5736111111111111</v>
      </c>
      <c r="X13" s="124">
        <v>0.65</v>
      </c>
      <c r="Y13" s="94"/>
      <c r="Z13" s="124">
        <v>0.6875</v>
      </c>
      <c r="AA13" s="94"/>
      <c r="AB13" s="124">
        <v>0.6979166666666666</v>
      </c>
      <c r="AC13" s="94"/>
      <c r="AD13" s="124">
        <v>0.7291666666666666</v>
      </c>
      <c r="AE13" s="94"/>
      <c r="AF13" s="124">
        <v>0.7465277777777778</v>
      </c>
      <c r="AG13" s="94"/>
      <c r="AH13" s="124">
        <v>0.7743055555555556</v>
      </c>
      <c r="AI13" s="124">
        <v>0.7854166666666667</v>
      </c>
      <c r="AJ13" s="94"/>
      <c r="AK13" s="94"/>
      <c r="AM13" s="94"/>
      <c r="AN13" s="94"/>
      <c r="AO13" s="94"/>
      <c r="AP13" s="94"/>
      <c r="AQ13" s="94"/>
      <c r="AR13" s="94"/>
    </row>
    <row r="14">
      <c r="A14" s="9" t="s">
        <v>66</v>
      </c>
      <c r="B14" s="7" t="s">
        <v>67</v>
      </c>
      <c r="C14" s="125"/>
      <c r="D14" s="128">
        <v>0.19583333333333333</v>
      </c>
      <c r="E14" s="125"/>
      <c r="F14" s="128">
        <v>0.21319444444444444</v>
      </c>
      <c r="G14" s="125"/>
      <c r="H14" s="128">
        <v>0.24444444444444444</v>
      </c>
      <c r="I14" s="125"/>
      <c r="J14" s="128">
        <v>0.2548611111111111</v>
      </c>
      <c r="K14" s="125"/>
      <c r="L14" s="128">
        <v>0.29305555555555557</v>
      </c>
      <c r="M14" s="126"/>
      <c r="N14" s="129">
        <v>0.3034722222222222</v>
      </c>
      <c r="O14" s="125"/>
      <c r="P14" s="128">
        <v>0.3416666666666667</v>
      </c>
      <c r="Q14" s="125"/>
      <c r="R14" s="128">
        <v>0.3625</v>
      </c>
      <c r="S14" s="128">
        <v>0.3840277777777778</v>
      </c>
      <c r="T14" s="128">
        <v>0.3909722222222222</v>
      </c>
      <c r="U14" s="128">
        <v>0.4222222222222222</v>
      </c>
      <c r="V14" s="128">
        <v>0.4986111111111111</v>
      </c>
      <c r="W14" s="123">
        <v>0.575</v>
      </c>
      <c r="X14" s="124">
        <v>0.6513888888888889</v>
      </c>
      <c r="Y14" s="94"/>
      <c r="Z14" s="124">
        <v>0.6888888888888889</v>
      </c>
      <c r="AA14" s="94"/>
      <c r="AB14" s="124">
        <v>0.6993055555555555</v>
      </c>
      <c r="AC14" s="94"/>
      <c r="AD14" s="124">
        <v>0.7305555555555555</v>
      </c>
      <c r="AE14" s="94"/>
      <c r="AF14" s="124">
        <v>0.7479166666666667</v>
      </c>
      <c r="AG14" s="94"/>
      <c r="AH14" s="124">
        <v>0.7756944444444445</v>
      </c>
      <c r="AI14" s="124">
        <v>0.7868055555555555</v>
      </c>
      <c r="AJ14" s="94"/>
      <c r="AK14" s="94"/>
      <c r="AM14" s="94"/>
      <c r="AN14" s="94"/>
      <c r="AO14" s="94"/>
      <c r="AP14" s="94"/>
      <c r="AQ14" s="94"/>
      <c r="AR14" s="94"/>
    </row>
    <row r="15">
      <c r="A15" s="9" t="s">
        <v>64</v>
      </c>
      <c r="B15" s="7" t="s">
        <v>65</v>
      </c>
      <c r="C15" s="125"/>
      <c r="D15" s="128">
        <v>0.19791666666666666</v>
      </c>
      <c r="E15" s="125"/>
      <c r="F15" s="128">
        <v>0.2152777777777778</v>
      </c>
      <c r="G15" s="125"/>
      <c r="H15" s="128">
        <v>0.2465277777777778</v>
      </c>
      <c r="I15" s="125"/>
      <c r="J15" s="128">
        <v>0.2569444444444444</v>
      </c>
      <c r="K15" s="125"/>
      <c r="L15" s="128">
        <v>0.2951388888888889</v>
      </c>
      <c r="M15" s="126"/>
      <c r="N15" s="129">
        <v>0.3055555555555556</v>
      </c>
      <c r="O15" s="125"/>
      <c r="P15" s="128">
        <v>0.34375</v>
      </c>
      <c r="Q15" s="125"/>
      <c r="R15" s="128">
        <v>0.3645833333333333</v>
      </c>
      <c r="S15" s="128">
        <v>0.3854166666666667</v>
      </c>
      <c r="T15" s="128">
        <v>0.3923611111111111</v>
      </c>
      <c r="U15" s="128">
        <v>0.4236111111111111</v>
      </c>
      <c r="V15" s="128">
        <v>0.5</v>
      </c>
      <c r="W15" s="123">
        <v>0.5763888888888888</v>
      </c>
      <c r="X15" s="124">
        <v>0.6527777777777778</v>
      </c>
      <c r="Y15" s="94"/>
      <c r="Z15" s="124">
        <v>0.6909722222222222</v>
      </c>
      <c r="AA15" s="94"/>
      <c r="AB15" s="124">
        <v>0.7013888888888888</v>
      </c>
      <c r="AC15" s="94"/>
      <c r="AD15" s="124">
        <v>0.7326388888888888</v>
      </c>
      <c r="AE15" s="94"/>
      <c r="AF15" s="124">
        <v>0.75</v>
      </c>
      <c r="AG15" s="94"/>
      <c r="AH15" s="124">
        <v>0.7777777777777778</v>
      </c>
      <c r="AI15" s="124">
        <v>0.7881944444444444</v>
      </c>
      <c r="AJ15" s="94"/>
      <c r="AK15" s="94"/>
      <c r="AM15" s="94"/>
      <c r="AN15" s="94"/>
      <c r="AO15" s="94"/>
      <c r="AP15" s="94"/>
      <c r="AQ15" s="94"/>
      <c r="AR15" s="94"/>
    </row>
    <row r="16">
      <c r="A16" s="9" t="s">
        <v>62</v>
      </c>
      <c r="B16" s="7" t="s">
        <v>63</v>
      </c>
      <c r="C16" s="125"/>
      <c r="D16" s="128">
        <v>0.2</v>
      </c>
      <c r="E16" s="125"/>
      <c r="F16" s="128">
        <v>0.21736111111111112</v>
      </c>
      <c r="G16" s="125"/>
      <c r="H16" s="128">
        <v>0.24861111111111112</v>
      </c>
      <c r="I16" s="125"/>
      <c r="J16" s="128">
        <v>0.2590277777777778</v>
      </c>
      <c r="K16" s="125"/>
      <c r="L16" s="128">
        <v>0.2972222222222222</v>
      </c>
      <c r="M16" s="126"/>
      <c r="N16" s="129">
        <v>0.3076388888888889</v>
      </c>
      <c r="O16" s="125"/>
      <c r="P16" s="128">
        <v>0.3458333333333333</v>
      </c>
      <c r="Q16" s="125"/>
      <c r="R16" s="128">
        <v>0.36666666666666664</v>
      </c>
      <c r="S16" s="128">
        <v>0.3875</v>
      </c>
      <c r="T16" s="128">
        <v>0.39444444444444443</v>
      </c>
      <c r="U16" s="128">
        <v>0.42569444444444443</v>
      </c>
      <c r="V16" s="128">
        <v>0.5020833333333333</v>
      </c>
      <c r="W16" s="123">
        <v>0.5784722222222223</v>
      </c>
      <c r="X16" s="124">
        <v>0.6548611111111111</v>
      </c>
      <c r="Y16" s="94"/>
      <c r="Z16" s="124">
        <v>0.6930555555555555</v>
      </c>
      <c r="AA16" s="94"/>
      <c r="AB16" s="124">
        <v>0.7034722222222223</v>
      </c>
      <c r="AC16" s="94"/>
      <c r="AD16" s="124">
        <v>0.7347222222222223</v>
      </c>
      <c r="AE16" s="94"/>
      <c r="AF16" s="124">
        <v>0.7520833333333333</v>
      </c>
      <c r="AG16" s="94"/>
      <c r="AH16" s="124">
        <v>0.7798611111111111</v>
      </c>
      <c r="AI16" s="124">
        <v>0.7902777777777777</v>
      </c>
      <c r="AJ16" s="94"/>
      <c r="AK16" s="94"/>
      <c r="AM16" s="94"/>
      <c r="AN16" s="94"/>
      <c r="AO16" s="94"/>
      <c r="AP16" s="94"/>
      <c r="AQ16" s="94"/>
      <c r="AR16" s="94"/>
    </row>
    <row r="17">
      <c r="A17" s="9" t="s">
        <v>60</v>
      </c>
      <c r="B17" s="7" t="s">
        <v>61</v>
      </c>
      <c r="C17" s="125"/>
      <c r="D17" s="128">
        <v>0.20069444444444445</v>
      </c>
      <c r="E17" s="125"/>
      <c r="F17" s="128">
        <v>0.21805555555555556</v>
      </c>
      <c r="G17" s="125"/>
      <c r="H17" s="128">
        <v>0.24930555555555556</v>
      </c>
      <c r="I17" s="125"/>
      <c r="J17" s="128">
        <v>0.25972222222222224</v>
      </c>
      <c r="K17" s="125"/>
      <c r="L17" s="128">
        <v>0.29791666666666666</v>
      </c>
      <c r="M17" s="126"/>
      <c r="N17" s="129">
        <v>0.30833333333333335</v>
      </c>
      <c r="O17" s="125"/>
      <c r="P17" s="128">
        <v>0.34652777777777777</v>
      </c>
      <c r="Q17" s="125"/>
      <c r="R17" s="128">
        <v>0.36736111111111114</v>
      </c>
      <c r="S17" s="128">
        <v>0.3888888888888889</v>
      </c>
      <c r="T17" s="128">
        <v>0.3958333333333333</v>
      </c>
      <c r="U17" s="128">
        <v>0.4270833333333333</v>
      </c>
      <c r="V17" s="128">
        <v>0.5034722222222222</v>
      </c>
      <c r="W17" s="123">
        <v>0.5798611111111112</v>
      </c>
      <c r="X17" s="124">
        <v>0.65625</v>
      </c>
      <c r="Y17" s="94"/>
      <c r="Z17" s="124">
        <v>0.69375</v>
      </c>
      <c r="AA17" s="94"/>
      <c r="AB17" s="124">
        <v>0.7041666666666667</v>
      </c>
      <c r="AC17" s="94"/>
      <c r="AD17" s="124">
        <v>0.7354166666666667</v>
      </c>
      <c r="AE17" s="94"/>
      <c r="AF17" s="124">
        <v>0.7527777777777778</v>
      </c>
      <c r="AG17" s="94"/>
      <c r="AH17" s="124">
        <v>0.7805555555555556</v>
      </c>
      <c r="AI17" s="124">
        <v>0.7916666666666666</v>
      </c>
      <c r="AJ17" s="94"/>
      <c r="AK17" s="94"/>
      <c r="AM17" s="94"/>
      <c r="AN17" s="94"/>
      <c r="AO17" s="94"/>
      <c r="AP17" s="94"/>
      <c r="AQ17" s="94"/>
      <c r="AR17" s="94"/>
    </row>
    <row r="18">
      <c r="A18" s="9" t="s">
        <v>58</v>
      </c>
      <c r="B18" s="7" t="s">
        <v>59</v>
      </c>
      <c r="C18" s="125"/>
      <c r="D18" s="128">
        <v>0.20208333333333334</v>
      </c>
      <c r="E18" s="125"/>
      <c r="F18" s="128">
        <v>0.21944444444444444</v>
      </c>
      <c r="G18" s="125"/>
      <c r="H18" s="128">
        <v>0.25069444444444444</v>
      </c>
      <c r="I18" s="125"/>
      <c r="J18" s="128">
        <v>0.2611111111111111</v>
      </c>
      <c r="K18" s="125"/>
      <c r="L18" s="128">
        <v>0.29930555555555555</v>
      </c>
      <c r="M18" s="126"/>
      <c r="N18" s="129">
        <v>0.30972222222222223</v>
      </c>
      <c r="O18" s="125"/>
      <c r="P18" s="128">
        <v>0.34791666666666665</v>
      </c>
      <c r="Q18" s="125"/>
      <c r="R18" s="128">
        <v>0.36875</v>
      </c>
      <c r="S18" s="128">
        <v>0.38958333333333334</v>
      </c>
      <c r="T18" s="128">
        <v>0.39652777777777776</v>
      </c>
      <c r="U18" s="128">
        <v>0.42777777777777776</v>
      </c>
      <c r="V18" s="128">
        <v>0.5041666666666667</v>
      </c>
      <c r="W18" s="123">
        <v>0.5805555555555556</v>
      </c>
      <c r="X18" s="124">
        <v>0.6569444444444444</v>
      </c>
      <c r="Y18" s="94"/>
      <c r="Z18" s="124">
        <v>0.6951388888888889</v>
      </c>
      <c r="AA18" s="94"/>
      <c r="AB18" s="124">
        <v>0.7055555555555556</v>
      </c>
      <c r="AC18" s="94"/>
      <c r="AD18" s="124">
        <v>0.7368055555555556</v>
      </c>
      <c r="AE18" s="94"/>
      <c r="AF18" s="124">
        <v>0.7541666666666667</v>
      </c>
      <c r="AG18" s="94"/>
      <c r="AH18" s="124">
        <v>0.7819444444444444</v>
      </c>
      <c r="AI18" s="124">
        <v>0.7923611111111111</v>
      </c>
      <c r="AJ18" s="94"/>
      <c r="AK18" s="94"/>
      <c r="AM18" s="94"/>
      <c r="AN18" s="94"/>
      <c r="AO18" s="94"/>
      <c r="AP18" s="94"/>
      <c r="AQ18" s="94"/>
      <c r="AR18" s="94"/>
    </row>
    <row r="19">
      <c r="A19" s="9" t="s">
        <v>55</v>
      </c>
      <c r="B19" s="7" t="s">
        <v>25</v>
      </c>
      <c r="C19" s="125"/>
      <c r="D19" s="128">
        <v>0.2048611111111111</v>
      </c>
      <c r="E19" s="125"/>
      <c r="F19" s="128">
        <v>0.2222222222222222</v>
      </c>
      <c r="G19" s="125"/>
      <c r="H19" s="128">
        <v>0.2534722222222222</v>
      </c>
      <c r="I19" s="125"/>
      <c r="J19" s="128">
        <v>0.2638888888888889</v>
      </c>
      <c r="K19" s="125"/>
      <c r="L19" s="128">
        <v>0.3020833333333333</v>
      </c>
      <c r="M19" s="126"/>
      <c r="N19" s="129">
        <v>0.3125</v>
      </c>
      <c r="O19" s="125"/>
      <c r="P19" s="128">
        <v>0.3506944444444444</v>
      </c>
      <c r="Q19" s="125"/>
      <c r="R19" s="128">
        <v>0.3715277777777778</v>
      </c>
      <c r="S19" s="128">
        <v>0.3923611111111111</v>
      </c>
      <c r="T19" s="128">
        <v>0.3993055555555556</v>
      </c>
      <c r="U19" s="128">
        <v>0.4305555555555556</v>
      </c>
      <c r="V19" s="128">
        <v>0.5069444444444444</v>
      </c>
      <c r="W19" s="123">
        <v>0.5833333333333334</v>
      </c>
      <c r="X19" s="124">
        <v>0.6597222222222222</v>
      </c>
      <c r="Y19" s="94"/>
      <c r="Z19" s="124">
        <v>0.6979166666666666</v>
      </c>
      <c r="AA19" s="94"/>
      <c r="AB19" s="124">
        <v>0.7083333333333334</v>
      </c>
      <c r="AC19" s="94"/>
      <c r="AD19" s="124">
        <v>0.7395833333333334</v>
      </c>
      <c r="AE19" s="94"/>
      <c r="AF19" s="124">
        <v>0.7569444444444444</v>
      </c>
      <c r="AG19" s="94"/>
      <c r="AH19" s="124">
        <v>0.7847222222222222</v>
      </c>
      <c r="AI19" s="124">
        <v>0.7951388888888888</v>
      </c>
      <c r="AJ19" s="94"/>
      <c r="AK19" s="94"/>
      <c r="AM19" s="94"/>
      <c r="AN19" s="94"/>
      <c r="AO19" s="94"/>
      <c r="AP19" s="94"/>
      <c r="AQ19" s="94"/>
      <c r="AR19" s="94"/>
    </row>
    <row r="20"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94"/>
      <c r="AP20" s="94"/>
      <c r="AQ20" s="94"/>
      <c r="AR20" s="94"/>
    </row>
    <row r="21"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94"/>
      <c r="AP21" s="94"/>
      <c r="AQ21" s="94"/>
      <c r="AR21" s="94"/>
    </row>
    <row r="22"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O22" s="94"/>
      <c r="AP22" s="94"/>
      <c r="AQ22" s="94"/>
      <c r="AR22" s="94"/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O23" s="94"/>
      <c r="AP23" s="94"/>
      <c r="AQ23" s="94"/>
      <c r="AR23" s="94"/>
    </row>
    <row r="24">
      <c r="A24" s="97"/>
      <c r="B24" s="97"/>
      <c r="C24" s="97"/>
      <c r="D24" s="97"/>
      <c r="E24" s="97"/>
      <c r="F24" s="97"/>
      <c r="G24" s="132"/>
      <c r="H24" s="97"/>
      <c r="I24" s="97"/>
      <c r="J24" s="97"/>
      <c r="K24" s="132"/>
      <c r="L24" s="97"/>
      <c r="M24" s="97"/>
      <c r="N24" s="132"/>
      <c r="O24" s="97"/>
      <c r="P24" s="132"/>
      <c r="R24" s="49"/>
      <c r="S24" s="125"/>
      <c r="T24" s="49"/>
      <c r="U24" s="49"/>
      <c r="V24" s="49"/>
      <c r="W24" s="49"/>
      <c r="X24" s="49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133"/>
      <c r="AL24" s="134"/>
      <c r="AM24" s="133"/>
      <c r="AN24" s="133"/>
      <c r="AO24" s="133"/>
      <c r="AP24" s="135"/>
      <c r="AQ24" s="135"/>
      <c r="AR24" s="135"/>
    </row>
    <row r="25">
      <c r="A25" s="136"/>
      <c r="B25" s="137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S25" s="109"/>
      <c r="T25" s="49"/>
      <c r="U25" s="49"/>
      <c r="V25" s="49"/>
      <c r="W25" s="49"/>
      <c r="X25" s="49"/>
      <c r="Y25" s="128"/>
      <c r="Z25" s="97"/>
      <c r="AA25" s="128"/>
      <c r="AB25" s="128"/>
      <c r="AC25" s="128"/>
      <c r="AD25" s="128"/>
      <c r="AE25" s="128"/>
      <c r="AF25" s="128"/>
      <c r="AG25" s="128"/>
      <c r="AH25" s="128"/>
      <c r="AI25" s="128"/>
      <c r="AJ25" s="138"/>
      <c r="AK25" s="133"/>
      <c r="AL25" s="134"/>
      <c r="AM25" s="133"/>
      <c r="AN25" s="133"/>
      <c r="AO25" s="133"/>
      <c r="AP25" s="135"/>
      <c r="AQ25" s="135"/>
      <c r="AR25" s="135"/>
    </row>
    <row r="26">
      <c r="A26" s="136"/>
      <c r="B26" s="139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S26" s="125"/>
      <c r="T26" s="49"/>
      <c r="U26" s="49"/>
      <c r="V26" s="49"/>
      <c r="W26" s="49"/>
      <c r="X26" s="49"/>
      <c r="Y26" s="128"/>
      <c r="Z26" s="97"/>
      <c r="AA26" s="128"/>
      <c r="AB26" s="128"/>
      <c r="AC26" s="128"/>
      <c r="AD26" s="128"/>
      <c r="AE26" s="128"/>
      <c r="AF26" s="128"/>
      <c r="AG26" s="128"/>
      <c r="AH26" s="128"/>
      <c r="AI26" s="128"/>
      <c r="AJ26" s="138"/>
      <c r="AK26" s="134"/>
      <c r="AL26" s="134"/>
      <c r="AM26" s="133"/>
      <c r="AN26" s="133"/>
      <c r="AO26" s="133"/>
      <c r="AP26" s="135"/>
      <c r="AQ26" s="135"/>
      <c r="AR26" s="135"/>
    </row>
    <row r="27">
      <c r="A27" s="136"/>
      <c r="B27" s="137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S27" s="125"/>
      <c r="T27" s="49"/>
      <c r="U27" s="49"/>
      <c r="V27" s="49"/>
      <c r="W27" s="49"/>
      <c r="X27" s="49"/>
      <c r="Y27" s="128"/>
      <c r="Z27" s="97"/>
      <c r="AA27" s="128"/>
      <c r="AB27" s="128"/>
      <c r="AC27" s="128"/>
      <c r="AD27" s="128"/>
      <c r="AE27" s="128"/>
      <c r="AF27" s="128"/>
      <c r="AG27" s="128"/>
      <c r="AH27" s="128"/>
      <c r="AI27" s="128"/>
      <c r="AJ27" s="138"/>
      <c r="AK27" s="134"/>
      <c r="AL27" s="134"/>
      <c r="AM27" s="133"/>
      <c r="AN27" s="133"/>
      <c r="AO27" s="133"/>
      <c r="AP27" s="135"/>
      <c r="AQ27" s="135"/>
      <c r="AR27" s="135"/>
    </row>
    <row r="28">
      <c r="A28" s="136"/>
      <c r="B28" s="13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S28" s="125"/>
      <c r="T28" s="49"/>
      <c r="U28" s="49"/>
      <c r="V28" s="49"/>
      <c r="W28" s="49"/>
      <c r="X28" s="49"/>
      <c r="Y28" s="128"/>
      <c r="Z28" s="97"/>
      <c r="AA28" s="128"/>
      <c r="AB28" s="128"/>
      <c r="AC28" s="128"/>
      <c r="AD28" s="128"/>
      <c r="AE28" s="128"/>
      <c r="AF28" s="128"/>
      <c r="AG28" s="128"/>
      <c r="AH28" s="128"/>
      <c r="AI28" s="128"/>
      <c r="AJ28" s="138"/>
      <c r="AK28" s="134"/>
      <c r="AL28" s="134"/>
      <c r="AM28" s="133"/>
      <c r="AN28" s="133"/>
      <c r="AO28" s="133"/>
      <c r="AP28" s="135"/>
      <c r="AQ28" s="135"/>
      <c r="AR28" s="135"/>
    </row>
    <row r="29">
      <c r="A29" s="136"/>
      <c r="B29" s="137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S29" s="125"/>
      <c r="T29" s="49"/>
      <c r="U29" s="49"/>
      <c r="V29" s="49"/>
      <c r="W29" s="49"/>
      <c r="X29" s="49"/>
      <c r="Y29" s="128"/>
      <c r="Z29" s="97"/>
      <c r="AA29" s="128"/>
      <c r="AB29" s="128"/>
      <c r="AC29" s="128"/>
      <c r="AD29" s="128"/>
      <c r="AE29" s="128"/>
      <c r="AF29" s="128"/>
      <c r="AG29" s="128"/>
      <c r="AH29" s="128"/>
      <c r="AI29" s="128"/>
      <c r="AJ29" s="138"/>
      <c r="AK29" s="134"/>
      <c r="AL29" s="134"/>
      <c r="AM29" s="133"/>
      <c r="AN29" s="133"/>
      <c r="AO29" s="133"/>
      <c r="AP29" s="135"/>
      <c r="AQ29" s="135"/>
      <c r="AR29" s="135"/>
    </row>
    <row r="30">
      <c r="A30" s="136"/>
      <c r="B30" s="137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S30" s="109"/>
      <c r="T30" s="49"/>
      <c r="U30" s="49"/>
      <c r="V30" s="49"/>
      <c r="W30" s="49"/>
      <c r="X30" s="49"/>
      <c r="Y30" s="128"/>
      <c r="Z30" s="97"/>
      <c r="AA30" s="128"/>
      <c r="AB30" s="128"/>
      <c r="AC30" s="128"/>
      <c r="AD30" s="128"/>
      <c r="AE30" s="128"/>
      <c r="AF30" s="128"/>
      <c r="AG30" s="128"/>
      <c r="AH30" s="128"/>
      <c r="AI30" s="128"/>
      <c r="AJ30" s="138"/>
      <c r="AK30" s="134"/>
      <c r="AL30" s="134"/>
      <c r="AM30" s="133"/>
      <c r="AN30" s="133"/>
      <c r="AO30" s="133"/>
      <c r="AP30" s="135"/>
      <c r="AQ30" s="135"/>
      <c r="AR30" s="135"/>
    </row>
    <row r="31">
      <c r="A31" s="136"/>
      <c r="B31" s="139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S31" s="125"/>
      <c r="T31" s="49"/>
      <c r="U31" s="49"/>
      <c r="V31" s="49"/>
      <c r="W31" s="49"/>
      <c r="X31" s="49"/>
      <c r="Y31" s="128"/>
      <c r="Z31" s="97"/>
      <c r="AA31" s="128"/>
      <c r="AB31" s="128"/>
      <c r="AC31" s="128"/>
      <c r="AD31" s="128"/>
      <c r="AE31" s="128"/>
      <c r="AF31" s="128"/>
      <c r="AG31" s="128"/>
      <c r="AH31" s="128"/>
      <c r="AI31" s="128"/>
      <c r="AJ31" s="137"/>
      <c r="AK31" s="134"/>
      <c r="AL31" s="134"/>
      <c r="AM31" s="133"/>
      <c r="AN31" s="133"/>
      <c r="AO31" s="133"/>
      <c r="AP31" s="135"/>
      <c r="AQ31" s="135"/>
      <c r="AR31" s="135"/>
    </row>
    <row r="32">
      <c r="A32" s="136"/>
      <c r="B32" s="13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S32" s="125"/>
      <c r="T32" s="49"/>
      <c r="U32" s="49"/>
      <c r="V32" s="49"/>
      <c r="W32" s="49"/>
      <c r="X32" s="49"/>
      <c r="Y32" s="128"/>
      <c r="Z32" s="97"/>
      <c r="AA32" s="128"/>
      <c r="AB32" s="128"/>
      <c r="AC32" s="128"/>
      <c r="AD32" s="128"/>
      <c r="AE32" s="128"/>
      <c r="AF32" s="128"/>
      <c r="AG32" s="128"/>
      <c r="AH32" s="128"/>
      <c r="AI32" s="128"/>
      <c r="AJ32" s="137"/>
      <c r="AK32" s="134"/>
      <c r="AL32" s="134"/>
      <c r="AM32" s="133"/>
      <c r="AN32" s="133"/>
      <c r="AO32" s="133"/>
      <c r="AP32" s="135"/>
      <c r="AQ32" s="135"/>
      <c r="AR32" s="135"/>
    </row>
    <row r="33">
      <c r="A33" s="136"/>
      <c r="B33" s="137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S33" s="109"/>
      <c r="T33" s="49"/>
      <c r="U33" s="49"/>
      <c r="V33" s="49"/>
      <c r="W33" s="49"/>
      <c r="X33" s="49"/>
      <c r="Y33" s="128"/>
      <c r="Z33" s="97"/>
      <c r="AA33" s="128"/>
      <c r="AB33" s="128"/>
      <c r="AC33" s="128"/>
      <c r="AD33" s="128"/>
      <c r="AE33" s="128"/>
      <c r="AF33" s="128"/>
      <c r="AG33" s="128"/>
      <c r="AH33" s="128"/>
      <c r="AI33" s="128"/>
      <c r="AJ33" s="137"/>
      <c r="AK33" s="134"/>
      <c r="AL33" s="134"/>
      <c r="AM33" s="133"/>
      <c r="AN33" s="133"/>
      <c r="AO33" s="133"/>
      <c r="AP33" s="135"/>
      <c r="AQ33" s="135"/>
      <c r="AR33" s="135"/>
    </row>
    <row r="34">
      <c r="A34" s="136"/>
      <c r="B34" s="139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S34" s="125"/>
      <c r="T34" s="49"/>
      <c r="U34" s="49"/>
      <c r="V34" s="49"/>
      <c r="W34" s="49"/>
      <c r="X34" s="49"/>
      <c r="Y34" s="128"/>
      <c r="Z34" s="97"/>
      <c r="AA34" s="128"/>
      <c r="AB34" s="128"/>
      <c r="AC34" s="128"/>
      <c r="AD34" s="128"/>
      <c r="AE34" s="128"/>
      <c r="AF34" s="128"/>
      <c r="AG34" s="128"/>
      <c r="AH34" s="128"/>
      <c r="AI34" s="128"/>
      <c r="AJ34" s="137"/>
      <c r="AK34" s="134"/>
      <c r="AL34" s="134"/>
      <c r="AM34" s="133"/>
      <c r="AN34" s="133"/>
      <c r="AO34" s="133"/>
      <c r="AP34" s="135"/>
      <c r="AQ34" s="135"/>
      <c r="AR34" s="135"/>
    </row>
    <row r="35">
      <c r="A35" s="136"/>
      <c r="B35" s="139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S35" s="125"/>
      <c r="T35" s="49"/>
      <c r="U35" s="49"/>
      <c r="V35" s="49"/>
      <c r="W35" s="49"/>
      <c r="X35" s="49"/>
      <c r="Y35" s="128"/>
      <c r="Z35" s="97"/>
      <c r="AA35" s="128"/>
      <c r="AB35" s="128"/>
      <c r="AC35" s="128"/>
      <c r="AD35" s="128"/>
      <c r="AE35" s="128"/>
      <c r="AF35" s="128"/>
      <c r="AG35" s="128"/>
      <c r="AH35" s="128"/>
      <c r="AI35" s="128"/>
      <c r="AJ35" s="137"/>
      <c r="AK35" s="133"/>
      <c r="AL35" s="134"/>
      <c r="AM35" s="133"/>
      <c r="AN35" s="133"/>
      <c r="AO35" s="133"/>
      <c r="AP35" s="135"/>
      <c r="AQ35" s="135"/>
      <c r="AR35" s="135"/>
    </row>
    <row r="36">
      <c r="A36" s="136"/>
      <c r="B36" s="13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S36" s="125"/>
      <c r="T36" s="49"/>
      <c r="U36" s="49"/>
      <c r="V36" s="49"/>
      <c r="W36" s="49"/>
      <c r="X36" s="49"/>
      <c r="Y36" s="128"/>
      <c r="Z36" s="97"/>
      <c r="AA36" s="128"/>
      <c r="AB36" s="128"/>
      <c r="AC36" s="128"/>
      <c r="AD36" s="128"/>
      <c r="AE36" s="128"/>
      <c r="AF36" s="128"/>
      <c r="AG36" s="128"/>
      <c r="AH36" s="128"/>
      <c r="AI36" s="128"/>
      <c r="AJ36" s="137"/>
      <c r="AK36" s="133"/>
      <c r="AL36" s="134"/>
      <c r="AM36" s="133"/>
      <c r="AN36" s="133"/>
      <c r="AO36" s="133"/>
      <c r="AP36" s="135"/>
      <c r="AQ36" s="135"/>
      <c r="AR36" s="135"/>
    </row>
    <row r="37">
      <c r="A37" s="136"/>
      <c r="B37" s="139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S37" s="125"/>
      <c r="T37" s="49"/>
      <c r="U37" s="49"/>
      <c r="V37" s="49"/>
      <c r="W37" s="49"/>
      <c r="X37" s="49"/>
      <c r="Y37" s="128"/>
      <c r="Z37" s="97"/>
      <c r="AA37" s="128"/>
      <c r="AB37" s="128"/>
      <c r="AC37" s="128"/>
      <c r="AD37" s="128"/>
      <c r="AE37" s="128"/>
      <c r="AF37" s="128"/>
      <c r="AG37" s="128"/>
      <c r="AH37" s="128"/>
      <c r="AI37" s="128"/>
      <c r="AJ37" s="137"/>
      <c r="AK37" s="133"/>
      <c r="AL37" s="134"/>
      <c r="AM37" s="133"/>
      <c r="AN37" s="133"/>
      <c r="AO37" s="133"/>
      <c r="AP37" s="135"/>
      <c r="AQ37" s="135"/>
      <c r="AR37" s="135"/>
    </row>
    <row r="38">
      <c r="A38" s="136"/>
      <c r="B38" s="139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S38" s="125"/>
      <c r="T38" s="49"/>
      <c r="U38" s="49"/>
      <c r="V38" s="49"/>
      <c r="W38" s="49"/>
      <c r="X38" s="49"/>
      <c r="Y38" s="128"/>
      <c r="Z38" s="97"/>
      <c r="AA38" s="128"/>
      <c r="AB38" s="128"/>
      <c r="AC38" s="128"/>
      <c r="AD38" s="128"/>
      <c r="AE38" s="128"/>
      <c r="AF38" s="128"/>
      <c r="AG38" s="128"/>
      <c r="AH38" s="128"/>
      <c r="AI38" s="128"/>
      <c r="AJ38" s="137"/>
      <c r="AK38" s="133"/>
      <c r="AL38" s="133"/>
      <c r="AM38" s="133"/>
      <c r="AN38" s="133"/>
      <c r="AO38" s="133"/>
      <c r="AP38" s="135"/>
      <c r="AQ38" s="135"/>
      <c r="AR38" s="135"/>
    </row>
    <row r="39">
      <c r="A39" s="136"/>
      <c r="B39" s="13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S39" s="125"/>
      <c r="T39" s="49"/>
      <c r="U39" s="49"/>
      <c r="V39" s="49"/>
      <c r="W39" s="49"/>
      <c r="X39" s="49"/>
      <c r="Y39" s="128"/>
      <c r="Z39" s="97"/>
      <c r="AA39" s="128"/>
      <c r="AB39" s="128"/>
      <c r="AC39" s="128"/>
      <c r="AD39" s="128"/>
      <c r="AE39" s="128"/>
      <c r="AF39" s="128"/>
      <c r="AG39" s="128"/>
      <c r="AH39" s="128"/>
      <c r="AI39" s="128"/>
      <c r="AJ39" s="133"/>
      <c r="AK39" s="133"/>
      <c r="AL39" s="133"/>
      <c r="AM39" s="133"/>
      <c r="AN39" s="133"/>
      <c r="AO39" s="133"/>
      <c r="AP39" s="135"/>
      <c r="AQ39" s="135"/>
      <c r="AR39" s="135"/>
    </row>
    <row r="40">
      <c r="A40" s="136"/>
      <c r="B40" s="139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S40" s="125"/>
      <c r="T40" s="49"/>
      <c r="U40" s="49"/>
      <c r="V40" s="49"/>
      <c r="W40" s="49"/>
      <c r="X40" s="49"/>
      <c r="Y40" s="128"/>
      <c r="Z40" s="97"/>
      <c r="AA40" s="128"/>
      <c r="AB40" s="128"/>
      <c r="AC40" s="128"/>
      <c r="AD40" s="128"/>
      <c r="AE40" s="128"/>
      <c r="AF40" s="128"/>
      <c r="AG40" s="128"/>
      <c r="AH40" s="128"/>
      <c r="AI40" s="128"/>
      <c r="AJ40" s="133"/>
      <c r="AK40" s="133"/>
      <c r="AL40" s="133"/>
      <c r="AM40" s="133"/>
      <c r="AN40" s="133"/>
      <c r="AO40" s="133"/>
      <c r="AP40" s="133"/>
      <c r="AQ40" s="133"/>
      <c r="AR40" s="133"/>
    </row>
    <row r="41">
      <c r="A41" s="136"/>
      <c r="B41" s="139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S41" s="109"/>
      <c r="T41" s="49"/>
      <c r="U41" s="49"/>
      <c r="V41" s="49"/>
      <c r="W41" s="49"/>
      <c r="X41" s="49"/>
      <c r="Y41" s="128"/>
      <c r="Z41" s="97"/>
      <c r="AA41" s="128"/>
      <c r="AB41" s="128"/>
      <c r="AC41" s="128"/>
      <c r="AD41" s="128"/>
      <c r="AE41" s="128"/>
      <c r="AF41" s="128"/>
      <c r="AG41" s="128"/>
      <c r="AH41" s="128"/>
      <c r="AI41" s="128"/>
      <c r="AJ41" s="133"/>
      <c r="AK41" s="133"/>
      <c r="AL41" s="133"/>
      <c r="AM41" s="133"/>
      <c r="AN41" s="133"/>
      <c r="AO41" s="133"/>
      <c r="AP41" s="133"/>
      <c r="AQ41" s="133"/>
      <c r="AR41" s="133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M42" s="14"/>
      <c r="N42" s="14"/>
      <c r="O42" s="14"/>
      <c r="P42" s="14"/>
      <c r="S42" s="125"/>
      <c r="T42" s="109"/>
      <c r="U42" s="109"/>
      <c r="V42" s="109"/>
      <c r="W42" s="109"/>
      <c r="X42" s="109"/>
      <c r="Z42" s="97"/>
    </row>
    <row r="43">
      <c r="A43" s="13"/>
      <c r="B43" s="14"/>
      <c r="C43" s="14"/>
      <c r="D43" s="14"/>
      <c r="E43" s="14"/>
      <c r="F43" s="14"/>
      <c r="G43" s="14"/>
      <c r="I43" s="14"/>
      <c r="J43" s="14"/>
      <c r="L43" s="14"/>
      <c r="M43" s="14"/>
      <c r="N43" s="14"/>
      <c r="O43" s="14"/>
    </row>
    <row r="44">
      <c r="A44" s="13"/>
      <c r="B44" s="14"/>
      <c r="C44" s="14"/>
      <c r="D44" s="14"/>
      <c r="E44" s="14"/>
      <c r="F44" s="14"/>
      <c r="G44" s="14"/>
      <c r="I44" s="14"/>
      <c r="J44" s="14"/>
      <c r="L44" s="14"/>
      <c r="M44" s="14"/>
      <c r="N44" s="14"/>
      <c r="O44" s="14"/>
    </row>
    <row r="45">
      <c r="A45" s="13"/>
      <c r="B45" s="14"/>
      <c r="C45" s="14"/>
      <c r="D45" s="14"/>
      <c r="E45" s="14"/>
      <c r="F45" s="14"/>
      <c r="G45" s="14"/>
      <c r="I45" s="14"/>
      <c r="J45" s="14"/>
      <c r="L45" s="14"/>
      <c r="M45" s="14"/>
      <c r="N45" s="14"/>
      <c r="O45" s="14"/>
    </row>
    <row r="46">
      <c r="A46" s="13"/>
      <c r="B46" s="14"/>
      <c r="C46" s="14"/>
      <c r="D46" s="14"/>
      <c r="E46" s="14"/>
      <c r="F46" s="14"/>
      <c r="G46" s="14"/>
      <c r="I46" s="14"/>
      <c r="J46" s="14"/>
      <c r="L46" s="14"/>
      <c r="M46" s="14"/>
      <c r="N46" s="14"/>
      <c r="O46" s="14"/>
    </row>
    <row r="50">
      <c r="AO50" s="140"/>
      <c r="AP50" s="141" t="s">
        <v>86</v>
      </c>
      <c r="AQ50" s="141" t="s">
        <v>54</v>
      </c>
      <c r="AR50" s="141"/>
    </row>
    <row r="51">
      <c r="AO51" s="142" t="str">
        <f>A3</f>
        <v>PIENAARSPOORT </v>
      </c>
      <c r="AP51" s="143">
        <v>0.0</v>
      </c>
      <c r="AQ51" s="143">
        <v>0.0</v>
      </c>
      <c r="AR51" s="144"/>
    </row>
    <row r="52">
      <c r="AO52" s="142" t="str">
        <f t="shared" ref="AO52:AO55" si="1">A5</f>
        <v>MAMELODI GARDENS </v>
      </c>
      <c r="AP52" s="143">
        <v>0.006250000000000089</v>
      </c>
      <c r="AQ52" s="143">
        <v>0.006250000000000033</v>
      </c>
      <c r="AR52" s="144"/>
    </row>
    <row r="53">
      <c r="AO53" s="142" t="str">
        <f t="shared" si="1"/>
        <v>EERSTE FABRIEKE </v>
      </c>
      <c r="AP53" s="143">
        <v>0.009722222222222299</v>
      </c>
      <c r="AQ53" s="143">
        <v>0.00347222222222221</v>
      </c>
      <c r="AR53" s="144"/>
    </row>
    <row r="54">
      <c r="AO54" s="142" t="str">
        <f t="shared" si="1"/>
        <v>DENNEBOOM </v>
      </c>
      <c r="AP54" s="143">
        <v>0.011805555555555625</v>
      </c>
      <c r="AQ54" s="143">
        <v>0.002083333333333326</v>
      </c>
      <c r="AR54" s="144"/>
    </row>
    <row r="55">
      <c r="AO55" s="142" t="str">
        <f t="shared" si="1"/>
        <v>WALTOO </v>
      </c>
      <c r="AP55" s="143">
        <v>0.013194444444444509</v>
      </c>
      <c r="AQ55" s="143">
        <v>0.001388888888888884</v>
      </c>
      <c r="AR55" s="144"/>
    </row>
    <row r="56">
      <c r="AO56" s="142" t="str">
        <f t="shared" ref="AO56:AO57" si="2">A10</f>
        <v>SILVERTON </v>
      </c>
      <c r="AP56" s="143">
        <v>0.015277777777777835</v>
      </c>
      <c r="AQ56" s="143">
        <v>0.002083333333333326</v>
      </c>
      <c r="AR56" s="144"/>
    </row>
    <row r="57">
      <c r="AO57" s="142" t="str">
        <f t="shared" si="2"/>
        <v>KOEDOESPOORT </v>
      </c>
      <c r="AP57" s="143">
        <v>0.01736111111111116</v>
      </c>
      <c r="AQ57" s="143">
        <v>0.002083333333333326</v>
      </c>
      <c r="AR57" s="144"/>
    </row>
    <row r="58">
      <c r="AO58" s="142" t="str">
        <f t="shared" ref="AO58:AO64" si="3">A13</f>
        <v>HARTBEESSPRUIT </v>
      </c>
      <c r="AP58" s="143">
        <v>0.019444444444444486</v>
      </c>
      <c r="AQ58" s="143">
        <v>0.002083333333333326</v>
      </c>
      <c r="AR58" s="144"/>
    </row>
    <row r="59">
      <c r="P59" s="145"/>
      <c r="AO59" s="142" t="str">
        <f t="shared" si="3"/>
        <v>RISSIK </v>
      </c>
      <c r="AP59" s="143">
        <v>0.022916666666666696</v>
      </c>
      <c r="AQ59" s="143">
        <v>0.0027777777777778234</v>
      </c>
      <c r="AR59" s="144"/>
    </row>
    <row r="60">
      <c r="P60" s="145"/>
      <c r="AD60" s="17"/>
      <c r="AO60" s="142" t="str">
        <f t="shared" si="3"/>
        <v>LOFTUS VERSFELD PARK </v>
      </c>
      <c r="AP60" s="143">
        <v>0.02430555555555558</v>
      </c>
      <c r="AQ60" s="143">
        <v>0.002083333333333326</v>
      </c>
      <c r="AR60" s="144"/>
    </row>
    <row r="61">
      <c r="AO61" s="142" t="str">
        <f t="shared" si="3"/>
        <v>WALKER STREET </v>
      </c>
      <c r="AP61" s="143">
        <v>0.026388888888888906</v>
      </c>
      <c r="AQ61" s="143">
        <v>0.002083333333333326</v>
      </c>
      <c r="AR61" s="144"/>
    </row>
    <row r="62">
      <c r="AO62" s="142" t="str">
        <f t="shared" si="3"/>
        <v>DEVENISH STREET </v>
      </c>
      <c r="AP62" s="143">
        <v>0.02777777777777779</v>
      </c>
      <c r="AQ62" s="143">
        <v>0.001388888888888884</v>
      </c>
      <c r="AR62" s="144"/>
    </row>
    <row r="63">
      <c r="AO63" s="142" t="str">
        <f t="shared" si="3"/>
        <v>MEARS STREET </v>
      </c>
      <c r="AP63" s="143">
        <v>0.028472222222222232</v>
      </c>
      <c r="AQ63" s="143">
        <v>6.94444444444442E-4</v>
      </c>
      <c r="AR63" s="144"/>
    </row>
    <row r="64">
      <c r="AO64" s="142" t="str">
        <f t="shared" si="3"/>
        <v>PRETORIA </v>
      </c>
      <c r="AP64" s="143">
        <v>0.03125</v>
      </c>
      <c r="AQ64" s="143">
        <v>0.002777777777777768</v>
      </c>
      <c r="AR64" s="144"/>
    </row>
    <row r="65">
      <c r="AO65" s="49"/>
      <c r="AP65" s="146">
        <v>9.0</v>
      </c>
      <c r="AQ65" s="146">
        <v>9.0</v>
      </c>
      <c r="AR65" s="14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1" t="s">
        <v>0</v>
      </c>
      <c r="B1" s="2">
        <v>45890.0</v>
      </c>
      <c r="C1" s="1" t="str">
        <f>'PTA-to-PIEN_Weekday'!C1</f>
        <v>Z2</v>
      </c>
      <c r="D1" s="1"/>
      <c r="E1" s="1"/>
      <c r="F1" s="1"/>
      <c r="G1" s="1"/>
      <c r="H1" s="3"/>
      <c r="I1" s="3"/>
      <c r="J1" s="3"/>
    </row>
    <row r="2">
      <c r="A2" s="1" t="s">
        <v>2</v>
      </c>
      <c r="B2" s="1" t="s">
        <v>3</v>
      </c>
      <c r="C2" s="1">
        <v>9101.0</v>
      </c>
      <c r="D2" s="1">
        <v>9103.0</v>
      </c>
      <c r="E2" s="1">
        <v>9115.0</v>
      </c>
      <c r="F2" s="1">
        <v>9117.0</v>
      </c>
      <c r="G2" s="1">
        <v>9119.0</v>
      </c>
      <c r="H2" s="3"/>
      <c r="I2" s="3"/>
      <c r="J2" s="3"/>
    </row>
    <row r="3">
      <c r="A3" s="60" t="s">
        <v>55</v>
      </c>
      <c r="B3" s="60" t="s">
        <v>25</v>
      </c>
      <c r="C3" s="6">
        <v>0.22291666666666668</v>
      </c>
      <c r="D3" s="6">
        <v>0.2951388888888889</v>
      </c>
      <c r="E3" s="6">
        <v>0.6319444444444444</v>
      </c>
      <c r="F3" s="6">
        <v>0.7020833333333333</v>
      </c>
      <c r="G3" s="6">
        <v>0.7791666666666667</v>
      </c>
      <c r="H3" s="5"/>
      <c r="I3" s="6"/>
      <c r="J3" s="5"/>
    </row>
    <row r="4">
      <c r="A4" s="9" t="s">
        <v>58</v>
      </c>
      <c r="B4" s="9" t="s">
        <v>59</v>
      </c>
      <c r="C4" s="8">
        <v>0.225</v>
      </c>
      <c r="D4" s="8">
        <v>0.2972222222222222</v>
      </c>
      <c r="E4" s="8">
        <v>0.6340277777777777</v>
      </c>
      <c r="F4" s="8">
        <v>0.7041666666666667</v>
      </c>
      <c r="G4" s="8">
        <v>0.78125</v>
      </c>
    </row>
    <row r="5">
      <c r="A5" s="9" t="s">
        <v>60</v>
      </c>
      <c r="B5" s="9" t="s">
        <v>61</v>
      </c>
      <c r="C5" s="8">
        <v>0.2263888888888889</v>
      </c>
      <c r="D5" s="8">
        <v>0.2986111111111111</v>
      </c>
      <c r="E5" s="8">
        <v>0.6354166666666666</v>
      </c>
      <c r="F5" s="8">
        <v>0.7055555555555556</v>
      </c>
      <c r="G5" s="8">
        <v>0.7826388888888889</v>
      </c>
    </row>
    <row r="6">
      <c r="A6" s="9" t="s">
        <v>62</v>
      </c>
      <c r="B6" s="9" t="s">
        <v>63</v>
      </c>
      <c r="C6" s="8">
        <v>0.22708333333333333</v>
      </c>
      <c r="D6" s="8">
        <v>0.29930555555555555</v>
      </c>
      <c r="E6" s="8">
        <v>0.6361111111111111</v>
      </c>
      <c r="F6" s="8">
        <v>0.70625</v>
      </c>
      <c r="G6" s="8">
        <v>0.7833333333333333</v>
      </c>
    </row>
    <row r="7">
      <c r="A7" s="9" t="s">
        <v>64</v>
      </c>
      <c r="B7" s="9" t="s">
        <v>65</v>
      </c>
      <c r="C7" s="8">
        <v>0.22916666666666666</v>
      </c>
      <c r="D7" s="8">
        <v>0.3013888888888889</v>
      </c>
      <c r="E7" s="8">
        <v>0.6381944444444444</v>
      </c>
      <c r="F7" s="8">
        <v>0.7083333333333334</v>
      </c>
      <c r="G7" s="8">
        <v>0.7854166666666667</v>
      </c>
    </row>
    <row r="8">
      <c r="A8" s="9" t="s">
        <v>66</v>
      </c>
      <c r="B8" s="9" t="s">
        <v>67</v>
      </c>
      <c r="C8" s="8">
        <v>0.23055555555555557</v>
      </c>
      <c r="D8" s="8">
        <v>0.30277777777777776</v>
      </c>
      <c r="E8" s="8">
        <v>0.6395833333333333</v>
      </c>
      <c r="F8" s="8">
        <v>0.7097222222222223</v>
      </c>
      <c r="G8" s="8">
        <v>0.7868055555555555</v>
      </c>
    </row>
    <row r="9">
      <c r="A9" s="9" t="s">
        <v>68</v>
      </c>
      <c r="B9" s="9" t="s">
        <v>69</v>
      </c>
      <c r="C9" s="8">
        <v>0.2326388888888889</v>
      </c>
      <c r="D9" s="8">
        <v>0.30486111111111114</v>
      </c>
      <c r="E9" s="8">
        <v>0.6416666666666667</v>
      </c>
      <c r="F9" s="8">
        <v>0.7118055555555556</v>
      </c>
      <c r="G9" s="8">
        <v>0.7888888888888889</v>
      </c>
    </row>
    <row r="10">
      <c r="A10" s="7" t="s">
        <v>187</v>
      </c>
      <c r="B10" s="7" t="s">
        <v>188</v>
      </c>
    </row>
    <row r="11">
      <c r="A11" s="9" t="s">
        <v>70</v>
      </c>
      <c r="B11" s="9" t="s">
        <v>71</v>
      </c>
      <c r="C11" s="8">
        <v>0.23472222222222222</v>
      </c>
      <c r="D11" s="8">
        <v>0.30694444444444446</v>
      </c>
      <c r="E11" s="8">
        <v>0.64375</v>
      </c>
      <c r="F11" s="8">
        <v>0.7138888888888889</v>
      </c>
      <c r="G11" s="8">
        <v>0.7909722222222222</v>
      </c>
    </row>
    <row r="12">
      <c r="A12" s="9" t="s">
        <v>72</v>
      </c>
      <c r="B12" s="7" t="s">
        <v>189</v>
      </c>
      <c r="C12" s="8">
        <v>0.23680555555555555</v>
      </c>
      <c r="D12" s="8">
        <v>0.3090277777777778</v>
      </c>
      <c r="E12" s="8">
        <v>0.6458333333333334</v>
      </c>
      <c r="F12" s="8">
        <v>0.7159722222222222</v>
      </c>
      <c r="G12" s="8">
        <v>0.7930555555555555</v>
      </c>
    </row>
    <row r="13">
      <c r="A13" s="7" t="s">
        <v>190</v>
      </c>
      <c r="B13" s="7" t="s">
        <v>191</v>
      </c>
    </row>
    <row r="14">
      <c r="A14" s="9" t="s">
        <v>74</v>
      </c>
      <c r="B14" s="7" t="s">
        <v>192</v>
      </c>
      <c r="C14" s="8">
        <v>0.2388888888888889</v>
      </c>
      <c r="D14" s="8">
        <v>0.3111111111111111</v>
      </c>
      <c r="E14" s="8">
        <v>0.6479166666666667</v>
      </c>
      <c r="F14" s="8">
        <v>0.7180555555555556</v>
      </c>
      <c r="G14" s="8">
        <v>0.7951388888888888</v>
      </c>
    </row>
    <row r="15">
      <c r="A15" s="9" t="s">
        <v>76</v>
      </c>
      <c r="B15" s="9" t="s">
        <v>77</v>
      </c>
      <c r="C15" s="8">
        <v>0.24027777777777778</v>
      </c>
      <c r="D15" s="8">
        <v>0.3125</v>
      </c>
      <c r="E15" s="8">
        <v>0.6493055555555556</v>
      </c>
      <c r="F15" s="8">
        <v>0.7194444444444444</v>
      </c>
      <c r="G15" s="8">
        <v>0.7965277777777777</v>
      </c>
    </row>
    <row r="16">
      <c r="A16" s="9" t="s">
        <v>78</v>
      </c>
      <c r="B16" s="9" t="s">
        <v>79</v>
      </c>
      <c r="C16" s="8">
        <v>0.2423611111111111</v>
      </c>
      <c r="D16" s="8">
        <v>0.3145833333333333</v>
      </c>
      <c r="E16" s="8">
        <v>0.6513888888888889</v>
      </c>
      <c r="F16" s="8">
        <v>0.7215277777777778</v>
      </c>
      <c r="G16" s="8">
        <v>0.7986111111111112</v>
      </c>
    </row>
    <row r="17">
      <c r="A17" s="9" t="s">
        <v>80</v>
      </c>
      <c r="B17" s="9" t="s">
        <v>81</v>
      </c>
      <c r="C17" s="8">
        <v>0.24513888888888888</v>
      </c>
      <c r="D17" s="8">
        <v>0.3173611111111111</v>
      </c>
      <c r="E17" s="8">
        <v>0.6541666666666667</v>
      </c>
      <c r="F17" s="8">
        <v>0.7243055555555555</v>
      </c>
      <c r="G17" s="8">
        <v>0.8013888888888889</v>
      </c>
    </row>
    <row r="18">
      <c r="A18" s="7" t="s">
        <v>193</v>
      </c>
      <c r="B18" s="7" t="s">
        <v>194</v>
      </c>
    </row>
    <row r="19">
      <c r="A19" s="9" t="s">
        <v>82</v>
      </c>
      <c r="B19" s="9" t="s">
        <v>83</v>
      </c>
      <c r="C19" s="8">
        <v>0.2513888888888889</v>
      </c>
      <c r="D19" s="8">
        <v>0.32083333333333336</v>
      </c>
      <c r="E19" s="8">
        <v>0.6576388888888889</v>
      </c>
      <c r="F19" s="8">
        <v>0.7277777777777777</v>
      </c>
      <c r="G19" s="8">
        <v>0.8048611111111111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1" t="s">
        <v>0</v>
      </c>
      <c r="B1" s="2">
        <v>45890.0</v>
      </c>
      <c r="C1" s="1" t="str">
        <f>'PTA-to-PIEN_Weekday'!C1</f>
        <v>Z2</v>
      </c>
      <c r="D1" s="1"/>
      <c r="E1" s="1"/>
      <c r="F1" s="1"/>
      <c r="G1" s="1"/>
      <c r="H1" s="3"/>
      <c r="I1" s="3"/>
      <c r="J1" s="3"/>
      <c r="K1" s="3"/>
      <c r="L1" s="3"/>
      <c r="M1" s="3"/>
    </row>
    <row r="2">
      <c r="A2" s="1" t="s">
        <v>2</v>
      </c>
      <c r="B2" s="1" t="s">
        <v>3</v>
      </c>
      <c r="C2" s="1">
        <v>9100.0</v>
      </c>
      <c r="D2" s="1">
        <v>9102.0</v>
      </c>
      <c r="E2" s="1">
        <v>9104.0</v>
      </c>
      <c r="F2" s="1">
        <v>9116.0</v>
      </c>
      <c r="G2" s="1">
        <v>9118.0</v>
      </c>
      <c r="H2" s="3"/>
      <c r="I2" s="3"/>
      <c r="J2" s="3"/>
      <c r="K2" s="3"/>
      <c r="L2" s="3"/>
      <c r="M2" s="3"/>
    </row>
    <row r="3">
      <c r="A3" s="60" t="s">
        <v>82</v>
      </c>
      <c r="B3" s="5" t="s">
        <v>83</v>
      </c>
      <c r="C3" s="6">
        <v>0.1875</v>
      </c>
      <c r="D3" s="6">
        <v>0.25833333333333336</v>
      </c>
      <c r="E3" s="6">
        <v>0.33055555555555555</v>
      </c>
      <c r="F3" s="6">
        <v>0.6666666666666666</v>
      </c>
      <c r="G3" s="6">
        <v>0.7368055555555556</v>
      </c>
      <c r="H3" s="5"/>
      <c r="I3" s="6"/>
      <c r="J3" s="5"/>
      <c r="K3" s="6"/>
      <c r="M3" s="8"/>
    </row>
    <row r="4">
      <c r="A4" s="7" t="s">
        <v>193</v>
      </c>
      <c r="B4" s="7" t="s">
        <v>194</v>
      </c>
      <c r="H4" s="8"/>
      <c r="I4" s="8"/>
      <c r="J4" s="8"/>
      <c r="K4" s="8"/>
      <c r="L4" s="8"/>
      <c r="M4" s="8"/>
    </row>
    <row r="5">
      <c r="A5" s="9" t="s">
        <v>80</v>
      </c>
      <c r="B5" s="7" t="s">
        <v>81</v>
      </c>
      <c r="C5" s="8">
        <v>0.19375000000000003</v>
      </c>
      <c r="D5" s="8">
        <v>0.2645833333333334</v>
      </c>
      <c r="E5" s="8">
        <v>0.3368055555555556</v>
      </c>
      <c r="F5" s="8">
        <v>0.6729166666666666</v>
      </c>
      <c r="G5" s="8">
        <v>0.7430555555555556</v>
      </c>
      <c r="H5" s="8"/>
      <c r="I5" s="8"/>
      <c r="J5" s="8"/>
      <c r="K5" s="8"/>
      <c r="L5" s="8"/>
      <c r="M5" s="8"/>
    </row>
    <row r="6">
      <c r="A6" s="9" t="s">
        <v>78</v>
      </c>
      <c r="B6" s="7" t="s">
        <v>79</v>
      </c>
      <c r="C6" s="8">
        <v>0.19722222222222224</v>
      </c>
      <c r="D6" s="8">
        <v>0.2680555555555556</v>
      </c>
      <c r="E6" s="8">
        <v>0.3402777777777778</v>
      </c>
      <c r="F6" s="8">
        <v>0.6763888888888888</v>
      </c>
      <c r="G6" s="8">
        <v>0.7465277777777778</v>
      </c>
      <c r="H6" s="8"/>
      <c r="I6" s="8"/>
      <c r="J6" s="8"/>
      <c r="K6" s="8"/>
      <c r="L6" s="8"/>
      <c r="M6" s="8"/>
    </row>
    <row r="7">
      <c r="A7" s="9" t="s">
        <v>76</v>
      </c>
      <c r="B7" s="7" t="s">
        <v>77</v>
      </c>
      <c r="C7" s="8">
        <v>0.19930555555555557</v>
      </c>
      <c r="D7" s="8">
        <v>0.27013888888888893</v>
      </c>
      <c r="E7" s="8">
        <v>0.3423611111111111</v>
      </c>
      <c r="F7" s="8">
        <v>0.6784722222222221</v>
      </c>
      <c r="G7" s="8">
        <v>0.7486111111111111</v>
      </c>
      <c r="H7" s="8"/>
      <c r="I7" s="8"/>
      <c r="J7" s="8"/>
      <c r="K7" s="8"/>
      <c r="L7" s="8"/>
      <c r="M7" s="8"/>
    </row>
    <row r="8">
      <c r="A8" s="9" t="s">
        <v>74</v>
      </c>
      <c r="B8" s="7" t="s">
        <v>195</v>
      </c>
      <c r="C8" s="8">
        <v>0.20069444444444445</v>
      </c>
      <c r="D8" s="8">
        <v>0.2715277777777778</v>
      </c>
      <c r="E8" s="8">
        <v>0.34375</v>
      </c>
      <c r="F8" s="8">
        <v>0.679861111111111</v>
      </c>
      <c r="G8" s="8">
        <v>0.75</v>
      </c>
      <c r="H8" s="8"/>
      <c r="I8" s="8"/>
      <c r="J8" s="8"/>
      <c r="K8" s="8"/>
      <c r="L8" s="8"/>
      <c r="M8" s="8"/>
    </row>
    <row r="9">
      <c r="A9" s="147" t="s">
        <v>190</v>
      </c>
      <c r="B9" s="7" t="s">
        <v>191</v>
      </c>
      <c r="H9" s="8"/>
      <c r="I9" s="8"/>
      <c r="J9" s="8"/>
      <c r="K9" s="8"/>
      <c r="L9" s="8"/>
      <c r="M9" s="8"/>
    </row>
    <row r="10">
      <c r="A10" s="9" t="s">
        <v>72</v>
      </c>
      <c r="B10" s="7" t="s">
        <v>189</v>
      </c>
      <c r="C10" s="8">
        <v>0.20277777777777778</v>
      </c>
      <c r="D10" s="8">
        <v>0.27361111111111114</v>
      </c>
      <c r="E10" s="8">
        <v>0.3458333333333333</v>
      </c>
      <c r="F10" s="8">
        <v>0.6819444444444444</v>
      </c>
      <c r="G10" s="8">
        <v>0.7520833333333333</v>
      </c>
      <c r="H10" s="8"/>
      <c r="I10" s="8"/>
      <c r="J10" s="8"/>
      <c r="K10" s="8"/>
      <c r="L10" s="8"/>
      <c r="M10" s="8"/>
    </row>
    <row r="11">
      <c r="A11" s="9" t="s">
        <v>70</v>
      </c>
      <c r="B11" s="7" t="s">
        <v>71</v>
      </c>
      <c r="C11" s="8">
        <v>0.2048611111111111</v>
      </c>
      <c r="D11" s="8">
        <v>0.27569444444444446</v>
      </c>
      <c r="E11" s="8">
        <v>0.34791666666666665</v>
      </c>
      <c r="F11" s="8">
        <v>0.6840277777777777</v>
      </c>
      <c r="G11" s="8">
        <v>0.7541666666666667</v>
      </c>
      <c r="H11" s="8"/>
      <c r="I11" s="8"/>
      <c r="J11" s="8"/>
      <c r="K11" s="8"/>
      <c r="L11" s="8"/>
      <c r="M11" s="8"/>
    </row>
    <row r="12">
      <c r="A12" s="7" t="s">
        <v>187</v>
      </c>
      <c r="B12" s="7" t="s">
        <v>188</v>
      </c>
      <c r="H12" s="8"/>
      <c r="I12" s="8"/>
      <c r="J12" s="8"/>
      <c r="K12" s="8"/>
      <c r="L12" s="8"/>
      <c r="M12" s="8"/>
    </row>
    <row r="13">
      <c r="A13" s="9" t="s">
        <v>68</v>
      </c>
      <c r="B13" s="7" t="s">
        <v>69</v>
      </c>
      <c r="C13" s="8">
        <v>0.20694444444444443</v>
      </c>
      <c r="D13" s="8">
        <v>0.2777777777777778</v>
      </c>
      <c r="E13" s="8">
        <v>0.35</v>
      </c>
      <c r="F13" s="8">
        <v>0.686111111111111</v>
      </c>
      <c r="G13" s="8">
        <v>0.75625</v>
      </c>
      <c r="H13" s="8"/>
      <c r="I13" s="8"/>
      <c r="J13" s="8"/>
      <c r="K13" s="8"/>
      <c r="L13" s="8"/>
      <c r="M13" s="8"/>
    </row>
    <row r="14">
      <c r="A14" s="9" t="s">
        <v>66</v>
      </c>
      <c r="B14" s="7" t="s">
        <v>67</v>
      </c>
      <c r="C14" s="8">
        <v>0.20972222222222225</v>
      </c>
      <c r="D14" s="8">
        <v>0.2805555555555556</v>
      </c>
      <c r="E14" s="8">
        <v>0.3527777777777778</v>
      </c>
      <c r="F14" s="8">
        <v>0.6888888888888889</v>
      </c>
      <c r="G14" s="8">
        <v>0.7590277777777779</v>
      </c>
      <c r="H14" s="8"/>
      <c r="I14" s="8"/>
      <c r="J14" s="8"/>
      <c r="K14" s="8"/>
      <c r="L14" s="8"/>
      <c r="M14" s="8"/>
    </row>
    <row r="15">
      <c r="A15" s="9" t="s">
        <v>64</v>
      </c>
      <c r="B15" s="7" t="s">
        <v>65</v>
      </c>
      <c r="C15" s="8">
        <v>0.21180555555555558</v>
      </c>
      <c r="D15" s="8">
        <v>0.28263888888888894</v>
      </c>
      <c r="E15" s="8">
        <v>0.3548611111111111</v>
      </c>
      <c r="F15" s="8">
        <v>0.6909722222222222</v>
      </c>
      <c r="G15" s="8">
        <v>0.7611111111111112</v>
      </c>
      <c r="H15" s="8"/>
      <c r="I15" s="8"/>
      <c r="J15" s="8"/>
      <c r="K15" s="8"/>
      <c r="L15" s="8"/>
      <c r="M15" s="8"/>
    </row>
    <row r="16">
      <c r="A16" s="9" t="s">
        <v>62</v>
      </c>
      <c r="B16" s="7" t="s">
        <v>63</v>
      </c>
      <c r="C16" s="8">
        <v>0.2138888888888889</v>
      </c>
      <c r="D16" s="8">
        <v>0.28472222222222227</v>
      </c>
      <c r="E16" s="8">
        <v>0.35694444444444445</v>
      </c>
      <c r="F16" s="8">
        <v>0.6930555555555555</v>
      </c>
      <c r="G16" s="8">
        <v>0.7631944444444445</v>
      </c>
      <c r="H16" s="8"/>
      <c r="I16" s="8"/>
      <c r="J16" s="8"/>
      <c r="K16" s="8"/>
      <c r="L16" s="8"/>
      <c r="M16" s="8"/>
    </row>
    <row r="17">
      <c r="A17" s="9" t="s">
        <v>60</v>
      </c>
      <c r="B17" s="7" t="s">
        <v>61</v>
      </c>
      <c r="C17" s="8">
        <v>0.2152777777777778</v>
      </c>
      <c r="D17" s="8">
        <v>0.28611111111111115</v>
      </c>
      <c r="E17" s="8">
        <v>0.35833333333333334</v>
      </c>
      <c r="F17" s="8">
        <v>0.6944444444444444</v>
      </c>
      <c r="G17" s="8">
        <v>0.7645833333333334</v>
      </c>
    </row>
    <row r="18">
      <c r="A18" s="9" t="s">
        <v>58</v>
      </c>
      <c r="B18" s="7" t="s">
        <v>59</v>
      </c>
      <c r="C18" s="8">
        <v>0.21597222222222223</v>
      </c>
      <c r="D18" s="8">
        <v>0.2868055555555556</v>
      </c>
      <c r="E18" s="8">
        <v>0.3590277777777778</v>
      </c>
      <c r="F18" s="8">
        <v>0.6951388888888889</v>
      </c>
      <c r="G18" s="8">
        <v>0.7652777777777778</v>
      </c>
    </row>
    <row r="19">
      <c r="A19" s="9" t="s">
        <v>55</v>
      </c>
      <c r="B19" s="7" t="s">
        <v>25</v>
      </c>
      <c r="C19" s="8">
        <v>0.21875</v>
      </c>
      <c r="D19" s="8">
        <v>0.28958333333333336</v>
      </c>
      <c r="E19" s="8">
        <v>0.36180555555555555</v>
      </c>
      <c r="F19" s="8">
        <v>0.6979166666666666</v>
      </c>
      <c r="G19" s="8">
        <v>0.7680555555555556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1" t="s">
        <v>0</v>
      </c>
      <c r="B1" s="148">
        <v>46055.0</v>
      </c>
      <c r="C1" s="96" t="s">
        <v>186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1" t="s">
        <v>2</v>
      </c>
      <c r="B2" s="1" t="s">
        <v>3</v>
      </c>
      <c r="C2" s="149">
        <v>1801.0</v>
      </c>
      <c r="D2" s="149">
        <v>1803.0</v>
      </c>
      <c r="E2" s="149">
        <v>1805.0</v>
      </c>
      <c r="F2" s="149">
        <v>1807.0</v>
      </c>
      <c r="G2" s="149">
        <v>1809.0</v>
      </c>
      <c r="H2" s="149">
        <v>1811.0</v>
      </c>
      <c r="I2" s="149">
        <v>1813.0</v>
      </c>
      <c r="J2" s="149">
        <v>1815.0</v>
      </c>
      <c r="K2" s="149">
        <v>1817.0</v>
      </c>
      <c r="L2" s="149">
        <v>1819.0</v>
      </c>
      <c r="M2" s="149">
        <v>1827.0</v>
      </c>
      <c r="N2" s="149">
        <v>1829.0</v>
      </c>
      <c r="O2" s="149">
        <v>1837.0</v>
      </c>
      <c r="P2" s="149">
        <v>1831.0</v>
      </c>
      <c r="Q2" s="149">
        <v>1833.0</v>
      </c>
      <c r="R2" s="149">
        <v>1839.0</v>
      </c>
      <c r="S2" s="149">
        <v>1835.0</v>
      </c>
      <c r="T2" s="149">
        <v>1845.0</v>
      </c>
      <c r="U2" s="149">
        <v>1847.0</v>
      </c>
      <c r="V2" s="149">
        <v>1849.0</v>
      </c>
      <c r="W2" s="149">
        <v>1851.0</v>
      </c>
      <c r="X2" s="149">
        <v>1853.0</v>
      </c>
      <c r="Y2" s="149">
        <v>1855.0</v>
      </c>
      <c r="Z2" s="149">
        <v>1857.0</v>
      </c>
      <c r="AA2" s="149">
        <v>1859.0</v>
      </c>
      <c r="AB2" s="149">
        <v>1861.0</v>
      </c>
      <c r="AC2" s="149">
        <v>1863.0</v>
      </c>
      <c r="AD2" s="149">
        <v>1865.0</v>
      </c>
      <c r="AE2" s="3"/>
    </row>
    <row r="3">
      <c r="A3" s="5" t="s">
        <v>24</v>
      </c>
      <c r="B3" s="6" t="str">
        <f>'PTA-to-PIEN_Sat'!B3</f>
        <v>-25.75864361043285, 28.189866445989118</v>
      </c>
      <c r="C3" s="93">
        <v>0.21666666666666667</v>
      </c>
      <c r="D3" s="93">
        <v>0.2326388888888889</v>
      </c>
      <c r="E3" s="93">
        <v>0.24930555555555556</v>
      </c>
      <c r="F3" s="93">
        <v>0.2652777777777778</v>
      </c>
      <c r="G3" s="93">
        <v>0.28194444444444444</v>
      </c>
      <c r="H3" s="93">
        <v>0.29791666666666666</v>
      </c>
      <c r="I3" s="93">
        <v>0.3145833333333333</v>
      </c>
      <c r="J3" s="93">
        <v>0.33055555555555555</v>
      </c>
      <c r="K3" s="93">
        <v>0.3472222222222222</v>
      </c>
      <c r="L3" s="93">
        <v>0.36319444444444443</v>
      </c>
      <c r="M3" s="93">
        <v>0.3958333333333333</v>
      </c>
      <c r="N3" s="93">
        <v>0.4444444444444444</v>
      </c>
      <c r="O3" s="93">
        <v>0.4701388888888889</v>
      </c>
      <c r="P3" s="93">
        <v>0.4930555555555556</v>
      </c>
      <c r="Q3" s="93">
        <v>0.5416666666666666</v>
      </c>
      <c r="R3" s="93">
        <v>0.5673611111111111</v>
      </c>
      <c r="S3" s="93">
        <v>0.5902777777777778</v>
      </c>
      <c r="T3" s="93">
        <v>0.6402777777777777</v>
      </c>
      <c r="U3" s="93">
        <v>0.6569444444444444</v>
      </c>
      <c r="V3" s="93">
        <v>0.6729166666666667</v>
      </c>
      <c r="W3" s="93">
        <v>0.6895833333333333</v>
      </c>
      <c r="X3" s="93">
        <v>0.7055555555555556</v>
      </c>
      <c r="Y3" s="93">
        <v>0.7222222222222222</v>
      </c>
      <c r="Z3" s="93">
        <v>0.7381944444444445</v>
      </c>
      <c r="AA3" s="93">
        <v>0.7548611111111111</v>
      </c>
      <c r="AB3" s="93">
        <v>0.7701388888888889</v>
      </c>
      <c r="AC3" s="93">
        <v>0.8006944444444445</v>
      </c>
      <c r="AD3" s="93">
        <v>0.8125</v>
      </c>
    </row>
    <row r="4">
      <c r="A4" s="7" t="s">
        <v>91</v>
      </c>
      <c r="B4" s="7" t="s">
        <v>92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</row>
    <row r="5">
      <c r="A5" s="7" t="s">
        <v>93</v>
      </c>
      <c r="B5" s="7" t="s">
        <v>94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</row>
    <row r="6">
      <c r="A6" s="7" t="s">
        <v>22</v>
      </c>
      <c r="B6" s="7" t="s">
        <v>23</v>
      </c>
      <c r="C6" s="150">
        <v>0.22083333333333333</v>
      </c>
      <c r="D6" s="150">
        <v>0.23680555555555555</v>
      </c>
      <c r="E6" s="150">
        <v>0.2534722222222222</v>
      </c>
      <c r="F6" s="150">
        <v>0.26944444444444443</v>
      </c>
      <c r="G6" s="150">
        <v>0.2861111111111111</v>
      </c>
      <c r="H6" s="150">
        <v>0.3020833333333333</v>
      </c>
      <c r="I6" s="150">
        <v>0.31875</v>
      </c>
      <c r="J6" s="150">
        <v>0.3347222222222222</v>
      </c>
      <c r="K6" s="150">
        <v>0.35138888888888886</v>
      </c>
      <c r="L6" s="150">
        <v>0.36736111111111114</v>
      </c>
      <c r="M6" s="150">
        <v>0.4</v>
      </c>
      <c r="N6" s="150">
        <v>0.4486111111111111</v>
      </c>
      <c r="O6" s="150">
        <v>0.47430555555555554</v>
      </c>
      <c r="P6" s="150">
        <v>0.49722222222222223</v>
      </c>
      <c r="Q6" s="150">
        <v>0.5458333333333333</v>
      </c>
      <c r="R6" s="150">
        <v>0.5715277777777777</v>
      </c>
      <c r="S6" s="150">
        <v>0.5944444444444444</v>
      </c>
      <c r="T6" s="150">
        <v>0.6444444444444445</v>
      </c>
      <c r="U6" s="150">
        <v>0.6611111111111111</v>
      </c>
      <c r="V6" s="150">
        <v>0.6770833333333334</v>
      </c>
      <c r="W6" s="150">
        <v>0.69375</v>
      </c>
      <c r="X6" s="150">
        <v>0.7097222222222223</v>
      </c>
      <c r="Y6" s="150">
        <v>0.7263888888888889</v>
      </c>
      <c r="Z6" s="150">
        <v>0.7423611111111111</v>
      </c>
      <c r="AA6" s="150">
        <v>0.7590277777777777</v>
      </c>
      <c r="AB6" s="150">
        <v>0.7743055555555556</v>
      </c>
      <c r="AC6" s="150">
        <v>0.8048611111111111</v>
      </c>
      <c r="AD6" s="150">
        <v>0.8166666666666667</v>
      </c>
    </row>
    <row r="7">
      <c r="A7" s="7" t="s">
        <v>95</v>
      </c>
      <c r="B7" s="7" t="s">
        <v>96</v>
      </c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</row>
    <row r="8">
      <c r="A8" s="7" t="s">
        <v>97</v>
      </c>
      <c r="B8" s="7" t="s">
        <v>98</v>
      </c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</row>
    <row r="9">
      <c r="A9" s="7" t="s">
        <v>99</v>
      </c>
      <c r="B9" s="7" t="s">
        <v>100</v>
      </c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</row>
    <row r="10">
      <c r="A10" s="7" t="s">
        <v>101</v>
      </c>
      <c r="B10" s="7" t="s">
        <v>102</v>
      </c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</row>
    <row r="11">
      <c r="A11" s="7" t="s">
        <v>20</v>
      </c>
      <c r="B11" s="7" t="s">
        <v>21</v>
      </c>
      <c r="C11" s="150">
        <v>0.2263888888888889</v>
      </c>
      <c r="D11" s="150">
        <v>0.2423611111111111</v>
      </c>
      <c r="E11" s="150">
        <v>0.2590277777777778</v>
      </c>
      <c r="F11" s="150">
        <v>0.275</v>
      </c>
      <c r="G11" s="150">
        <v>0.2916666666666667</v>
      </c>
      <c r="H11" s="150">
        <v>0.3076388888888889</v>
      </c>
      <c r="I11" s="150">
        <v>0.32430555555555557</v>
      </c>
      <c r="J11" s="150">
        <v>0.3402777777777778</v>
      </c>
      <c r="K11" s="150">
        <v>0.35694444444444445</v>
      </c>
      <c r="L11" s="150">
        <v>0.3729166666666667</v>
      </c>
      <c r="M11" s="150">
        <v>0.40555555555555556</v>
      </c>
      <c r="N11" s="150">
        <v>0.45416666666666666</v>
      </c>
      <c r="O11" s="150">
        <v>0.4798611111111111</v>
      </c>
      <c r="P11" s="150">
        <v>0.5027777777777778</v>
      </c>
      <c r="Q11" s="150">
        <v>0.5513888888888889</v>
      </c>
      <c r="R11" s="150">
        <v>0.5770833333333333</v>
      </c>
      <c r="S11" s="150">
        <v>0.6</v>
      </c>
      <c r="T11" s="150">
        <v>0.65</v>
      </c>
      <c r="U11" s="150">
        <v>0.6666666666666666</v>
      </c>
      <c r="V11" s="150">
        <v>0.6826388888888889</v>
      </c>
      <c r="W11" s="150">
        <v>0.6993055555555555</v>
      </c>
      <c r="X11" s="150">
        <v>0.7152777777777778</v>
      </c>
      <c r="Y11" s="150">
        <v>0.7319444444444444</v>
      </c>
      <c r="Z11" s="150">
        <v>0.7479166666666667</v>
      </c>
      <c r="AA11" s="150">
        <v>0.7645833333333333</v>
      </c>
      <c r="AB11" s="150">
        <v>0.7798611111111111</v>
      </c>
      <c r="AC11" s="150">
        <v>0.8104166666666667</v>
      </c>
      <c r="AD11" s="150">
        <v>0.8222222222222222</v>
      </c>
    </row>
    <row r="12">
      <c r="A12" s="7" t="s">
        <v>103</v>
      </c>
      <c r="B12" s="7" t="s">
        <v>104</v>
      </c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</row>
    <row r="13">
      <c r="A13" s="7" t="s">
        <v>18</v>
      </c>
      <c r="B13" s="7" t="s">
        <v>19</v>
      </c>
      <c r="C13" s="150">
        <v>0.2298611111111111</v>
      </c>
      <c r="D13" s="150">
        <v>0.24583333333333332</v>
      </c>
      <c r="E13" s="150">
        <v>0.2625</v>
      </c>
      <c r="F13" s="150">
        <v>0.27847222222222223</v>
      </c>
      <c r="G13" s="150">
        <v>0.2951388888888889</v>
      </c>
      <c r="H13" s="150">
        <v>0.3111111111111111</v>
      </c>
      <c r="I13" s="150">
        <v>0.3277777777777778</v>
      </c>
      <c r="J13" s="150">
        <v>0.34375</v>
      </c>
      <c r="K13" s="150">
        <v>0.36041666666666666</v>
      </c>
      <c r="L13" s="150">
        <v>0.3763888888888889</v>
      </c>
      <c r="M13" s="150">
        <v>0.40902777777777777</v>
      </c>
      <c r="N13" s="150">
        <v>0.4576388888888889</v>
      </c>
      <c r="O13" s="150">
        <v>0.48333333333333334</v>
      </c>
      <c r="P13" s="150">
        <v>0.50625</v>
      </c>
      <c r="Q13" s="150">
        <v>0.5548611111111111</v>
      </c>
      <c r="R13" s="150">
        <v>0.5805555555555556</v>
      </c>
      <c r="S13" s="150">
        <v>0.6034722222222222</v>
      </c>
      <c r="T13" s="150">
        <v>0.6534722222222222</v>
      </c>
      <c r="U13" s="150">
        <v>0.6701388888888888</v>
      </c>
      <c r="V13" s="150">
        <v>0.6861111111111111</v>
      </c>
      <c r="W13" s="150">
        <v>0.7027777777777777</v>
      </c>
      <c r="X13" s="150">
        <v>0.71875</v>
      </c>
      <c r="Y13" s="150">
        <v>0.7354166666666667</v>
      </c>
      <c r="Z13" s="150">
        <v>0.7513888888888889</v>
      </c>
      <c r="AA13" s="150">
        <v>0.7680555555555556</v>
      </c>
      <c r="AB13" s="150">
        <v>0.7833333333333333</v>
      </c>
      <c r="AC13" s="150">
        <v>0.8138888888888889</v>
      </c>
      <c r="AD13" s="150">
        <v>0.8256944444444444</v>
      </c>
    </row>
    <row r="14">
      <c r="A14" s="7" t="s">
        <v>105</v>
      </c>
      <c r="B14" s="7" t="s">
        <v>106</v>
      </c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</row>
    <row r="15">
      <c r="A15" s="7" t="s">
        <v>16</v>
      </c>
      <c r="B15" s="7" t="s">
        <v>17</v>
      </c>
      <c r="C15" s="150">
        <v>0.23472222222222222</v>
      </c>
      <c r="D15" s="150">
        <v>0.25069444444444444</v>
      </c>
      <c r="E15" s="150">
        <v>0.2673611111111111</v>
      </c>
      <c r="F15" s="150">
        <v>0.2833333333333333</v>
      </c>
      <c r="G15" s="150">
        <v>0.3</v>
      </c>
      <c r="H15" s="150">
        <v>0.3159722222222222</v>
      </c>
      <c r="I15" s="150">
        <v>0.3326388888888889</v>
      </c>
      <c r="J15" s="150">
        <v>0.3486111111111111</v>
      </c>
      <c r="K15" s="150">
        <v>0.36527777777777776</v>
      </c>
      <c r="L15" s="150">
        <v>0.38125</v>
      </c>
      <c r="M15" s="150">
        <v>0.41388888888888886</v>
      </c>
      <c r="N15" s="150">
        <v>0.4625</v>
      </c>
      <c r="O15" s="150">
        <v>0.48819444444444443</v>
      </c>
      <c r="P15" s="150">
        <v>0.5111111111111111</v>
      </c>
      <c r="Q15" s="150">
        <v>0.5597222222222222</v>
      </c>
      <c r="R15" s="150">
        <v>0.5854166666666667</v>
      </c>
      <c r="S15" s="150">
        <v>0.6083333333333333</v>
      </c>
      <c r="T15" s="150">
        <v>0.6583333333333333</v>
      </c>
      <c r="U15" s="150">
        <v>0.675</v>
      </c>
      <c r="V15" s="150">
        <v>0.6909722222222222</v>
      </c>
      <c r="W15" s="150">
        <v>0.7076388888888889</v>
      </c>
      <c r="X15" s="150">
        <v>0.7236111111111111</v>
      </c>
      <c r="Y15" s="150">
        <v>0.7402777777777778</v>
      </c>
      <c r="Z15" s="150">
        <v>0.75625</v>
      </c>
      <c r="AA15" s="150">
        <v>0.7729166666666667</v>
      </c>
      <c r="AB15" s="150">
        <v>0.7881944444444444</v>
      </c>
      <c r="AC15" s="150">
        <v>0.81875</v>
      </c>
      <c r="AD15" s="150">
        <v>0.8305555555555556</v>
      </c>
    </row>
    <row r="16">
      <c r="A16" s="7" t="s">
        <v>14</v>
      </c>
      <c r="B16" s="7" t="s">
        <v>15</v>
      </c>
      <c r="C16" s="150">
        <v>0.2375</v>
      </c>
      <c r="D16" s="150">
        <v>0.2534722222222222</v>
      </c>
      <c r="E16" s="150">
        <v>0.2701388888888889</v>
      </c>
      <c r="F16" s="150">
        <v>0.2861111111111111</v>
      </c>
      <c r="G16" s="150">
        <v>0.30277777777777776</v>
      </c>
      <c r="H16" s="150">
        <v>0.31875</v>
      </c>
      <c r="I16" s="150">
        <v>0.33541666666666664</v>
      </c>
      <c r="J16" s="150">
        <v>0.35138888888888886</v>
      </c>
      <c r="K16" s="150">
        <v>0.3680555555555556</v>
      </c>
      <c r="L16" s="150">
        <v>0.3840277777777778</v>
      </c>
      <c r="M16" s="150">
        <v>0.4166666666666667</v>
      </c>
      <c r="N16" s="150">
        <v>0.4652777777777778</v>
      </c>
      <c r="O16" s="150">
        <v>0.4909722222222222</v>
      </c>
      <c r="P16" s="150">
        <v>0.5138888888888888</v>
      </c>
      <c r="Q16" s="150">
        <v>0.5625</v>
      </c>
      <c r="R16" s="150">
        <v>0.5881944444444445</v>
      </c>
      <c r="S16" s="150">
        <v>0.6111111111111112</v>
      </c>
      <c r="T16" s="150">
        <v>0.6611111111111111</v>
      </c>
      <c r="U16" s="150">
        <v>0.6777777777777778</v>
      </c>
      <c r="V16" s="150">
        <v>0.69375</v>
      </c>
      <c r="W16" s="150">
        <v>0.7104166666666667</v>
      </c>
      <c r="X16" s="150">
        <v>0.7263888888888889</v>
      </c>
      <c r="Y16" s="150">
        <v>0.7430555555555556</v>
      </c>
      <c r="Z16" s="150">
        <v>0.7590277777777777</v>
      </c>
      <c r="AA16" s="150">
        <v>0.7756944444444445</v>
      </c>
      <c r="AB16" s="150">
        <v>0.7909722222222222</v>
      </c>
      <c r="AC16" s="150">
        <v>0.8215277777777777</v>
      </c>
      <c r="AD16" s="150">
        <v>0.8333333333333334</v>
      </c>
    </row>
    <row r="17">
      <c r="A17" s="7" t="s">
        <v>12</v>
      </c>
      <c r="B17" s="7" t="s">
        <v>13</v>
      </c>
      <c r="C17" s="150">
        <v>0.24097222222222223</v>
      </c>
      <c r="D17" s="150">
        <v>0.2569444444444444</v>
      </c>
      <c r="E17" s="150">
        <v>0.27361111111111114</v>
      </c>
      <c r="F17" s="150">
        <v>0.28958333333333336</v>
      </c>
      <c r="G17" s="150">
        <v>0.30625</v>
      </c>
      <c r="H17" s="150">
        <v>0.32222222222222224</v>
      </c>
      <c r="I17" s="150">
        <v>0.3388888888888889</v>
      </c>
      <c r="J17" s="150">
        <v>0.3548611111111111</v>
      </c>
      <c r="K17" s="150">
        <v>0.3715277777777778</v>
      </c>
      <c r="L17" s="150">
        <v>0.3875</v>
      </c>
      <c r="M17" s="150">
        <v>0.4201388888888889</v>
      </c>
      <c r="N17" s="150">
        <v>0.46875</v>
      </c>
      <c r="O17" s="150">
        <v>0.49444444444444446</v>
      </c>
      <c r="P17" s="150">
        <v>0.5173611111111112</v>
      </c>
      <c r="Q17" s="150">
        <v>0.5659722222222222</v>
      </c>
      <c r="R17" s="150">
        <v>0.5916666666666667</v>
      </c>
      <c r="S17" s="150">
        <v>0.6145833333333334</v>
      </c>
      <c r="T17" s="150">
        <v>0.6645833333333333</v>
      </c>
      <c r="U17" s="150">
        <v>0.68125</v>
      </c>
      <c r="V17" s="150">
        <v>0.6972222222222222</v>
      </c>
      <c r="W17" s="150">
        <v>0.7138888888888889</v>
      </c>
      <c r="X17" s="150">
        <v>0.7298611111111111</v>
      </c>
      <c r="Y17" s="150">
        <v>0.7465277777777778</v>
      </c>
      <c r="Z17" s="150">
        <v>0.7625</v>
      </c>
      <c r="AA17" s="150">
        <v>0.7791666666666667</v>
      </c>
      <c r="AB17" s="150">
        <v>0.7944444444444444</v>
      </c>
      <c r="AC17" s="150">
        <v>0.825</v>
      </c>
      <c r="AD17" s="150">
        <v>0.8368055555555556</v>
      </c>
    </row>
    <row r="18">
      <c r="A18" s="7" t="s">
        <v>107</v>
      </c>
      <c r="B18" s="7" t="s">
        <v>108</v>
      </c>
      <c r="C18" s="150">
        <v>0.24583333333333332</v>
      </c>
      <c r="D18" s="150">
        <v>0.26180555555555557</v>
      </c>
      <c r="E18" s="150">
        <v>0.27847222222222223</v>
      </c>
      <c r="F18" s="150">
        <v>0.29444444444444445</v>
      </c>
      <c r="G18" s="150">
        <v>0.3111111111111111</v>
      </c>
      <c r="H18" s="150">
        <v>0.32708333333333334</v>
      </c>
      <c r="I18" s="150">
        <v>0.34375</v>
      </c>
      <c r="J18" s="150">
        <v>0.3597222222222222</v>
      </c>
      <c r="K18" s="150">
        <v>0.3763888888888889</v>
      </c>
      <c r="L18" s="150">
        <v>0.3923611111111111</v>
      </c>
      <c r="M18" s="150">
        <v>0.425</v>
      </c>
      <c r="N18" s="150">
        <v>0.4736111111111111</v>
      </c>
      <c r="O18" s="150">
        <v>0.49930555555555556</v>
      </c>
      <c r="P18" s="150">
        <v>0.5222222222222223</v>
      </c>
      <c r="Q18" s="150">
        <v>0.5708333333333333</v>
      </c>
      <c r="R18" s="150">
        <v>0.5965277777777778</v>
      </c>
      <c r="S18" s="150">
        <v>0.6194444444444445</v>
      </c>
      <c r="T18" s="150">
        <v>0.6694444444444444</v>
      </c>
      <c r="U18" s="150">
        <v>0.6861111111111111</v>
      </c>
      <c r="V18" s="150">
        <v>0.7020833333333333</v>
      </c>
      <c r="W18" s="150">
        <v>0.71875</v>
      </c>
      <c r="X18" s="150">
        <v>0.7347222222222223</v>
      </c>
      <c r="Y18" s="150">
        <v>0.7513888888888889</v>
      </c>
      <c r="Z18" s="150">
        <v>0.7673611111111112</v>
      </c>
      <c r="AA18" s="150">
        <v>0.7840277777777778</v>
      </c>
      <c r="AB18" s="150">
        <v>0.7993055555555556</v>
      </c>
      <c r="AC18" s="150">
        <v>0.8298611111111112</v>
      </c>
      <c r="AD18" s="150">
        <v>0.8416666666666667</v>
      </c>
    </row>
    <row r="19">
      <c r="A19" s="7" t="s">
        <v>109</v>
      </c>
      <c r="B19" s="82" t="s">
        <v>110</v>
      </c>
      <c r="C19" s="150">
        <v>0.24930555555555556</v>
      </c>
      <c r="D19" s="150">
        <v>0.2652777777777778</v>
      </c>
      <c r="E19" s="150">
        <v>0.28194444444444444</v>
      </c>
      <c r="F19" s="150">
        <v>0.29791666666666666</v>
      </c>
      <c r="G19" s="150">
        <v>0.3145833333333333</v>
      </c>
      <c r="H19" s="150">
        <v>0.33055555555555555</v>
      </c>
      <c r="I19" s="150">
        <v>0.3472222222222222</v>
      </c>
      <c r="J19" s="150">
        <v>0.36319444444444443</v>
      </c>
      <c r="K19" s="150">
        <v>0.3798611111111111</v>
      </c>
      <c r="L19" s="150">
        <v>0.3958333333333333</v>
      </c>
      <c r="M19" s="150">
        <v>0.4284722222222222</v>
      </c>
      <c r="N19" s="150">
        <v>0.47708333333333336</v>
      </c>
      <c r="O19" s="150">
        <v>0.5027777777777778</v>
      </c>
      <c r="P19" s="150">
        <v>0.5256944444444445</v>
      </c>
      <c r="Q19" s="150">
        <v>0.5743055555555555</v>
      </c>
      <c r="R19" s="150">
        <v>0.6</v>
      </c>
      <c r="S19" s="150">
        <v>0.6229166666666667</v>
      </c>
      <c r="T19" s="150">
        <v>0.6729166666666667</v>
      </c>
      <c r="U19" s="150">
        <v>0.6895833333333333</v>
      </c>
      <c r="V19" s="150">
        <v>0.7055555555555556</v>
      </c>
      <c r="W19" s="150">
        <v>0.7222222222222222</v>
      </c>
      <c r="X19" s="150">
        <v>0.7381944444444445</v>
      </c>
      <c r="Y19" s="150">
        <v>0.7548611111111111</v>
      </c>
      <c r="Z19" s="150">
        <v>0.7708333333333334</v>
      </c>
      <c r="AA19" s="150">
        <v>0.7875</v>
      </c>
      <c r="AB19" s="150">
        <v>0.8027777777777778</v>
      </c>
      <c r="AC19" s="150">
        <v>0.8333333333333334</v>
      </c>
      <c r="AD19" s="150">
        <v>0.8451388888888889</v>
      </c>
    </row>
    <row r="20">
      <c r="A20" s="7" t="s">
        <v>111</v>
      </c>
      <c r="B20" s="7" t="s">
        <v>112</v>
      </c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</row>
    <row r="21">
      <c r="A21" s="7" t="s">
        <v>113</v>
      </c>
      <c r="B21" s="7" t="s">
        <v>114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</row>
    <row r="22">
      <c r="A22" s="7" t="s">
        <v>115</v>
      </c>
      <c r="B22" s="7" t="s">
        <v>116</v>
      </c>
      <c r="C22" s="150">
        <v>0.25833333333333336</v>
      </c>
      <c r="D22" s="150">
        <v>0.2743055555555556</v>
      </c>
      <c r="E22" s="150">
        <v>0.29097222222222224</v>
      </c>
      <c r="F22" s="150">
        <v>0.30694444444444446</v>
      </c>
      <c r="G22" s="150">
        <v>0.3236111111111111</v>
      </c>
      <c r="H22" s="150">
        <v>0.33958333333333335</v>
      </c>
      <c r="I22" s="150">
        <v>0.35625</v>
      </c>
      <c r="J22" s="150">
        <v>0.37222222222222223</v>
      </c>
      <c r="K22" s="150">
        <v>0.3888888888888889</v>
      </c>
      <c r="L22" s="150">
        <v>0.4048611111111111</v>
      </c>
      <c r="M22" s="150">
        <v>0.4375</v>
      </c>
      <c r="N22" s="150">
        <v>0.4861111111111111</v>
      </c>
      <c r="O22" s="150">
        <v>0.5118055555555555</v>
      </c>
      <c r="P22" s="150">
        <v>0.5347222222222222</v>
      </c>
      <c r="Q22" s="150">
        <v>0.5833333333333334</v>
      </c>
      <c r="R22" s="150">
        <v>0.6090277777777777</v>
      </c>
      <c r="S22" s="150">
        <v>0.6319444444444444</v>
      </c>
      <c r="T22" s="150">
        <v>0.6819444444444445</v>
      </c>
      <c r="U22" s="150">
        <v>0.6986111111111111</v>
      </c>
      <c r="V22" s="150">
        <v>0.7145833333333333</v>
      </c>
      <c r="W22" s="150">
        <v>0.73125</v>
      </c>
      <c r="X22" s="150">
        <v>0.7472222222222222</v>
      </c>
      <c r="Y22" s="150">
        <v>0.7638888888888888</v>
      </c>
      <c r="Z22" s="150">
        <v>0.7798611111111111</v>
      </c>
      <c r="AA22" s="150">
        <v>0.7965277777777777</v>
      </c>
      <c r="AB22" s="150">
        <v>0.8118055555555556</v>
      </c>
      <c r="AC22" s="150">
        <v>0.8423611111111111</v>
      </c>
      <c r="AD22" s="150">
        <v>0.8541666666666666</v>
      </c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</row>
    <row r="24"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49"/>
      <c r="V25" s="49"/>
      <c r="W25" s="49"/>
    </row>
    <row r="26">
      <c r="A26" s="11"/>
      <c r="B26" s="11"/>
    </row>
    <row r="27">
      <c r="A27" s="13"/>
      <c r="B27" s="14"/>
    </row>
    <row r="28">
      <c r="A28" s="13"/>
      <c r="B28" s="14"/>
    </row>
    <row r="29">
      <c r="A29" s="13"/>
      <c r="B29" s="14"/>
    </row>
    <row r="30">
      <c r="A30" s="13"/>
      <c r="B30" s="14"/>
    </row>
    <row r="31">
      <c r="A31" s="13"/>
      <c r="B31" s="14"/>
    </row>
    <row r="32">
      <c r="A32" s="13"/>
      <c r="B32" s="14"/>
    </row>
    <row r="33">
      <c r="A33" s="13"/>
      <c r="B33" s="14"/>
    </row>
    <row r="34">
      <c r="A34" s="13"/>
      <c r="B34" s="14"/>
    </row>
    <row r="35">
      <c r="A35" s="13"/>
      <c r="B35" s="14"/>
    </row>
    <row r="36">
      <c r="A36" s="13"/>
      <c r="B36" s="14"/>
    </row>
    <row r="37">
      <c r="A37" s="13"/>
      <c r="B37" s="14"/>
    </row>
    <row r="38">
      <c r="A38" s="13"/>
      <c r="B38" s="14"/>
    </row>
    <row r="39">
      <c r="A39" s="13"/>
      <c r="B39" s="14"/>
    </row>
    <row r="40">
      <c r="A40" s="13"/>
      <c r="B40" s="14"/>
    </row>
    <row r="41">
      <c r="A41" s="13"/>
      <c r="B41" s="14"/>
    </row>
    <row r="42">
      <c r="A42" s="13"/>
      <c r="B42" s="14"/>
    </row>
    <row r="43">
      <c r="A43" s="13"/>
      <c r="B43" s="14"/>
    </row>
    <row r="44">
      <c r="A44" s="13"/>
      <c r="B44" s="14"/>
    </row>
    <row r="45">
      <c r="A45" s="13"/>
      <c r="B45" s="14"/>
    </row>
    <row r="46">
      <c r="A46" s="13"/>
      <c r="B46" s="14"/>
    </row>
    <row r="47">
      <c r="A47" s="13"/>
      <c r="B47" s="14"/>
    </row>
    <row r="48">
      <c r="A48" s="13"/>
      <c r="B48" s="14"/>
    </row>
    <row r="49">
      <c r="A49" s="13"/>
      <c r="B49" s="14"/>
    </row>
    <row r="50">
      <c r="A50" s="13"/>
      <c r="B50" s="14"/>
    </row>
    <row r="51">
      <c r="A51" s="13"/>
      <c r="B51" s="14"/>
    </row>
    <row r="52">
      <c r="A52" s="13"/>
      <c r="B52" s="14"/>
    </row>
    <row r="53">
      <c r="A53" s="13"/>
      <c r="B53" s="14"/>
    </row>
    <row r="54">
      <c r="A54" s="13"/>
      <c r="B54" s="14"/>
    </row>
    <row r="55">
      <c r="A55" s="13"/>
      <c r="B55" s="14"/>
    </row>
    <row r="56">
      <c r="A56" s="13"/>
      <c r="B56" s="14"/>
    </row>
    <row r="57">
      <c r="A57" s="13"/>
      <c r="B57" s="14"/>
    </row>
    <row r="58">
      <c r="A58" s="13"/>
      <c r="B58" s="1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'PTA-to-MAB_Weekday'!B1</f>
        <v>46055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1" t="s">
        <v>2</v>
      </c>
      <c r="B2" s="1" t="s">
        <v>3</v>
      </c>
      <c r="C2" s="149">
        <v>1800.0</v>
      </c>
      <c r="D2" s="149">
        <v>1802.0</v>
      </c>
      <c r="E2" s="149">
        <v>1804.0</v>
      </c>
      <c r="F2" s="149">
        <v>1806.0</v>
      </c>
      <c r="G2" s="149">
        <v>1808.0</v>
      </c>
      <c r="H2" s="149">
        <v>1810.0</v>
      </c>
      <c r="I2" s="149">
        <v>1812.0</v>
      </c>
      <c r="J2" s="149">
        <v>1814.0</v>
      </c>
      <c r="K2" s="149">
        <v>1816.0</v>
      </c>
      <c r="L2" s="149">
        <v>1818.0</v>
      </c>
      <c r="M2" s="149">
        <v>1820.0</v>
      </c>
      <c r="N2" s="149">
        <v>1822.0</v>
      </c>
      <c r="O2" s="149">
        <v>1824.0</v>
      </c>
      <c r="P2" s="149">
        <v>1826.0</v>
      </c>
      <c r="Q2" s="149">
        <v>1836.0</v>
      </c>
      <c r="R2" s="149">
        <v>1828.0</v>
      </c>
      <c r="S2" s="149">
        <v>1830.0</v>
      </c>
      <c r="T2" s="149">
        <v>1838.0</v>
      </c>
      <c r="U2" s="149">
        <v>1832.0</v>
      </c>
      <c r="V2" s="149">
        <v>1834.0</v>
      </c>
      <c r="W2" s="149">
        <v>1840.0</v>
      </c>
      <c r="X2" s="149">
        <v>1850.0</v>
      </c>
      <c r="Y2" s="149">
        <v>1852.0</v>
      </c>
      <c r="Z2" s="149">
        <v>1854.0</v>
      </c>
      <c r="AA2" s="149">
        <v>1856.0</v>
      </c>
      <c r="AB2" s="149">
        <v>1858.0</v>
      </c>
      <c r="AC2" s="149">
        <v>1860.0</v>
      </c>
      <c r="AD2" s="149">
        <v>1862.0</v>
      </c>
      <c r="AE2" s="149">
        <v>1864.0</v>
      </c>
      <c r="AF2" s="3"/>
    </row>
    <row r="3">
      <c r="A3" s="5" t="s">
        <v>115</v>
      </c>
      <c r="B3" s="60" t="s">
        <v>116</v>
      </c>
      <c r="C3" s="93">
        <v>0.16805555555555557</v>
      </c>
      <c r="D3" s="93">
        <v>0.1840277777777778</v>
      </c>
      <c r="E3" s="93">
        <v>0.20069444444444445</v>
      </c>
      <c r="F3" s="93">
        <v>0.21666666666666667</v>
      </c>
      <c r="G3" s="93">
        <v>0.23333333333333334</v>
      </c>
      <c r="H3" s="93">
        <v>0.24930555555555556</v>
      </c>
      <c r="I3" s="93">
        <v>0.2659722222222222</v>
      </c>
      <c r="J3" s="93">
        <v>0.28194444444444444</v>
      </c>
      <c r="K3" s="93">
        <v>0.2986111111111111</v>
      </c>
      <c r="L3" s="93">
        <v>0.3145833333333333</v>
      </c>
      <c r="M3" s="93">
        <v>0.33125</v>
      </c>
      <c r="N3" s="93">
        <v>0.3472222222222222</v>
      </c>
      <c r="O3" s="93">
        <v>0.3638888888888889</v>
      </c>
      <c r="P3" s="93">
        <v>0.3958333333333333</v>
      </c>
      <c r="Q3" s="93">
        <v>0.4215277777777778</v>
      </c>
      <c r="R3" s="93">
        <v>0.4444444444444444</v>
      </c>
      <c r="S3" s="93">
        <v>0.4930555555555556</v>
      </c>
      <c r="T3" s="93">
        <v>0.51875</v>
      </c>
      <c r="U3" s="93">
        <v>0.5416666666666666</v>
      </c>
      <c r="V3" s="93">
        <v>0.5902777777777778</v>
      </c>
      <c r="W3" s="93">
        <v>0.6215277777777778</v>
      </c>
      <c r="X3" s="93">
        <v>0.6402777777777777</v>
      </c>
      <c r="Y3" s="93">
        <v>0.6576388888888889</v>
      </c>
      <c r="Z3" s="93">
        <v>0.6729166666666667</v>
      </c>
      <c r="AA3" s="93">
        <v>0.6895833333333333</v>
      </c>
      <c r="AB3" s="93">
        <v>0.70625</v>
      </c>
      <c r="AC3" s="93">
        <v>0.7222222222222222</v>
      </c>
      <c r="AD3" s="93">
        <v>0.7381944444444445</v>
      </c>
      <c r="AE3" s="93">
        <v>0.7548611111111111</v>
      </c>
    </row>
    <row r="4">
      <c r="A4" s="7" t="s">
        <v>113</v>
      </c>
      <c r="B4" s="9" t="s">
        <v>114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</row>
    <row r="5">
      <c r="A5" s="7" t="s">
        <v>111</v>
      </c>
      <c r="B5" s="9" t="s">
        <v>112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</row>
    <row r="6">
      <c r="A6" s="7" t="s">
        <v>109</v>
      </c>
      <c r="B6" s="9" t="s">
        <v>110</v>
      </c>
      <c r="C6" s="150">
        <v>0.1763888888888889</v>
      </c>
      <c r="D6" s="150">
        <v>0.19236111111111112</v>
      </c>
      <c r="E6" s="150">
        <v>0.20902777777777778</v>
      </c>
      <c r="F6" s="150">
        <v>0.225</v>
      </c>
      <c r="G6" s="150">
        <v>0.24166666666666667</v>
      </c>
      <c r="H6" s="150">
        <v>0.25763888888888886</v>
      </c>
      <c r="I6" s="150">
        <v>0.2743055555555556</v>
      </c>
      <c r="J6" s="150">
        <v>0.2902777777777778</v>
      </c>
      <c r="K6" s="150">
        <v>0.30694444444444446</v>
      </c>
      <c r="L6" s="150">
        <v>0.3229166666666667</v>
      </c>
      <c r="M6" s="150">
        <v>0.33958333333333335</v>
      </c>
      <c r="N6" s="150">
        <v>0.35555555555555557</v>
      </c>
      <c r="O6" s="150">
        <v>0.37222222222222223</v>
      </c>
      <c r="P6" s="150">
        <v>0.4041666666666667</v>
      </c>
      <c r="Q6" s="150">
        <v>0.42986111111111114</v>
      </c>
      <c r="R6" s="150">
        <v>0.4527777777777778</v>
      </c>
      <c r="S6" s="150">
        <v>0.5013888888888889</v>
      </c>
      <c r="T6" s="150">
        <v>0.5270833333333333</v>
      </c>
      <c r="U6" s="150">
        <v>0.55</v>
      </c>
      <c r="V6" s="150">
        <v>0.5986111111111111</v>
      </c>
      <c r="W6" s="150">
        <v>0.6298611111111111</v>
      </c>
      <c r="X6" s="150">
        <v>0.6486111111111111</v>
      </c>
      <c r="Y6" s="150">
        <v>0.6659722222222222</v>
      </c>
      <c r="Z6" s="150">
        <v>0.68125</v>
      </c>
      <c r="AA6" s="150">
        <v>0.6979166666666666</v>
      </c>
      <c r="AB6" s="150">
        <v>0.7145833333333333</v>
      </c>
      <c r="AC6" s="150">
        <v>0.7305555555555555</v>
      </c>
      <c r="AD6" s="150">
        <v>0.7465277777777778</v>
      </c>
      <c r="AE6" s="150">
        <v>0.7631944444444444</v>
      </c>
    </row>
    <row r="7">
      <c r="A7" s="7" t="s">
        <v>107</v>
      </c>
      <c r="B7" s="9" t="s">
        <v>108</v>
      </c>
      <c r="C7" s="150">
        <v>0.18055555555555555</v>
      </c>
      <c r="D7" s="150">
        <v>0.19652777777777777</v>
      </c>
      <c r="E7" s="150">
        <v>0.21319444444444444</v>
      </c>
      <c r="F7" s="150">
        <v>0.22916666666666666</v>
      </c>
      <c r="G7" s="150">
        <v>0.24583333333333332</v>
      </c>
      <c r="H7" s="150">
        <v>0.26180555555555557</v>
      </c>
      <c r="I7" s="150">
        <v>0.27847222222222223</v>
      </c>
      <c r="J7" s="150">
        <v>0.29444444444444445</v>
      </c>
      <c r="K7" s="150">
        <v>0.3111111111111111</v>
      </c>
      <c r="L7" s="150">
        <v>0.32708333333333334</v>
      </c>
      <c r="M7" s="150">
        <v>0.34375</v>
      </c>
      <c r="N7" s="150">
        <v>0.3597222222222222</v>
      </c>
      <c r="O7" s="150">
        <v>0.3763888888888889</v>
      </c>
      <c r="P7" s="150">
        <v>0.4083333333333333</v>
      </c>
      <c r="Q7" s="150">
        <v>0.4340277777777778</v>
      </c>
      <c r="R7" s="150">
        <v>0.45694444444444443</v>
      </c>
      <c r="S7" s="150">
        <v>0.5055555555555555</v>
      </c>
      <c r="T7" s="150">
        <v>0.53125</v>
      </c>
      <c r="U7" s="150">
        <v>0.5541666666666667</v>
      </c>
      <c r="V7" s="150">
        <v>0.6027777777777777</v>
      </c>
      <c r="W7" s="150">
        <v>0.6340277777777777</v>
      </c>
      <c r="X7" s="150">
        <v>0.6527777777777778</v>
      </c>
      <c r="Y7" s="150">
        <v>0.6701388888888888</v>
      </c>
      <c r="Z7" s="150">
        <v>0.6854166666666667</v>
      </c>
      <c r="AA7" s="150">
        <v>0.7020833333333333</v>
      </c>
      <c r="AB7" s="150">
        <v>0.71875</v>
      </c>
      <c r="AC7" s="150">
        <v>0.7347222222222223</v>
      </c>
      <c r="AD7" s="150">
        <v>0.7506944444444444</v>
      </c>
      <c r="AE7" s="150">
        <v>0.7673611111111112</v>
      </c>
    </row>
    <row r="8">
      <c r="A8" s="7" t="s">
        <v>12</v>
      </c>
      <c r="B8" s="9" t="s">
        <v>13</v>
      </c>
      <c r="C8" s="150">
        <v>0.18541666666666667</v>
      </c>
      <c r="D8" s="150">
        <v>0.2013888888888889</v>
      </c>
      <c r="E8" s="150">
        <v>0.21805555555555556</v>
      </c>
      <c r="F8" s="150">
        <v>0.23402777777777778</v>
      </c>
      <c r="G8" s="150">
        <v>0.25069444444444444</v>
      </c>
      <c r="H8" s="150">
        <v>0.26666666666666666</v>
      </c>
      <c r="I8" s="150">
        <v>0.2833333333333333</v>
      </c>
      <c r="J8" s="150">
        <v>0.29930555555555555</v>
      </c>
      <c r="K8" s="150">
        <v>0.3159722222222222</v>
      </c>
      <c r="L8" s="150">
        <v>0.33194444444444443</v>
      </c>
      <c r="M8" s="150">
        <v>0.3486111111111111</v>
      </c>
      <c r="N8" s="150">
        <v>0.3645833333333333</v>
      </c>
      <c r="O8" s="150">
        <v>0.38125</v>
      </c>
      <c r="P8" s="150">
        <v>0.4131944444444444</v>
      </c>
      <c r="Q8" s="150">
        <v>0.4388888888888889</v>
      </c>
      <c r="R8" s="150">
        <v>0.4618055555555556</v>
      </c>
      <c r="S8" s="150">
        <v>0.5104166666666666</v>
      </c>
      <c r="T8" s="150">
        <v>0.5361111111111111</v>
      </c>
      <c r="U8" s="150">
        <v>0.5590277777777778</v>
      </c>
      <c r="V8" s="150">
        <v>0.6076388888888888</v>
      </c>
      <c r="W8" s="150">
        <v>0.6388888888888888</v>
      </c>
      <c r="X8" s="150">
        <v>0.6576388888888889</v>
      </c>
      <c r="Y8" s="150">
        <v>0.675</v>
      </c>
      <c r="Z8" s="150">
        <v>0.6902777777777778</v>
      </c>
      <c r="AA8" s="150">
        <v>0.7069444444444445</v>
      </c>
      <c r="AB8" s="150">
        <v>0.7236111111111111</v>
      </c>
      <c r="AC8" s="150">
        <v>0.7395833333333334</v>
      </c>
      <c r="AD8" s="150">
        <v>0.7555555555555555</v>
      </c>
      <c r="AE8" s="150">
        <v>0.7722222222222223</v>
      </c>
    </row>
    <row r="9">
      <c r="A9" s="7" t="s">
        <v>14</v>
      </c>
      <c r="B9" s="9" t="s">
        <v>15</v>
      </c>
      <c r="C9" s="150">
        <v>0.18958333333333333</v>
      </c>
      <c r="D9" s="150">
        <v>0.20555555555555555</v>
      </c>
      <c r="E9" s="150">
        <v>0.2222222222222222</v>
      </c>
      <c r="F9" s="150">
        <v>0.23819444444444443</v>
      </c>
      <c r="G9" s="150">
        <v>0.2548611111111111</v>
      </c>
      <c r="H9" s="150">
        <v>0.2708333333333333</v>
      </c>
      <c r="I9" s="150">
        <v>0.2875</v>
      </c>
      <c r="J9" s="150">
        <v>0.3034722222222222</v>
      </c>
      <c r="K9" s="150">
        <v>0.32013888888888886</v>
      </c>
      <c r="L9" s="150">
        <v>0.33611111111111114</v>
      </c>
      <c r="M9" s="150">
        <v>0.3527777777777778</v>
      </c>
      <c r="N9" s="150">
        <v>0.36875</v>
      </c>
      <c r="O9" s="150">
        <v>0.3854166666666667</v>
      </c>
      <c r="P9" s="150">
        <v>0.4173611111111111</v>
      </c>
      <c r="Q9" s="150">
        <v>0.44305555555555554</v>
      </c>
      <c r="R9" s="150">
        <v>0.46597222222222223</v>
      </c>
      <c r="S9" s="150">
        <v>0.5145833333333333</v>
      </c>
      <c r="T9" s="150">
        <v>0.5402777777777777</v>
      </c>
      <c r="U9" s="150">
        <v>0.5631944444444444</v>
      </c>
      <c r="V9" s="150">
        <v>0.6118055555555556</v>
      </c>
      <c r="W9" s="150">
        <v>0.6430555555555556</v>
      </c>
      <c r="X9" s="150">
        <v>0.6618055555555555</v>
      </c>
      <c r="Y9" s="150">
        <v>0.6791666666666667</v>
      </c>
      <c r="Z9" s="150">
        <v>0.6944444444444444</v>
      </c>
      <c r="AA9" s="150">
        <v>0.7111111111111111</v>
      </c>
      <c r="AB9" s="150">
        <v>0.7277777777777777</v>
      </c>
      <c r="AC9" s="150">
        <v>0.74375</v>
      </c>
      <c r="AD9" s="150">
        <v>0.7597222222222222</v>
      </c>
      <c r="AE9" s="150">
        <v>0.7763888888888889</v>
      </c>
    </row>
    <row r="10">
      <c r="A10" s="7" t="s">
        <v>16</v>
      </c>
      <c r="B10" s="9" t="s">
        <v>17</v>
      </c>
      <c r="C10" s="150">
        <v>0.19236111111111112</v>
      </c>
      <c r="D10" s="150">
        <v>0.20833333333333334</v>
      </c>
      <c r="E10" s="150">
        <v>0.225</v>
      </c>
      <c r="F10" s="150">
        <v>0.24097222222222223</v>
      </c>
      <c r="G10" s="150">
        <v>0.25763888888888886</v>
      </c>
      <c r="H10" s="150">
        <v>0.27361111111111114</v>
      </c>
      <c r="I10" s="150">
        <v>0.2902777777777778</v>
      </c>
      <c r="J10" s="150">
        <v>0.30625</v>
      </c>
      <c r="K10" s="150">
        <v>0.3229166666666667</v>
      </c>
      <c r="L10" s="150">
        <v>0.3388888888888889</v>
      </c>
      <c r="M10" s="150">
        <v>0.35555555555555557</v>
      </c>
      <c r="N10" s="150">
        <v>0.3715277777777778</v>
      </c>
      <c r="O10" s="150">
        <v>0.38819444444444445</v>
      </c>
      <c r="P10" s="150">
        <v>0.4201388888888889</v>
      </c>
      <c r="Q10" s="150">
        <v>0.44583333333333336</v>
      </c>
      <c r="R10" s="150">
        <v>0.46875</v>
      </c>
      <c r="S10" s="150">
        <v>0.5173611111111112</v>
      </c>
      <c r="T10" s="150">
        <v>0.5430555555555555</v>
      </c>
      <c r="U10" s="150">
        <v>0.5659722222222222</v>
      </c>
      <c r="V10" s="150">
        <v>0.6145833333333334</v>
      </c>
      <c r="W10" s="150">
        <v>0.6458333333333334</v>
      </c>
      <c r="X10" s="150">
        <v>0.6645833333333333</v>
      </c>
      <c r="Y10" s="150">
        <v>0.6819444444444445</v>
      </c>
      <c r="Z10" s="150">
        <v>0.6972222222222222</v>
      </c>
      <c r="AA10" s="150">
        <v>0.7138888888888889</v>
      </c>
      <c r="AB10" s="150">
        <v>0.7305555555555555</v>
      </c>
      <c r="AC10" s="150">
        <v>0.7465277777777778</v>
      </c>
      <c r="AD10" s="150">
        <v>0.7625</v>
      </c>
      <c r="AE10" s="150">
        <v>0.7791666666666667</v>
      </c>
    </row>
    <row r="11">
      <c r="A11" s="7" t="s">
        <v>105</v>
      </c>
      <c r="B11" s="9" t="s">
        <v>106</v>
      </c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</row>
    <row r="12">
      <c r="A12" s="7" t="s">
        <v>18</v>
      </c>
      <c r="B12" s="9" t="s">
        <v>19</v>
      </c>
      <c r="C12" s="150">
        <v>0.19722222222222222</v>
      </c>
      <c r="D12" s="150">
        <v>0.21319444444444444</v>
      </c>
      <c r="E12" s="150">
        <v>0.2298611111111111</v>
      </c>
      <c r="F12" s="150">
        <v>0.24583333333333332</v>
      </c>
      <c r="G12" s="150">
        <v>0.2625</v>
      </c>
      <c r="H12" s="150">
        <v>0.27847222222222223</v>
      </c>
      <c r="I12" s="150">
        <v>0.2951388888888889</v>
      </c>
      <c r="J12" s="150">
        <v>0.3111111111111111</v>
      </c>
      <c r="K12" s="150">
        <v>0.3277777777777778</v>
      </c>
      <c r="L12" s="150">
        <v>0.34375</v>
      </c>
      <c r="M12" s="150">
        <v>0.36041666666666666</v>
      </c>
      <c r="N12" s="150">
        <v>0.3763888888888889</v>
      </c>
      <c r="O12" s="150">
        <v>0.39305555555555555</v>
      </c>
      <c r="P12" s="150">
        <v>0.425</v>
      </c>
      <c r="Q12" s="150">
        <v>0.45069444444444445</v>
      </c>
      <c r="R12" s="150">
        <v>0.4736111111111111</v>
      </c>
      <c r="S12" s="150">
        <v>0.5222222222222223</v>
      </c>
      <c r="T12" s="150">
        <v>0.5479166666666667</v>
      </c>
      <c r="U12" s="150">
        <v>0.5708333333333333</v>
      </c>
      <c r="V12" s="150">
        <v>0.6194444444444445</v>
      </c>
      <c r="W12" s="150">
        <v>0.6506944444444445</v>
      </c>
      <c r="X12" s="150">
        <v>0.6694444444444444</v>
      </c>
      <c r="Y12" s="150">
        <v>0.6868055555555556</v>
      </c>
      <c r="Z12" s="150">
        <v>0.7020833333333333</v>
      </c>
      <c r="AA12" s="150">
        <v>0.71875</v>
      </c>
      <c r="AB12" s="150">
        <v>0.7354166666666667</v>
      </c>
      <c r="AC12" s="150">
        <v>0.7513888888888889</v>
      </c>
      <c r="AD12" s="150">
        <v>0.7673611111111112</v>
      </c>
      <c r="AE12" s="150">
        <v>0.7840277777777778</v>
      </c>
    </row>
    <row r="13">
      <c r="A13" s="7" t="s">
        <v>103</v>
      </c>
      <c r="B13" s="9" t="s">
        <v>104</v>
      </c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</row>
    <row r="14">
      <c r="A14" s="7" t="s">
        <v>20</v>
      </c>
      <c r="B14" s="9" t="s">
        <v>21</v>
      </c>
      <c r="C14" s="150">
        <v>0.20069444444444445</v>
      </c>
      <c r="D14" s="150">
        <v>0.21666666666666667</v>
      </c>
      <c r="E14" s="150">
        <v>0.23333333333333334</v>
      </c>
      <c r="F14" s="150">
        <v>0.24930555555555556</v>
      </c>
      <c r="G14" s="150">
        <v>0.2659722222222222</v>
      </c>
      <c r="H14" s="150">
        <v>0.28194444444444444</v>
      </c>
      <c r="I14" s="150">
        <v>0.2986111111111111</v>
      </c>
      <c r="J14" s="150">
        <v>0.3145833333333333</v>
      </c>
      <c r="K14" s="150">
        <v>0.33125</v>
      </c>
      <c r="L14" s="150">
        <v>0.3472222222222222</v>
      </c>
      <c r="M14" s="150">
        <v>0.3638888888888889</v>
      </c>
      <c r="N14" s="150">
        <v>0.3798611111111111</v>
      </c>
      <c r="O14" s="150">
        <v>0.39652777777777776</v>
      </c>
      <c r="P14" s="150">
        <v>0.4284722222222222</v>
      </c>
      <c r="Q14" s="150">
        <v>0.45416666666666666</v>
      </c>
      <c r="R14" s="150">
        <v>0.47708333333333336</v>
      </c>
      <c r="S14" s="150">
        <v>0.5256944444444445</v>
      </c>
      <c r="T14" s="150">
        <v>0.5513888888888889</v>
      </c>
      <c r="U14" s="150">
        <v>0.5743055555555555</v>
      </c>
      <c r="V14" s="150">
        <v>0.6229166666666667</v>
      </c>
      <c r="W14" s="150">
        <v>0.6541666666666667</v>
      </c>
      <c r="X14" s="150">
        <v>0.6729166666666667</v>
      </c>
      <c r="Y14" s="150">
        <v>0.6902777777777778</v>
      </c>
      <c r="Z14" s="150">
        <v>0.7055555555555556</v>
      </c>
      <c r="AA14" s="150">
        <v>0.7222222222222222</v>
      </c>
      <c r="AB14" s="150">
        <v>0.7388888888888889</v>
      </c>
      <c r="AC14" s="150">
        <v>0.7548611111111111</v>
      </c>
      <c r="AD14" s="150">
        <v>0.7708333333333334</v>
      </c>
      <c r="AE14" s="150">
        <v>0.7875</v>
      </c>
    </row>
    <row r="15">
      <c r="A15" s="7" t="s">
        <v>101</v>
      </c>
      <c r="B15" s="9" t="s">
        <v>102</v>
      </c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</row>
    <row r="16">
      <c r="A16" s="7" t="s">
        <v>99</v>
      </c>
      <c r="B16" s="9" t="s">
        <v>100</v>
      </c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</row>
    <row r="17">
      <c r="A17" s="7" t="s">
        <v>97</v>
      </c>
      <c r="B17" s="9" t="s">
        <v>98</v>
      </c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</row>
    <row r="18">
      <c r="A18" s="7" t="s">
        <v>95</v>
      </c>
      <c r="B18" s="9" t="s">
        <v>96</v>
      </c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</row>
    <row r="19">
      <c r="A19" s="7" t="s">
        <v>22</v>
      </c>
      <c r="B19" s="9" t="s">
        <v>23</v>
      </c>
      <c r="C19" s="150">
        <v>0.20555555555555555</v>
      </c>
      <c r="D19" s="150">
        <v>0.22152777777777777</v>
      </c>
      <c r="E19" s="150">
        <v>0.23819444444444443</v>
      </c>
      <c r="F19" s="150">
        <v>0.25416666666666665</v>
      </c>
      <c r="G19" s="150">
        <v>0.2708333333333333</v>
      </c>
      <c r="H19" s="150">
        <v>0.28680555555555554</v>
      </c>
      <c r="I19" s="150">
        <v>0.3034722222222222</v>
      </c>
      <c r="J19" s="150">
        <v>0.3194444444444444</v>
      </c>
      <c r="K19" s="150">
        <v>0.33611111111111114</v>
      </c>
      <c r="L19" s="150">
        <v>0.35208333333333336</v>
      </c>
      <c r="M19" s="150">
        <v>0.36875</v>
      </c>
      <c r="N19" s="150">
        <v>0.38472222222222224</v>
      </c>
      <c r="O19" s="150">
        <v>0.4013888888888889</v>
      </c>
      <c r="P19" s="150">
        <v>0.43333333333333335</v>
      </c>
      <c r="Q19" s="150">
        <v>0.45902777777777776</v>
      </c>
      <c r="R19" s="150">
        <v>0.48194444444444445</v>
      </c>
      <c r="S19" s="150">
        <v>0.5305555555555556</v>
      </c>
      <c r="T19" s="150">
        <v>0.55625</v>
      </c>
      <c r="U19" s="150">
        <v>0.5791666666666667</v>
      </c>
      <c r="V19" s="150">
        <v>0.6277777777777778</v>
      </c>
      <c r="W19" s="150">
        <v>0.6590277777777778</v>
      </c>
      <c r="X19" s="150">
        <v>0.6777777777777778</v>
      </c>
      <c r="Y19" s="150">
        <v>0.6951388888888889</v>
      </c>
      <c r="Z19" s="150">
        <v>0.7104166666666667</v>
      </c>
      <c r="AA19" s="150">
        <v>0.7270833333333333</v>
      </c>
      <c r="AB19" s="150">
        <v>0.74375</v>
      </c>
      <c r="AC19" s="150">
        <v>0.7597222222222222</v>
      </c>
      <c r="AD19" s="150">
        <v>0.7756944444444445</v>
      </c>
      <c r="AE19" s="150">
        <v>0.7923611111111111</v>
      </c>
    </row>
    <row r="20">
      <c r="A20" s="7" t="s">
        <v>93</v>
      </c>
      <c r="B20" s="9" t="s">
        <v>94</v>
      </c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</row>
    <row r="21">
      <c r="A21" s="7" t="s">
        <v>91</v>
      </c>
      <c r="B21" s="9" t="s">
        <v>92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</row>
    <row r="22">
      <c r="A22" s="7" t="s">
        <v>24</v>
      </c>
      <c r="B22" s="10" t="s">
        <v>25</v>
      </c>
      <c r="C22" s="150">
        <v>0.20972222222222223</v>
      </c>
      <c r="D22" s="150">
        <v>0.22569444444444445</v>
      </c>
      <c r="E22" s="150">
        <v>0.2423611111111111</v>
      </c>
      <c r="F22" s="150">
        <v>0.25833333333333336</v>
      </c>
      <c r="G22" s="150">
        <v>0.275</v>
      </c>
      <c r="H22" s="150">
        <v>0.29097222222222224</v>
      </c>
      <c r="I22" s="150">
        <v>0.3076388888888889</v>
      </c>
      <c r="J22" s="150">
        <v>0.3236111111111111</v>
      </c>
      <c r="K22" s="150">
        <v>0.3402777777777778</v>
      </c>
      <c r="L22" s="150">
        <v>0.35625</v>
      </c>
      <c r="M22" s="150">
        <v>0.3729166666666667</v>
      </c>
      <c r="N22" s="150">
        <v>0.3888888888888889</v>
      </c>
      <c r="O22" s="150">
        <v>0.40555555555555556</v>
      </c>
      <c r="P22" s="150">
        <v>0.4375</v>
      </c>
      <c r="Q22" s="150">
        <v>0.46319444444444446</v>
      </c>
      <c r="R22" s="150">
        <v>0.4861111111111111</v>
      </c>
      <c r="S22" s="150">
        <v>0.5347222222222222</v>
      </c>
      <c r="T22" s="150">
        <v>0.5604166666666667</v>
      </c>
      <c r="U22" s="150">
        <v>0.5833333333333334</v>
      </c>
      <c r="V22" s="150">
        <v>0.6319444444444444</v>
      </c>
      <c r="W22" s="150">
        <v>0.6631944444444444</v>
      </c>
      <c r="X22" s="150">
        <v>0.6819444444444445</v>
      </c>
      <c r="Y22" s="150">
        <v>0.6993055555555555</v>
      </c>
      <c r="Z22" s="150">
        <v>0.7145833333333333</v>
      </c>
      <c r="AA22" s="150">
        <v>0.73125</v>
      </c>
      <c r="AB22" s="150">
        <v>0.7479166666666667</v>
      </c>
      <c r="AC22" s="150">
        <v>0.7638888888888888</v>
      </c>
      <c r="AD22" s="150">
        <v>0.7798611111111111</v>
      </c>
      <c r="AE22" s="150">
        <v>0.7965277777777777</v>
      </c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</row>
    <row r="24">
      <c r="A24" s="11"/>
      <c r="B24" s="11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</row>
    <row r="25"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</row>
    <row r="26"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</row>
    <row r="27"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</row>
    <row r="28"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</row>
    <row r="29"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</row>
    <row r="30"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</row>
    <row r="31"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</row>
    <row r="32"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</row>
    <row r="33"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</row>
    <row r="34"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</row>
    <row r="35"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</row>
    <row r="36"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  <c r="AB36" s="150"/>
      <c r="AC36" s="150"/>
      <c r="AD36" s="150"/>
      <c r="AE36" s="150"/>
    </row>
    <row r="37"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  <c r="AC37" s="150"/>
      <c r="AD37" s="150"/>
      <c r="AE37" s="150"/>
    </row>
    <row r="38"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  <c r="AC38" s="150"/>
      <c r="AD38" s="150"/>
      <c r="AE38" s="150"/>
    </row>
    <row r="39"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</row>
    <row r="40"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</row>
    <row r="41"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  <c r="AB41" s="150"/>
      <c r="AC41" s="150"/>
      <c r="AD41" s="150"/>
      <c r="AE41" s="150"/>
    </row>
    <row r="42"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  <c r="AB42" s="150"/>
      <c r="AC42" s="150"/>
      <c r="AD42" s="150"/>
      <c r="AE42" s="150"/>
    </row>
    <row r="43"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50"/>
      <c r="AB43" s="150"/>
      <c r="AC43" s="150"/>
      <c r="AD43" s="150"/>
      <c r="AE43" s="150"/>
    </row>
    <row r="44">
      <c r="B44" s="10"/>
      <c r="C44" s="150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</row>
    <row r="45"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7"/>
    </row>
    <row r="46">
      <c r="C46" s="150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</row>
    <row r="47">
      <c r="A47" s="11"/>
      <c r="B47" s="11"/>
      <c r="C47" s="11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7"/>
    </row>
    <row r="48">
      <c r="A48" s="13"/>
      <c r="B48" s="14"/>
      <c r="C48" s="12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>
      <c r="A49" s="13"/>
      <c r="B49" s="14"/>
      <c r="C49" s="12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7"/>
      <c r="U49" s="17"/>
    </row>
    <row r="50">
      <c r="A50" s="13"/>
      <c r="B50" s="14"/>
      <c r="C50" s="12"/>
    </row>
    <row r="51">
      <c r="A51" s="13"/>
      <c r="B51" s="14"/>
      <c r="C51" s="12"/>
    </row>
    <row r="52">
      <c r="A52" s="13"/>
      <c r="B52" s="14"/>
      <c r="C52" s="12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</row>
    <row r="53">
      <c r="A53" s="13"/>
      <c r="B53" s="14"/>
      <c r="C53" s="12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</row>
    <row r="54">
      <c r="A54" s="13"/>
      <c r="B54" s="14"/>
      <c r="C54" s="12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</row>
    <row r="55">
      <c r="A55" s="13"/>
      <c r="B55" s="14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>
      <c r="A56" s="13"/>
      <c r="B56" s="14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>
      <c r="A57" s="13"/>
      <c r="B57" s="14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>
      <c r="C58" s="150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>
      <c r="C59" s="150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>
      <c r="C60" s="150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>
      <c r="C61" s="150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>
      <c r="B62" s="1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1" t="s">
        <v>0</v>
      </c>
      <c r="B1" s="151" t="s">
        <v>196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1803.0</v>
      </c>
      <c r="D2" s="1">
        <v>1805.0</v>
      </c>
      <c r="E2" s="1">
        <v>1821.0</v>
      </c>
      <c r="F2" s="1">
        <v>1823.0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  <c r="AA2" s="3"/>
    </row>
    <row r="3">
      <c r="A3" s="5" t="s">
        <v>24</v>
      </c>
      <c r="B3" s="6" t="str">
        <f>'PTA-to-PIEN_Sat'!B3</f>
        <v>-25.75864361043285, 28.189866445989118</v>
      </c>
      <c r="C3" s="6">
        <v>0.25</v>
      </c>
      <c r="D3" s="6">
        <v>0.375</v>
      </c>
      <c r="E3" s="6">
        <v>0.6354166666666666</v>
      </c>
      <c r="F3" s="6">
        <v>0.7777777777777778</v>
      </c>
      <c r="G3" s="6"/>
      <c r="H3" s="81"/>
      <c r="I3" s="6"/>
      <c r="J3" s="81"/>
      <c r="K3" s="6"/>
      <c r="L3" s="6"/>
      <c r="M3" s="6"/>
      <c r="N3" s="6"/>
      <c r="O3" s="6"/>
      <c r="P3" s="6"/>
      <c r="Q3" s="6"/>
      <c r="R3" s="6"/>
      <c r="S3" s="6"/>
    </row>
    <row r="4">
      <c r="A4" s="7" t="s">
        <v>91</v>
      </c>
      <c r="B4" s="7" t="s">
        <v>92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7" t="s">
        <v>93</v>
      </c>
      <c r="B5" s="7" t="s">
        <v>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>
      <c r="A6" s="7" t="s">
        <v>22</v>
      </c>
      <c r="B6" s="7" t="s">
        <v>23</v>
      </c>
      <c r="C6" s="8">
        <v>0.25416666666666665</v>
      </c>
      <c r="D6" s="8">
        <v>0.37916666666666665</v>
      </c>
      <c r="E6" s="8">
        <v>0.6395833333333333</v>
      </c>
      <c r="F6" s="8">
        <v>0.7819444444444444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>
      <c r="A7" s="7" t="s">
        <v>95</v>
      </c>
      <c r="B7" s="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>
      <c r="A8" s="7" t="s">
        <v>97</v>
      </c>
      <c r="B8" s="7" t="s">
        <v>98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>
      <c r="A9" s="7" t="s">
        <v>99</v>
      </c>
      <c r="B9" s="7" t="s">
        <v>100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7" t="s">
        <v>101</v>
      </c>
      <c r="B10" s="7" t="s">
        <v>102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7" t="s">
        <v>20</v>
      </c>
      <c r="B11" s="7" t="s">
        <v>21</v>
      </c>
      <c r="C11" s="8">
        <v>0.25972222222222224</v>
      </c>
      <c r="D11" s="8">
        <v>0.38472222222222224</v>
      </c>
      <c r="E11" s="8">
        <v>0.6451388888888889</v>
      </c>
      <c r="F11" s="8">
        <v>0.7875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7" t="s">
        <v>18</v>
      </c>
      <c r="B13" s="7" t="s">
        <v>19</v>
      </c>
      <c r="C13" s="8">
        <v>0.26319444444444445</v>
      </c>
      <c r="D13" s="8">
        <v>0.38819444444444445</v>
      </c>
      <c r="E13" s="8">
        <v>0.6486111111111111</v>
      </c>
      <c r="F13" s="8">
        <v>0.7909722222222222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>
      <c r="A14" s="7" t="s">
        <v>105</v>
      </c>
      <c r="B14" s="7" t="s">
        <v>106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>
      <c r="A15" s="7" t="s">
        <v>16</v>
      </c>
      <c r="B15" s="7" t="s">
        <v>17</v>
      </c>
      <c r="C15" s="8">
        <v>0.26805555555555555</v>
      </c>
      <c r="D15" s="8">
        <v>0.39305555555555555</v>
      </c>
      <c r="E15" s="8">
        <v>0.6534722222222222</v>
      </c>
      <c r="F15" s="8">
        <v>0.7958333333333333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>
      <c r="A16" s="7" t="s">
        <v>14</v>
      </c>
      <c r="B16" s="7" t="s">
        <v>15</v>
      </c>
      <c r="C16" s="8">
        <v>0.2708333333333333</v>
      </c>
      <c r="D16" s="8">
        <v>0.3958333333333333</v>
      </c>
      <c r="E16" s="8">
        <v>0.65625</v>
      </c>
      <c r="F16" s="8">
        <v>0.7986111111111112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7" t="s">
        <v>12</v>
      </c>
      <c r="B17" s="7" t="s">
        <v>13</v>
      </c>
      <c r="C17" s="8">
        <v>0.2743055555555556</v>
      </c>
      <c r="D17" s="8">
        <v>0.3993055555555556</v>
      </c>
      <c r="E17" s="8">
        <v>0.6597222222222222</v>
      </c>
      <c r="F17" s="8">
        <v>0.8020833333333334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>
      <c r="A18" s="7" t="s">
        <v>107</v>
      </c>
      <c r="B18" s="7" t="s">
        <v>108</v>
      </c>
      <c r="C18" s="8">
        <v>0.2791666666666667</v>
      </c>
      <c r="D18" s="8">
        <v>0.4041666666666667</v>
      </c>
      <c r="E18" s="8">
        <v>0.6645833333333333</v>
      </c>
      <c r="F18" s="8">
        <v>0.8069444444444445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>
      <c r="A19" s="7" t="s">
        <v>109</v>
      </c>
      <c r="B19" s="82" t="s">
        <v>110</v>
      </c>
      <c r="C19" s="8">
        <v>0.2826388888888889</v>
      </c>
      <c r="D19" s="8">
        <v>0.4076388888888889</v>
      </c>
      <c r="E19" s="8">
        <v>0.6680555555555555</v>
      </c>
      <c r="F19" s="8">
        <v>0.8104166666666667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>
      <c r="A20" s="7" t="s">
        <v>111</v>
      </c>
      <c r="B20" s="7" t="s">
        <v>112</v>
      </c>
    </row>
    <row r="21">
      <c r="A21" s="7" t="s">
        <v>113</v>
      </c>
      <c r="B21" s="7" t="s">
        <v>114</v>
      </c>
    </row>
    <row r="22">
      <c r="A22" s="7" t="s">
        <v>115</v>
      </c>
      <c r="B22" s="7" t="s">
        <v>116</v>
      </c>
      <c r="C22" s="8">
        <v>0.2916666666666667</v>
      </c>
      <c r="D22" s="8">
        <v>0.4166666666666667</v>
      </c>
      <c r="E22" s="8">
        <v>0.6770833333333334</v>
      </c>
      <c r="F22" s="8">
        <v>0.8194444444444444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4">
      <c r="B24" s="11"/>
      <c r="C24" s="11"/>
      <c r="D24" s="11"/>
      <c r="E24" s="11"/>
      <c r="S24" s="8"/>
    </row>
    <row r="26">
      <c r="S26" s="8"/>
    </row>
    <row r="28">
      <c r="S28" s="8"/>
    </row>
    <row r="30">
      <c r="S30" s="8"/>
    </row>
    <row r="31">
      <c r="A31" s="11"/>
    </row>
    <row r="32">
      <c r="A32" s="13"/>
      <c r="B32" s="14"/>
      <c r="C32" s="14"/>
      <c r="D32" s="14"/>
      <c r="E32" s="14"/>
      <c r="S32" s="8"/>
    </row>
    <row r="33">
      <c r="A33" s="13"/>
      <c r="B33" s="14"/>
      <c r="C33" s="14"/>
      <c r="D33" s="14"/>
      <c r="E33" s="14"/>
    </row>
    <row r="34">
      <c r="A34" s="13"/>
      <c r="B34" s="14"/>
      <c r="C34" s="14"/>
      <c r="D34" s="14"/>
      <c r="E34" s="14"/>
      <c r="S34" s="8"/>
    </row>
    <row r="35">
      <c r="A35" s="13"/>
      <c r="B35" s="14"/>
      <c r="C35" s="14"/>
      <c r="D35" s="14"/>
      <c r="E35" s="14"/>
    </row>
    <row r="36">
      <c r="A36" s="13"/>
      <c r="B36" s="14"/>
      <c r="C36" s="14"/>
      <c r="D36" s="14"/>
      <c r="E36" s="14"/>
      <c r="S36" s="8"/>
    </row>
    <row r="37">
      <c r="A37" s="13"/>
      <c r="B37" s="14"/>
      <c r="C37" s="14"/>
      <c r="D37" s="14"/>
      <c r="E37" s="14"/>
    </row>
    <row r="38">
      <c r="A38" s="13"/>
      <c r="B38" s="14"/>
      <c r="C38" s="14"/>
      <c r="D38" s="14"/>
      <c r="E38" s="14"/>
      <c r="S38" s="8"/>
    </row>
    <row r="39">
      <c r="A39" s="13"/>
      <c r="B39" s="14"/>
      <c r="C39" s="14"/>
      <c r="D39" s="14"/>
      <c r="E39" s="14"/>
    </row>
    <row r="40">
      <c r="A40" s="13"/>
      <c r="B40" s="14"/>
      <c r="C40" s="14"/>
      <c r="D40" s="14"/>
      <c r="E40" s="14"/>
      <c r="S40" s="8"/>
    </row>
    <row r="41">
      <c r="A41" s="13"/>
      <c r="B41" s="14"/>
      <c r="C41" s="14"/>
      <c r="D41" s="14"/>
      <c r="E41" s="14"/>
    </row>
    <row r="42">
      <c r="S42" s="8"/>
    </row>
    <row r="44">
      <c r="S44" s="8"/>
    </row>
    <row r="46">
      <c r="S46" s="8"/>
    </row>
    <row r="48">
      <c r="S48" s="8"/>
    </row>
    <row r="50">
      <c r="S50" s="8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'PTA-to-MAB_Sat'!B1</f>
        <v>Unspecified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1800.0</v>
      </c>
      <c r="D2" s="1">
        <v>1802.0</v>
      </c>
      <c r="E2" s="1">
        <v>1822.0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5" t="s">
        <v>115</v>
      </c>
      <c r="B3" s="60" t="s">
        <v>116</v>
      </c>
      <c r="C3" s="6">
        <v>0.2013888888888889</v>
      </c>
      <c r="D3" s="6">
        <v>0.3055555555555556</v>
      </c>
      <c r="E3" s="6">
        <v>0.6909722222222222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7" t="s">
        <v>113</v>
      </c>
      <c r="B4" s="9" t="s">
        <v>114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>
      <c r="A5" s="7" t="s">
        <v>111</v>
      </c>
      <c r="B5" s="9" t="s">
        <v>112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>
      <c r="A6" s="7" t="s">
        <v>109</v>
      </c>
      <c r="B6" s="9" t="s">
        <v>110</v>
      </c>
      <c r="C6" s="8">
        <v>0.20972222222222223</v>
      </c>
      <c r="D6" s="8">
        <v>0.3138888888888889</v>
      </c>
      <c r="E6" s="8">
        <v>0.6993055555555555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107</v>
      </c>
      <c r="B7" s="9" t="s">
        <v>108</v>
      </c>
      <c r="C7" s="8">
        <v>0.21388888888888888</v>
      </c>
      <c r="D7" s="8">
        <v>0.31805555555555554</v>
      </c>
      <c r="E7" s="8">
        <v>0.7034722222222223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12</v>
      </c>
      <c r="B8" s="9" t="s">
        <v>13</v>
      </c>
      <c r="C8" s="8">
        <v>0.21875</v>
      </c>
      <c r="D8" s="8">
        <v>0.3229166666666667</v>
      </c>
      <c r="E8" s="8">
        <v>0.7083333333333334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7" t="s">
        <v>14</v>
      </c>
      <c r="B9" s="9" t="s">
        <v>15</v>
      </c>
      <c r="C9" s="8">
        <v>0.22291666666666668</v>
      </c>
      <c r="D9" s="8">
        <v>0.32708333333333334</v>
      </c>
      <c r="E9" s="8">
        <v>0.7125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7" t="s">
        <v>16</v>
      </c>
      <c r="B10" s="9" t="s">
        <v>17</v>
      </c>
      <c r="C10" s="8">
        <v>0.22569444444444445</v>
      </c>
      <c r="D10" s="8">
        <v>0.3298611111111111</v>
      </c>
      <c r="E10" s="8">
        <v>0.7152777777777778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105</v>
      </c>
      <c r="B11" s="9" t="s">
        <v>106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18</v>
      </c>
      <c r="B12" s="9" t="s">
        <v>19</v>
      </c>
      <c r="C12" s="8">
        <v>0.23055555555555557</v>
      </c>
      <c r="D12" s="8">
        <v>0.3347222222222222</v>
      </c>
      <c r="E12" s="8">
        <v>0.7201388888888889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7" t="s">
        <v>103</v>
      </c>
      <c r="B13" s="9" t="s">
        <v>104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20</v>
      </c>
      <c r="B14" s="9" t="s">
        <v>21</v>
      </c>
      <c r="C14" s="8">
        <v>0.23402777777777778</v>
      </c>
      <c r="D14" s="8">
        <v>0.33819444444444446</v>
      </c>
      <c r="E14" s="8">
        <v>0.7236111111111111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7" t="s">
        <v>101</v>
      </c>
      <c r="B15" s="9" t="s">
        <v>102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7" t="s">
        <v>99</v>
      </c>
      <c r="B16" s="9" t="s">
        <v>100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97</v>
      </c>
      <c r="B17" s="9" t="s">
        <v>98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95</v>
      </c>
      <c r="B18" s="9" t="s">
        <v>96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22</v>
      </c>
      <c r="B19" s="9" t="s">
        <v>23</v>
      </c>
      <c r="C19" s="8">
        <v>0.2388888888888889</v>
      </c>
      <c r="D19" s="8">
        <v>0.34305555555555556</v>
      </c>
      <c r="E19" s="8">
        <v>0.7284722222222222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93</v>
      </c>
      <c r="B20" s="9" t="s">
        <v>94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7" t="s">
        <v>91</v>
      </c>
      <c r="B21" s="9" t="s">
        <v>92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7" t="s">
        <v>24</v>
      </c>
      <c r="B22" s="10" t="s">
        <v>25</v>
      </c>
      <c r="C22" s="8">
        <v>0.24305555555555555</v>
      </c>
      <c r="D22" s="8">
        <v>0.3472222222222222</v>
      </c>
      <c r="E22" s="8">
        <v>0.7326388888888888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T23" s="8"/>
    </row>
    <row r="24">
      <c r="T24" s="8"/>
    </row>
    <row r="25">
      <c r="T25" s="8"/>
    </row>
    <row r="26">
      <c r="B26" s="8"/>
      <c r="T26" s="8"/>
    </row>
    <row r="27">
      <c r="T27" s="8"/>
    </row>
    <row r="28">
      <c r="T28" s="8"/>
    </row>
    <row r="29">
      <c r="T29" s="8"/>
    </row>
    <row r="30">
      <c r="B30" s="11"/>
      <c r="C30" s="11"/>
      <c r="D30" s="11"/>
      <c r="E30" s="11"/>
      <c r="T30" s="8"/>
    </row>
    <row r="31">
      <c r="B31" s="13"/>
      <c r="C31" s="14"/>
      <c r="D31" s="14"/>
      <c r="E31" s="14"/>
      <c r="T31" s="8"/>
    </row>
    <row r="32">
      <c r="B32" s="13"/>
      <c r="C32" s="14"/>
      <c r="D32" s="14"/>
      <c r="E32" s="14"/>
      <c r="T32" s="8"/>
    </row>
    <row r="33">
      <c r="B33" s="13"/>
      <c r="C33" s="14"/>
      <c r="D33" s="14"/>
      <c r="E33" s="14"/>
      <c r="T33" s="8"/>
    </row>
    <row r="34">
      <c r="B34" s="13"/>
      <c r="C34" s="14"/>
      <c r="D34" s="14"/>
      <c r="E34" s="14"/>
      <c r="T34" s="8"/>
    </row>
    <row r="35">
      <c r="B35" s="13"/>
      <c r="C35" s="14"/>
      <c r="D35" s="14"/>
      <c r="E35" s="14"/>
      <c r="T35" s="8"/>
    </row>
    <row r="36">
      <c r="B36" s="13"/>
      <c r="C36" s="14"/>
      <c r="D36" s="14"/>
      <c r="E36" s="14"/>
      <c r="T36" s="8"/>
    </row>
    <row r="37">
      <c r="B37" s="13"/>
      <c r="C37" s="14"/>
      <c r="D37" s="14"/>
      <c r="E37" s="14"/>
      <c r="T37" s="8"/>
    </row>
    <row r="38">
      <c r="B38" s="13"/>
      <c r="C38" s="14"/>
      <c r="D38" s="14"/>
      <c r="E38" s="14"/>
      <c r="T38" s="8"/>
    </row>
    <row r="39">
      <c r="B39" s="13"/>
      <c r="C39" s="14"/>
      <c r="D39" s="14"/>
      <c r="E39" s="14"/>
      <c r="T39" s="8"/>
    </row>
    <row r="40">
      <c r="B40" s="13"/>
      <c r="C40" s="14"/>
      <c r="D40" s="14"/>
      <c r="E40" s="14"/>
      <c r="T40" s="8"/>
    </row>
    <row r="41">
      <c r="T41" s="8"/>
    </row>
    <row r="42">
      <c r="T42" s="8"/>
    </row>
    <row r="43">
      <c r="T43" s="8"/>
    </row>
    <row r="44">
      <c r="T44" s="8"/>
    </row>
    <row r="45">
      <c r="T45" s="8"/>
    </row>
    <row r="46">
      <c r="T46" s="8"/>
    </row>
    <row r="47">
      <c r="T47" s="8"/>
    </row>
    <row r="48">
      <c r="T48" s="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8">
        <v>46055.0</v>
      </c>
      <c r="C1" s="96" t="s">
        <v>186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2" t="s">
        <v>197</v>
      </c>
      <c r="D2" s="152" t="s">
        <v>198</v>
      </c>
      <c r="E2" s="152" t="s">
        <v>199</v>
      </c>
      <c r="F2" s="152" t="s">
        <v>200</v>
      </c>
      <c r="G2" s="152" t="s">
        <v>201</v>
      </c>
      <c r="H2" s="152" t="s">
        <v>202</v>
      </c>
      <c r="I2" s="152" t="s">
        <v>203</v>
      </c>
      <c r="J2" s="152" t="s">
        <v>204</v>
      </c>
      <c r="K2" s="152" t="s">
        <v>205</v>
      </c>
      <c r="L2" s="152" t="s">
        <v>206</v>
      </c>
      <c r="M2" s="152" t="s">
        <v>207</v>
      </c>
      <c r="N2" s="152" t="s">
        <v>208</v>
      </c>
      <c r="O2" s="152" t="s">
        <v>209</v>
      </c>
      <c r="P2" s="152" t="s">
        <v>210</v>
      </c>
      <c r="Q2" s="152" t="s">
        <v>211</v>
      </c>
      <c r="R2" s="152" t="s">
        <v>212</v>
      </c>
      <c r="S2" s="1"/>
      <c r="T2" s="1"/>
      <c r="U2" s="3"/>
      <c r="V2" s="3"/>
      <c r="W2" s="3"/>
      <c r="X2" s="3"/>
      <c r="Y2" s="3"/>
      <c r="Z2" s="3"/>
      <c r="AA2" s="3"/>
      <c r="AB2" s="3"/>
    </row>
    <row r="3">
      <c r="A3" s="153" t="s">
        <v>49</v>
      </c>
      <c r="B3" s="5" t="s">
        <v>213</v>
      </c>
      <c r="C3" s="6">
        <v>0.19444444444444445</v>
      </c>
      <c r="D3" s="6">
        <v>0.2048611111111111</v>
      </c>
      <c r="E3" s="6">
        <v>0.2708333333333333</v>
      </c>
      <c r="F3" s="6">
        <v>0.3194444444444444</v>
      </c>
      <c r="G3" s="6">
        <v>0.3333333333333333</v>
      </c>
      <c r="H3" s="6">
        <v>0.375</v>
      </c>
      <c r="I3" s="6">
        <v>0.4375</v>
      </c>
      <c r="J3" s="6">
        <v>0.5</v>
      </c>
      <c r="K3" s="6">
        <v>0.5416666666666666</v>
      </c>
      <c r="L3" s="6">
        <v>0.6041666666666666</v>
      </c>
      <c r="M3" s="6">
        <v>0.6493055555555556</v>
      </c>
      <c r="N3" s="6">
        <v>0.6597222222222222</v>
      </c>
      <c r="O3" s="6">
        <v>0.7083333333333334</v>
      </c>
      <c r="P3" s="6">
        <v>0.7534722222222222</v>
      </c>
      <c r="Q3" s="6">
        <v>0.7638888888888888</v>
      </c>
      <c r="R3" s="6">
        <v>0.8194444444444444</v>
      </c>
      <c r="S3" s="154"/>
    </row>
    <row r="4">
      <c r="A4" s="9" t="s">
        <v>48</v>
      </c>
      <c r="B4" s="8" t="s">
        <v>214</v>
      </c>
      <c r="C4" s="10"/>
      <c r="D4" s="10"/>
      <c r="E4" s="10"/>
      <c r="F4" s="10"/>
      <c r="G4" s="10"/>
      <c r="H4" s="10"/>
      <c r="I4" s="10"/>
      <c r="J4" s="10"/>
      <c r="K4" s="8"/>
      <c r="L4" s="8"/>
      <c r="S4" s="154"/>
    </row>
    <row r="5">
      <c r="A5" s="3" t="s">
        <v>47</v>
      </c>
      <c r="B5" s="8" t="s">
        <v>215</v>
      </c>
      <c r="C5" s="10">
        <v>0.20555555555555552</v>
      </c>
      <c r="D5" s="10">
        <v>0.21597222222222218</v>
      </c>
      <c r="E5" s="10">
        <v>0.2819444444444444</v>
      </c>
      <c r="F5" s="10">
        <v>0.3305555555555555</v>
      </c>
      <c r="G5" s="10">
        <v>0.3444444444444444</v>
      </c>
      <c r="H5" s="10">
        <v>0.38611111111111107</v>
      </c>
      <c r="I5" s="10">
        <v>0.44861111111111107</v>
      </c>
      <c r="J5" s="10">
        <v>0.5111111111111111</v>
      </c>
      <c r="K5" s="10">
        <v>0.5527777777777777</v>
      </c>
      <c r="L5" s="10">
        <v>0.6152777777777777</v>
      </c>
      <c r="M5" s="10">
        <v>0.6604166666666667</v>
      </c>
      <c r="N5" s="10">
        <v>0.6708333333333333</v>
      </c>
      <c r="O5" s="10">
        <v>0.7194444444444444</v>
      </c>
      <c r="P5" s="10">
        <v>0.7645833333333333</v>
      </c>
      <c r="Q5" s="10">
        <v>0.7729166666666666</v>
      </c>
      <c r="R5" s="10">
        <v>0.8284722222222222</v>
      </c>
      <c r="S5" s="154"/>
    </row>
    <row r="6">
      <c r="A6" s="9" t="s">
        <v>46</v>
      </c>
      <c r="B6" s="9" t="s">
        <v>216</v>
      </c>
      <c r="S6" s="154"/>
    </row>
    <row r="7">
      <c r="A7" s="9" t="s">
        <v>45</v>
      </c>
      <c r="B7" s="9" t="s">
        <v>217</v>
      </c>
      <c r="S7" s="154"/>
    </row>
    <row r="8">
      <c r="A8" s="3" t="s">
        <v>44</v>
      </c>
      <c r="B8" s="9" t="s">
        <v>218</v>
      </c>
      <c r="C8" s="10">
        <v>0.21458333333333338</v>
      </c>
      <c r="D8" s="10">
        <v>0.22500000000000003</v>
      </c>
      <c r="E8" s="10">
        <v>0.29097222222222224</v>
      </c>
      <c r="F8" s="10">
        <v>0.33958333333333335</v>
      </c>
      <c r="G8" s="10">
        <v>0.35347222222222224</v>
      </c>
      <c r="H8" s="10">
        <v>0.39513888888888893</v>
      </c>
      <c r="I8" s="10">
        <v>0.45763888888888893</v>
      </c>
      <c r="J8" s="10">
        <v>0.5201388888888889</v>
      </c>
      <c r="K8" s="10">
        <v>0.5618055555555556</v>
      </c>
      <c r="L8" s="10">
        <v>0.6243055555555556</v>
      </c>
      <c r="M8" s="10">
        <v>0.6694444444444445</v>
      </c>
      <c r="N8" s="10">
        <v>0.6798611111111111</v>
      </c>
      <c r="O8" s="10">
        <v>0.7284722222222223</v>
      </c>
      <c r="P8" s="10">
        <v>0.7736111111111111</v>
      </c>
      <c r="Q8" s="10">
        <v>0.7812499999999999</v>
      </c>
      <c r="R8" s="10">
        <v>0.8368055555555555</v>
      </c>
      <c r="S8" s="154"/>
    </row>
    <row r="9">
      <c r="A9" s="3" t="s">
        <v>43</v>
      </c>
      <c r="B9" s="9" t="s">
        <v>219</v>
      </c>
      <c r="C9" s="10">
        <v>0.21875000000000003</v>
      </c>
      <c r="D9" s="10">
        <v>0.22916666666666669</v>
      </c>
      <c r="E9" s="10">
        <v>0.2951388888888889</v>
      </c>
      <c r="F9" s="10">
        <v>0.34375</v>
      </c>
      <c r="G9" s="10">
        <v>0.3576388888888889</v>
      </c>
      <c r="H9" s="10">
        <v>0.3993055555555556</v>
      </c>
      <c r="I9" s="10">
        <v>0.4618055555555556</v>
      </c>
      <c r="J9" s="10">
        <v>0.5243055555555556</v>
      </c>
      <c r="K9" s="10">
        <v>0.5659722222222222</v>
      </c>
      <c r="L9" s="10">
        <v>0.6284722222222222</v>
      </c>
      <c r="M9" s="10">
        <v>0.6736111111111112</v>
      </c>
      <c r="N9" s="10">
        <v>0.6840277777777778</v>
      </c>
      <c r="O9" s="10">
        <v>0.732638888888889</v>
      </c>
      <c r="P9" s="10">
        <v>0.7777777777777778</v>
      </c>
      <c r="Q9" s="10">
        <v>0.7847222222222221</v>
      </c>
      <c r="R9" s="10">
        <v>0.8402777777777777</v>
      </c>
      <c r="S9" s="154"/>
    </row>
    <row r="10">
      <c r="A10" s="9" t="s">
        <v>42</v>
      </c>
      <c r="B10" s="9" t="s">
        <v>220</v>
      </c>
      <c r="S10" s="154"/>
    </row>
    <row r="11">
      <c r="A11" s="9" t="s">
        <v>41</v>
      </c>
      <c r="B11" s="9" t="s">
        <v>221</v>
      </c>
      <c r="S11" s="154"/>
    </row>
    <row r="12">
      <c r="A12" s="9" t="s">
        <v>40</v>
      </c>
      <c r="B12" s="9" t="s">
        <v>222</v>
      </c>
      <c r="S12" s="154"/>
    </row>
    <row r="13">
      <c r="A13" s="3" t="s">
        <v>39</v>
      </c>
      <c r="B13" s="7" t="s">
        <v>223</v>
      </c>
      <c r="C13" s="10">
        <v>0.23402777777777775</v>
      </c>
      <c r="D13" s="10">
        <v>0.2444444444444444</v>
      </c>
      <c r="E13" s="10">
        <v>0.3104166666666666</v>
      </c>
      <c r="F13" s="10">
        <v>0.3590277777777777</v>
      </c>
      <c r="G13" s="10">
        <v>0.3729166666666666</v>
      </c>
      <c r="H13" s="10">
        <v>0.4145833333333333</v>
      </c>
      <c r="I13" s="10">
        <v>0.4770833333333333</v>
      </c>
      <c r="J13" s="10">
        <v>0.5395833333333333</v>
      </c>
      <c r="K13" s="10">
        <v>0.5812499999999999</v>
      </c>
      <c r="L13" s="10">
        <v>0.6437499999999999</v>
      </c>
      <c r="M13" s="10">
        <v>0.6888888888888889</v>
      </c>
      <c r="N13" s="10">
        <v>0.6993055555555555</v>
      </c>
      <c r="O13" s="10">
        <v>0.7479166666666667</v>
      </c>
      <c r="P13" s="10">
        <v>0.7930555555555555</v>
      </c>
      <c r="Q13" s="10">
        <v>0.8006944444444444</v>
      </c>
      <c r="R13" s="10">
        <v>0.85625</v>
      </c>
      <c r="S13" s="154"/>
    </row>
    <row r="14">
      <c r="A14" s="3" t="s">
        <v>38</v>
      </c>
      <c r="B14" s="7" t="s">
        <v>224</v>
      </c>
      <c r="C14" s="10">
        <v>0.23680555555555552</v>
      </c>
      <c r="D14" s="10">
        <v>0.24722222222222218</v>
      </c>
      <c r="E14" s="10">
        <v>0.3131944444444444</v>
      </c>
      <c r="F14" s="10">
        <v>0.3618055555555555</v>
      </c>
      <c r="G14" s="10">
        <v>0.3756944444444444</v>
      </c>
      <c r="H14" s="10">
        <v>0.41736111111111107</v>
      </c>
      <c r="I14" s="10">
        <v>0.47986111111111107</v>
      </c>
      <c r="J14" s="10">
        <v>0.5423611111111111</v>
      </c>
      <c r="K14" s="10">
        <v>0.5840277777777777</v>
      </c>
      <c r="L14" s="10">
        <v>0.6465277777777777</v>
      </c>
      <c r="M14" s="10">
        <v>0.6916666666666667</v>
      </c>
      <c r="N14" s="10">
        <v>0.7020833333333333</v>
      </c>
      <c r="O14" s="10">
        <v>0.7506944444444444</v>
      </c>
      <c r="P14" s="10">
        <v>0.7958333333333333</v>
      </c>
      <c r="Q14" s="10">
        <v>0.804861111111111</v>
      </c>
      <c r="R14" s="10">
        <v>0.8604166666666666</v>
      </c>
      <c r="S14" s="154"/>
    </row>
    <row r="15">
      <c r="A15" s="3" t="s">
        <v>37</v>
      </c>
      <c r="B15" s="7" t="s">
        <v>225</v>
      </c>
      <c r="C15" s="10">
        <v>0.24027777777777773</v>
      </c>
      <c r="D15" s="10">
        <v>0.2506944444444444</v>
      </c>
      <c r="E15" s="10">
        <v>0.3166666666666666</v>
      </c>
      <c r="F15" s="10">
        <v>0.3652777777777777</v>
      </c>
      <c r="G15" s="10">
        <v>0.3791666666666666</v>
      </c>
      <c r="H15" s="10">
        <v>0.4208333333333333</v>
      </c>
      <c r="I15" s="10">
        <v>0.4833333333333333</v>
      </c>
      <c r="J15" s="10">
        <v>0.5458333333333333</v>
      </c>
      <c r="K15" s="10">
        <v>0.5874999999999999</v>
      </c>
      <c r="L15" s="10">
        <v>0.6499999999999999</v>
      </c>
      <c r="M15" s="10">
        <v>0.6951388888888889</v>
      </c>
      <c r="N15" s="10">
        <v>0.7055555555555555</v>
      </c>
      <c r="O15" s="10">
        <v>0.7541666666666667</v>
      </c>
      <c r="P15" s="10">
        <v>0.7993055555555555</v>
      </c>
      <c r="Q15" s="10">
        <v>0.8090277777777777</v>
      </c>
      <c r="R15" s="10">
        <v>0.8645833333333333</v>
      </c>
      <c r="S15" s="154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10"/>
      <c r="D18" s="10"/>
      <c r="E18" s="10"/>
      <c r="F18" s="10"/>
      <c r="G18" s="10"/>
      <c r="H18" s="10"/>
      <c r="I18" s="10"/>
      <c r="J18" s="10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N19" s="8"/>
      <c r="O19" s="8"/>
      <c r="Q19" s="8"/>
      <c r="R19" s="8"/>
      <c r="S19" s="8"/>
      <c r="T19" s="8"/>
    </row>
    <row r="20">
      <c r="A20" s="10">
        <v>0.0</v>
      </c>
      <c r="S20" s="8"/>
      <c r="T20" s="8"/>
    </row>
    <row r="21">
      <c r="S21" s="8"/>
      <c r="T21" s="8"/>
    </row>
    <row r="22">
      <c r="A22" s="10">
        <v>0.011111111111111072</v>
      </c>
      <c r="S22" s="8"/>
      <c r="T22" s="8"/>
    </row>
    <row r="25">
      <c r="A25" s="10">
        <v>0.009027777777777857</v>
      </c>
    </row>
    <row r="26">
      <c r="A26" s="10">
        <v>0.004166666666666652</v>
      </c>
    </row>
    <row r="30">
      <c r="A30" s="10">
        <v>0.015277777777777724</v>
      </c>
    </row>
    <row r="31">
      <c r="A31" s="10">
        <v>0.002777777777777768</v>
      </c>
    </row>
    <row r="32">
      <c r="A32" s="10">
        <v>0.00347222222222221</v>
      </c>
    </row>
    <row r="33">
      <c r="A33" s="12"/>
      <c r="B33" s="12"/>
      <c r="D33" s="14"/>
    </row>
    <row r="34">
      <c r="A34" s="12"/>
      <c r="B34" s="12"/>
      <c r="D34" s="14"/>
    </row>
    <row r="35">
      <c r="A35" s="12"/>
      <c r="B35" s="12"/>
      <c r="D35" s="14"/>
    </row>
    <row r="36">
      <c r="A36" s="12"/>
      <c r="B36" s="12"/>
      <c r="D36" s="11"/>
    </row>
    <row r="37">
      <c r="A37" s="12"/>
      <c r="B37" s="12"/>
      <c r="D37" s="11"/>
    </row>
    <row r="38">
      <c r="A38" s="12"/>
      <c r="B38" s="12"/>
      <c r="D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1"/>
      <c r="C40" s="11"/>
      <c r="D40" s="11"/>
      <c r="E40" s="11"/>
      <c r="F40" s="11"/>
      <c r="G40" s="11"/>
      <c r="H40" s="11"/>
      <c r="I40" s="11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'GERM-to-LERL_Weekday'!B1</f>
        <v>46055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 t="s">
        <v>2</v>
      </c>
      <c r="B2" s="1" t="s">
        <v>3</v>
      </c>
      <c r="C2" s="152" t="s">
        <v>28</v>
      </c>
      <c r="D2" s="152" t="s">
        <v>226</v>
      </c>
      <c r="E2" s="152" t="s">
        <v>227</v>
      </c>
      <c r="F2" s="152" t="s">
        <v>228</v>
      </c>
      <c r="G2" s="152" t="s">
        <v>229</v>
      </c>
      <c r="H2" s="152" t="s">
        <v>230</v>
      </c>
      <c r="I2" s="152" t="s">
        <v>231</v>
      </c>
      <c r="J2" s="152" t="s">
        <v>232</v>
      </c>
      <c r="K2" s="152" t="s">
        <v>233</v>
      </c>
      <c r="L2" s="152" t="s">
        <v>234</v>
      </c>
      <c r="M2" s="152" t="s">
        <v>235</v>
      </c>
      <c r="N2" s="152" t="s">
        <v>236</v>
      </c>
      <c r="O2" s="152" t="s">
        <v>237</v>
      </c>
      <c r="P2" s="152" t="s">
        <v>238</v>
      </c>
      <c r="Q2" s="152" t="s">
        <v>239</v>
      </c>
      <c r="R2" s="152" t="s">
        <v>240</v>
      </c>
      <c r="S2" s="152" t="s">
        <v>241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4" t="s">
        <v>37</v>
      </c>
      <c r="B3" s="5" t="s">
        <v>225</v>
      </c>
      <c r="C3" s="6">
        <v>0.1527777777777778</v>
      </c>
      <c r="D3" s="6">
        <v>0.21180555555555555</v>
      </c>
      <c r="E3" s="6">
        <v>0.2569444444444444</v>
      </c>
      <c r="F3" s="6">
        <v>0.2708333333333333</v>
      </c>
      <c r="G3" s="6">
        <v>0.3229166666666667</v>
      </c>
      <c r="H3" s="6">
        <v>0.3715277777777778</v>
      </c>
      <c r="I3" s="6">
        <v>0.3888888888888889</v>
      </c>
      <c r="J3" s="6">
        <v>0.4270833333333333</v>
      </c>
      <c r="K3" s="6">
        <v>0.4895833333333333</v>
      </c>
      <c r="L3" s="6">
        <v>0.5520833333333334</v>
      </c>
      <c r="M3" s="6">
        <v>0.59375</v>
      </c>
      <c r="N3" s="6">
        <v>0.65625</v>
      </c>
      <c r="O3" s="6">
        <v>0.7013888888888888</v>
      </c>
      <c r="P3" s="6">
        <v>0.7118055555555556</v>
      </c>
      <c r="Q3" s="6">
        <v>0.7604166666666666</v>
      </c>
      <c r="R3" s="6">
        <v>0.8055555555555556</v>
      </c>
      <c r="S3" s="6">
        <v>0.8159722222222222</v>
      </c>
      <c r="T3" s="155"/>
      <c r="V3" s="10"/>
    </row>
    <row r="4">
      <c r="A4" s="1" t="s">
        <v>38</v>
      </c>
      <c r="B4" s="7" t="s">
        <v>224</v>
      </c>
      <c r="C4" s="8">
        <v>0.15694444444444447</v>
      </c>
      <c r="D4" s="8">
        <v>0.21458333333333332</v>
      </c>
      <c r="E4" s="8">
        <v>0.2597222222222222</v>
      </c>
      <c r="F4" s="8">
        <v>0.2736111111111111</v>
      </c>
      <c r="G4" s="8">
        <v>0.32569444444444445</v>
      </c>
      <c r="H4" s="8">
        <v>0.37430555555555556</v>
      </c>
      <c r="I4" s="8">
        <v>0.39166666666666666</v>
      </c>
      <c r="J4" s="8">
        <v>0.4298611111111111</v>
      </c>
      <c r="K4" s="8">
        <v>0.4923611111111111</v>
      </c>
      <c r="L4" s="8">
        <v>0.5548611111111111</v>
      </c>
      <c r="M4" s="8">
        <v>0.5965277777777778</v>
      </c>
      <c r="N4" s="8">
        <v>0.6590277777777778</v>
      </c>
      <c r="O4" s="8">
        <v>0.7041666666666666</v>
      </c>
      <c r="P4" s="8">
        <v>0.7145833333333333</v>
      </c>
      <c r="Q4" s="8">
        <v>0.7631944444444444</v>
      </c>
      <c r="R4" s="8">
        <v>0.8083333333333333</v>
      </c>
      <c r="S4" s="8">
        <v>0.81875</v>
      </c>
      <c r="T4" s="155"/>
      <c r="V4" s="10"/>
    </row>
    <row r="5">
      <c r="A5" s="1" t="s">
        <v>39</v>
      </c>
      <c r="B5" s="7" t="s">
        <v>223</v>
      </c>
      <c r="C5" s="8">
        <v>0.16111111111111112</v>
      </c>
      <c r="D5" s="8">
        <v>0.2173611111111111</v>
      </c>
      <c r="E5" s="8">
        <v>0.26249999999999996</v>
      </c>
      <c r="F5" s="8">
        <v>0.27638888888888885</v>
      </c>
      <c r="G5" s="8">
        <v>0.3284722222222222</v>
      </c>
      <c r="H5" s="8">
        <v>0.3770833333333333</v>
      </c>
      <c r="I5" s="8">
        <v>0.39444444444444443</v>
      </c>
      <c r="J5" s="8">
        <v>0.43263888888888885</v>
      </c>
      <c r="K5" s="8">
        <v>0.49513888888888885</v>
      </c>
      <c r="L5" s="8">
        <v>0.5576388888888889</v>
      </c>
      <c r="M5" s="8">
        <v>0.5993055555555555</v>
      </c>
      <c r="N5" s="8">
        <v>0.6618055555555555</v>
      </c>
      <c r="O5" s="8">
        <v>0.7069444444444444</v>
      </c>
      <c r="P5" s="8">
        <v>0.7173611111111111</v>
      </c>
      <c r="Q5" s="8">
        <v>0.7659722222222222</v>
      </c>
      <c r="R5" s="8">
        <v>0.8111111111111111</v>
      </c>
      <c r="S5" s="8">
        <v>0.8215277777777777</v>
      </c>
      <c r="T5" s="155"/>
      <c r="V5" s="10"/>
    </row>
    <row r="6">
      <c r="A6" s="7" t="s">
        <v>40</v>
      </c>
      <c r="B6" s="7" t="s">
        <v>222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155"/>
    </row>
    <row r="7">
      <c r="A7" s="7" t="s">
        <v>41</v>
      </c>
      <c r="B7" s="7" t="s">
        <v>221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55"/>
    </row>
    <row r="8">
      <c r="A8" s="7" t="s">
        <v>42</v>
      </c>
      <c r="B8" s="7" t="s">
        <v>220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155"/>
    </row>
    <row r="9">
      <c r="A9" s="1" t="s">
        <v>43</v>
      </c>
      <c r="B9" s="7" t="s">
        <v>219</v>
      </c>
      <c r="C9" s="8">
        <v>0.17777777777777778</v>
      </c>
      <c r="D9" s="8">
        <v>0.2333333333333333</v>
      </c>
      <c r="E9" s="8">
        <v>0.2784722222222222</v>
      </c>
      <c r="F9" s="8">
        <v>0.29236111111111107</v>
      </c>
      <c r="G9" s="8">
        <v>0.34444444444444444</v>
      </c>
      <c r="H9" s="8">
        <v>0.39305555555555555</v>
      </c>
      <c r="I9" s="8">
        <v>0.41041666666666665</v>
      </c>
      <c r="J9" s="8">
        <v>0.44861111111111107</v>
      </c>
      <c r="K9" s="8">
        <v>0.5111111111111111</v>
      </c>
      <c r="L9" s="8">
        <v>0.5736111111111111</v>
      </c>
      <c r="M9" s="8">
        <v>0.6152777777777778</v>
      </c>
      <c r="N9" s="8">
        <v>0.6777777777777778</v>
      </c>
      <c r="O9" s="8">
        <v>0.7229166666666667</v>
      </c>
      <c r="P9" s="8">
        <v>0.7333333333333334</v>
      </c>
      <c r="Q9" s="8">
        <v>0.7819444444444443</v>
      </c>
      <c r="R9" s="8">
        <v>0.8270833333333334</v>
      </c>
      <c r="S9" s="8">
        <v>0.8375</v>
      </c>
      <c r="T9" s="155"/>
      <c r="V9" s="10"/>
    </row>
    <row r="10">
      <c r="A10" s="1" t="s">
        <v>44</v>
      </c>
      <c r="B10" s="7" t="s">
        <v>218</v>
      </c>
      <c r="C10" s="8">
        <v>0.18125000000000002</v>
      </c>
      <c r="D10" s="8">
        <v>0.2375</v>
      </c>
      <c r="E10" s="8">
        <v>0.2826388888888889</v>
      </c>
      <c r="F10" s="8">
        <v>0.2965277777777777</v>
      </c>
      <c r="G10" s="8">
        <v>0.3486111111111111</v>
      </c>
      <c r="H10" s="8">
        <v>0.39722222222222225</v>
      </c>
      <c r="I10" s="8">
        <v>0.4145833333333333</v>
      </c>
      <c r="J10" s="8">
        <v>0.4527777777777777</v>
      </c>
      <c r="K10" s="8">
        <v>0.5152777777777777</v>
      </c>
      <c r="L10" s="8">
        <v>0.5777777777777777</v>
      </c>
      <c r="M10" s="8">
        <v>0.6194444444444445</v>
      </c>
      <c r="N10" s="8">
        <v>0.6819444444444445</v>
      </c>
      <c r="O10" s="8">
        <v>0.7270833333333333</v>
      </c>
      <c r="P10" s="8">
        <v>0.7375</v>
      </c>
      <c r="Q10" s="8">
        <v>0.786111111111111</v>
      </c>
      <c r="R10" s="8">
        <v>0.83125</v>
      </c>
      <c r="S10" s="8">
        <v>0.8416666666666667</v>
      </c>
      <c r="T10" s="155"/>
      <c r="V10" s="10"/>
    </row>
    <row r="11">
      <c r="A11" s="7" t="s">
        <v>45</v>
      </c>
      <c r="B11" s="7" t="s">
        <v>217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155"/>
    </row>
    <row r="12">
      <c r="A12" s="7" t="s">
        <v>46</v>
      </c>
      <c r="B12" s="7" t="s">
        <v>216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155"/>
    </row>
    <row r="13">
      <c r="A13" s="1" t="s">
        <v>47</v>
      </c>
      <c r="B13" s="7" t="s">
        <v>215</v>
      </c>
      <c r="C13" s="8">
        <v>0.18819444444444447</v>
      </c>
      <c r="D13" s="8">
        <v>0.24583333333333332</v>
      </c>
      <c r="E13" s="8">
        <v>0.2909722222222222</v>
      </c>
      <c r="F13" s="8">
        <v>0.304861111111111</v>
      </c>
      <c r="G13" s="8">
        <v>0.3569444444444444</v>
      </c>
      <c r="H13" s="8">
        <v>0.40555555555555556</v>
      </c>
      <c r="I13" s="8">
        <v>0.4229166666666666</v>
      </c>
      <c r="J13" s="8">
        <v>0.461111111111111</v>
      </c>
      <c r="K13" s="8">
        <v>0.523611111111111</v>
      </c>
      <c r="L13" s="8">
        <v>0.586111111111111</v>
      </c>
      <c r="M13" s="8">
        <v>0.6277777777777778</v>
      </c>
      <c r="N13" s="8">
        <v>0.6902777777777778</v>
      </c>
      <c r="O13" s="8">
        <v>0.7354166666666666</v>
      </c>
      <c r="P13" s="8">
        <v>0.7458333333333333</v>
      </c>
      <c r="Q13" s="8">
        <v>0.7944444444444443</v>
      </c>
      <c r="R13" s="8">
        <v>0.8395833333333333</v>
      </c>
      <c r="S13" s="8">
        <v>0.85</v>
      </c>
      <c r="T13" s="155"/>
      <c r="V13" s="10"/>
    </row>
    <row r="14">
      <c r="A14" s="7" t="s">
        <v>48</v>
      </c>
      <c r="B14" s="7" t="s">
        <v>214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155"/>
    </row>
    <row r="15">
      <c r="A15" s="1" t="s">
        <v>49</v>
      </c>
      <c r="B15" s="7" t="s">
        <v>213</v>
      </c>
      <c r="C15" s="8">
        <v>0.19791666666666669</v>
      </c>
      <c r="D15" s="8">
        <v>0.25763888888888886</v>
      </c>
      <c r="E15" s="8">
        <v>0.3027777777777777</v>
      </c>
      <c r="F15" s="8">
        <v>0.31666666666666654</v>
      </c>
      <c r="G15" s="8">
        <v>0.3687499999999999</v>
      </c>
      <c r="H15" s="8">
        <v>0.41736111111111107</v>
      </c>
      <c r="I15" s="8">
        <v>0.4347222222222221</v>
      </c>
      <c r="J15" s="8">
        <v>0.47291666666666654</v>
      </c>
      <c r="K15" s="8">
        <v>0.5354166666666665</v>
      </c>
      <c r="L15" s="8">
        <v>0.5979166666666665</v>
      </c>
      <c r="M15" s="8">
        <v>0.6395833333333333</v>
      </c>
      <c r="N15" s="8">
        <v>0.7020833333333333</v>
      </c>
      <c r="O15" s="8">
        <v>0.7472222222222221</v>
      </c>
      <c r="P15" s="8">
        <v>0.7576388888888889</v>
      </c>
      <c r="Q15" s="8">
        <v>0.8062499999999998</v>
      </c>
      <c r="R15" s="8">
        <v>0.8513888888888889</v>
      </c>
      <c r="S15" s="8">
        <v>0.8618055555555555</v>
      </c>
      <c r="T15" s="155"/>
      <c r="V15" s="10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F18" s="8"/>
      <c r="G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12"/>
      <c r="C30" s="11"/>
      <c r="D30" s="11"/>
      <c r="E30" s="11"/>
    </row>
    <row r="31">
      <c r="A31" s="8"/>
      <c r="B31" s="156"/>
      <c r="C31" s="14"/>
      <c r="D31" s="14"/>
      <c r="E31" s="1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3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52" t="s">
        <v>199</v>
      </c>
      <c r="D2" s="152" t="s">
        <v>200</v>
      </c>
      <c r="E2" s="152" t="s">
        <v>201</v>
      </c>
      <c r="F2" s="152" t="s">
        <v>202</v>
      </c>
      <c r="G2" s="152" t="s">
        <v>204</v>
      </c>
      <c r="H2" s="152" t="s">
        <v>205</v>
      </c>
      <c r="I2" s="152" t="s">
        <v>206</v>
      </c>
      <c r="J2" s="152" t="s">
        <v>207</v>
      </c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60" t="s">
        <v>49</v>
      </c>
      <c r="B3" s="5" t="s">
        <v>213</v>
      </c>
      <c r="C3" s="80">
        <v>0.20833333333333334</v>
      </c>
      <c r="D3" s="80">
        <v>0.2638888888888889</v>
      </c>
      <c r="E3" s="80">
        <v>0.3194444444444444</v>
      </c>
      <c r="F3" s="80">
        <v>0.4027777777777778</v>
      </c>
      <c r="G3" s="80">
        <v>0.5694444444444444</v>
      </c>
      <c r="H3" s="80">
        <v>0.6527777777777778</v>
      </c>
      <c r="I3" s="80">
        <v>0.7361111111111112</v>
      </c>
      <c r="J3" s="80">
        <v>0.7604166666666666</v>
      </c>
      <c r="K3" s="154"/>
    </row>
    <row r="4">
      <c r="A4" s="9" t="s">
        <v>48</v>
      </c>
      <c r="B4" s="8" t="s">
        <v>214</v>
      </c>
      <c r="C4" s="10"/>
      <c r="D4" s="10"/>
      <c r="E4" s="10"/>
      <c r="F4" s="10"/>
      <c r="G4" s="10"/>
      <c r="H4" s="10"/>
      <c r="I4" s="10"/>
      <c r="J4" s="10"/>
      <c r="K4" s="154"/>
    </row>
    <row r="5">
      <c r="A5" s="9" t="s">
        <v>47</v>
      </c>
      <c r="B5" s="8" t="s">
        <v>215</v>
      </c>
      <c r="C5" s="10">
        <v>0.21944444444444444</v>
      </c>
      <c r="D5" s="10">
        <v>0.275</v>
      </c>
      <c r="E5" s="10">
        <v>0.33055555555555555</v>
      </c>
      <c r="F5" s="10">
        <v>0.41388888888888886</v>
      </c>
      <c r="G5" s="10">
        <v>0.5805555555555556</v>
      </c>
      <c r="H5" s="10">
        <v>0.6638888888888889</v>
      </c>
      <c r="I5" s="10">
        <v>0.7451388888888889</v>
      </c>
      <c r="J5" s="10">
        <v>0.7694444444444445</v>
      </c>
      <c r="K5" s="154"/>
    </row>
    <row r="6">
      <c r="A6" s="9" t="s">
        <v>46</v>
      </c>
      <c r="B6" s="9" t="s">
        <v>216</v>
      </c>
      <c r="C6" s="10"/>
      <c r="D6" s="10"/>
      <c r="E6" s="10"/>
      <c r="F6" s="10"/>
      <c r="G6" s="10"/>
      <c r="H6" s="10"/>
      <c r="I6" s="10"/>
      <c r="J6" s="10"/>
      <c r="K6" s="154"/>
    </row>
    <row r="7">
      <c r="A7" s="9" t="s">
        <v>45</v>
      </c>
      <c r="B7" s="9" t="s">
        <v>217</v>
      </c>
      <c r="C7" s="10"/>
      <c r="D7" s="10"/>
      <c r="E7" s="10"/>
      <c r="F7" s="10"/>
      <c r="G7" s="10"/>
      <c r="H7" s="10"/>
      <c r="I7" s="10"/>
      <c r="J7" s="10"/>
      <c r="K7" s="154"/>
    </row>
    <row r="8">
      <c r="A8" s="9" t="s">
        <v>44</v>
      </c>
      <c r="B8" s="9" t="s">
        <v>218</v>
      </c>
      <c r="C8" s="10">
        <v>0.22847222222222222</v>
      </c>
      <c r="D8" s="10">
        <v>0.28402777777777777</v>
      </c>
      <c r="E8" s="10">
        <v>0.33958333333333335</v>
      </c>
      <c r="F8" s="10">
        <v>0.42291666666666666</v>
      </c>
      <c r="G8" s="10">
        <v>0.5895833333333333</v>
      </c>
      <c r="H8" s="10">
        <v>0.6729166666666667</v>
      </c>
      <c r="I8" s="10">
        <v>0.7534722222222222</v>
      </c>
      <c r="J8" s="10">
        <v>0.7777777777777778</v>
      </c>
      <c r="K8" s="154"/>
    </row>
    <row r="9">
      <c r="A9" s="9" t="s">
        <v>43</v>
      </c>
      <c r="B9" s="9" t="s">
        <v>219</v>
      </c>
      <c r="C9" s="10">
        <v>0.2326388888888889</v>
      </c>
      <c r="D9" s="10">
        <v>0.2881944444444444</v>
      </c>
      <c r="E9" s="10">
        <v>0.34375</v>
      </c>
      <c r="F9" s="10">
        <v>0.4270833333333333</v>
      </c>
      <c r="G9" s="10">
        <v>0.59375</v>
      </c>
      <c r="H9" s="10">
        <v>0.6770833333333334</v>
      </c>
      <c r="I9" s="10">
        <v>0.7569444444444444</v>
      </c>
      <c r="J9" s="10">
        <v>0.78125</v>
      </c>
      <c r="K9" s="154"/>
    </row>
    <row r="10">
      <c r="A10" s="9" t="s">
        <v>42</v>
      </c>
      <c r="B10" s="9" t="s">
        <v>220</v>
      </c>
      <c r="C10" s="10"/>
      <c r="D10" s="10"/>
      <c r="E10" s="10"/>
      <c r="F10" s="10"/>
      <c r="G10" s="10"/>
      <c r="H10" s="10"/>
      <c r="I10" s="10"/>
      <c r="J10" s="10"/>
      <c r="K10" s="154"/>
    </row>
    <row r="11">
      <c r="A11" s="9" t="s">
        <v>41</v>
      </c>
      <c r="B11" s="9" t="s">
        <v>221</v>
      </c>
      <c r="C11" s="10"/>
      <c r="D11" s="10"/>
      <c r="E11" s="10"/>
      <c r="F11" s="10"/>
      <c r="G11" s="10"/>
      <c r="H11" s="10"/>
      <c r="I11" s="10"/>
      <c r="J11" s="10"/>
      <c r="K11" s="154"/>
    </row>
    <row r="12">
      <c r="A12" s="9" t="s">
        <v>40</v>
      </c>
      <c r="B12" s="9" t="s">
        <v>222</v>
      </c>
      <c r="C12" s="10"/>
      <c r="D12" s="10"/>
      <c r="E12" s="10"/>
      <c r="F12" s="10"/>
      <c r="G12" s="10"/>
      <c r="H12" s="10"/>
      <c r="I12" s="10"/>
      <c r="J12" s="10"/>
      <c r="K12" s="154"/>
    </row>
    <row r="13">
      <c r="A13" s="9" t="s">
        <v>39</v>
      </c>
      <c r="B13" s="7" t="s">
        <v>223</v>
      </c>
      <c r="C13" s="10">
        <v>0.24791666666666667</v>
      </c>
      <c r="D13" s="10">
        <v>0.3034722222222222</v>
      </c>
      <c r="E13" s="10">
        <v>0.3590277777777778</v>
      </c>
      <c r="F13" s="10">
        <v>0.4423611111111111</v>
      </c>
      <c r="G13" s="10">
        <v>0.6090277777777777</v>
      </c>
      <c r="H13" s="10">
        <v>0.6923611111111111</v>
      </c>
      <c r="I13" s="10">
        <v>0.7729166666666667</v>
      </c>
      <c r="J13" s="10">
        <v>0.7972222222222223</v>
      </c>
      <c r="K13" s="154"/>
    </row>
    <row r="14">
      <c r="A14" s="9" t="s">
        <v>38</v>
      </c>
      <c r="B14" s="7" t="s">
        <v>224</v>
      </c>
      <c r="C14" s="10">
        <v>0.25069444444444444</v>
      </c>
      <c r="D14" s="10">
        <v>0.30625</v>
      </c>
      <c r="E14" s="10">
        <v>0.36180555555555555</v>
      </c>
      <c r="F14" s="10">
        <v>0.44513888888888886</v>
      </c>
      <c r="G14" s="10">
        <v>0.6118055555555556</v>
      </c>
      <c r="H14" s="10">
        <v>0.6951388888888889</v>
      </c>
      <c r="I14" s="10">
        <v>0.7770833333333333</v>
      </c>
      <c r="J14" s="10">
        <v>0.8013888888888889</v>
      </c>
      <c r="K14" s="154"/>
    </row>
    <row r="15">
      <c r="A15" s="9" t="s">
        <v>37</v>
      </c>
      <c r="B15" s="7" t="s">
        <v>225</v>
      </c>
      <c r="C15" s="10">
        <v>0.25416666666666665</v>
      </c>
      <c r="D15" s="10">
        <v>0.30972222222222223</v>
      </c>
      <c r="E15" s="10">
        <v>0.36527777777777776</v>
      </c>
      <c r="F15" s="10">
        <v>0.4486111111111111</v>
      </c>
      <c r="G15" s="10">
        <v>0.6152777777777778</v>
      </c>
      <c r="H15" s="10">
        <v>0.6986111111111111</v>
      </c>
      <c r="I15" s="10">
        <v>0.78125</v>
      </c>
      <c r="J15" s="10">
        <v>0.8055555555555556</v>
      </c>
      <c r="K15" s="154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30">
      <c r="A30" s="11"/>
      <c r="B30" s="11"/>
      <c r="C30" s="11"/>
      <c r="D30" s="11"/>
      <c r="E30" s="11"/>
    </row>
    <row r="31">
      <c r="A31" s="14"/>
      <c r="B31" s="14"/>
      <c r="C31" s="14"/>
      <c r="D31" s="14"/>
      <c r="E31" s="1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'GERM-to-LERL_Sat'!B1</f>
        <v>46055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52" t="s">
        <v>226</v>
      </c>
      <c r="D2" s="152" t="s">
        <v>227</v>
      </c>
      <c r="E2" s="152" t="s">
        <v>228</v>
      </c>
      <c r="F2" s="152" t="s">
        <v>229</v>
      </c>
      <c r="G2" s="152" t="s">
        <v>231</v>
      </c>
      <c r="H2" s="152" t="s">
        <v>232</v>
      </c>
      <c r="I2" s="152" t="s">
        <v>233</v>
      </c>
      <c r="J2" s="152" t="s">
        <v>235</v>
      </c>
      <c r="K2" s="152" t="s">
        <v>236</v>
      </c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37</v>
      </c>
      <c r="B3" s="5" t="s">
        <v>225</v>
      </c>
      <c r="C3" s="6">
        <v>0.15625</v>
      </c>
      <c r="D3" s="6">
        <v>0.20833333333333334</v>
      </c>
      <c r="E3" s="6">
        <v>0.2638888888888889</v>
      </c>
      <c r="F3" s="6">
        <v>0.3194444444444444</v>
      </c>
      <c r="G3" s="6">
        <v>0.375</v>
      </c>
      <c r="H3" s="6">
        <v>0.4583333333333333</v>
      </c>
      <c r="I3" s="6">
        <v>0.625</v>
      </c>
      <c r="J3" s="6">
        <v>0.7083333333333334</v>
      </c>
      <c r="K3" s="6">
        <v>0.7916666666666666</v>
      </c>
      <c r="L3" s="155"/>
    </row>
    <row r="4">
      <c r="A4" s="1" t="s">
        <v>38</v>
      </c>
      <c r="B4" s="7" t="s">
        <v>224</v>
      </c>
      <c r="C4" s="8">
        <v>0.16041666666666668</v>
      </c>
      <c r="D4" s="8">
        <v>0.2111111111111111</v>
      </c>
      <c r="E4" s="8">
        <v>0.26666666666666666</v>
      </c>
      <c r="F4" s="8">
        <v>0.32222222222222224</v>
      </c>
      <c r="G4" s="8">
        <v>0.37777777777777777</v>
      </c>
      <c r="H4" s="8">
        <v>0.46111111111111114</v>
      </c>
      <c r="I4" s="8">
        <v>0.6277777777777778</v>
      </c>
      <c r="J4" s="8">
        <v>0.7111111111111111</v>
      </c>
      <c r="K4" s="8">
        <v>0.7958333333333333</v>
      </c>
      <c r="L4" s="155"/>
    </row>
    <row r="5">
      <c r="A5" s="1" t="s">
        <v>39</v>
      </c>
      <c r="B5" s="7" t="s">
        <v>223</v>
      </c>
      <c r="C5" s="8">
        <v>0.16458333333333333</v>
      </c>
      <c r="D5" s="8">
        <v>0.21388888888888888</v>
      </c>
      <c r="E5" s="8">
        <v>0.26944444444444443</v>
      </c>
      <c r="F5" s="8">
        <v>0.325</v>
      </c>
      <c r="G5" s="8">
        <v>0.38055555555555554</v>
      </c>
      <c r="H5" s="8">
        <v>0.4638888888888889</v>
      </c>
      <c r="I5" s="8">
        <v>0.6305555555555555</v>
      </c>
      <c r="J5" s="8">
        <v>0.7138888888888889</v>
      </c>
      <c r="K5" s="8">
        <v>0.8</v>
      </c>
      <c r="L5" s="155"/>
    </row>
    <row r="6">
      <c r="A6" s="7" t="s">
        <v>40</v>
      </c>
      <c r="B6" s="7" t="s">
        <v>222</v>
      </c>
      <c r="C6" s="8"/>
      <c r="D6" s="8"/>
      <c r="E6" s="8"/>
      <c r="F6" s="8"/>
      <c r="G6" s="8"/>
      <c r="H6" s="8"/>
      <c r="I6" s="8"/>
      <c r="J6" s="8"/>
      <c r="K6" s="8"/>
      <c r="L6" s="155"/>
    </row>
    <row r="7">
      <c r="A7" s="7" t="s">
        <v>41</v>
      </c>
      <c r="B7" s="7" t="s">
        <v>221</v>
      </c>
      <c r="C7" s="8"/>
      <c r="D7" s="8"/>
      <c r="E7" s="8"/>
      <c r="F7" s="8"/>
      <c r="G7" s="8"/>
      <c r="H7" s="8"/>
      <c r="I7" s="8"/>
      <c r="J7" s="8"/>
      <c r="K7" s="8"/>
      <c r="L7" s="155"/>
    </row>
    <row r="8">
      <c r="A8" s="7" t="s">
        <v>42</v>
      </c>
      <c r="B8" s="7" t="s">
        <v>220</v>
      </c>
      <c r="C8" s="8"/>
      <c r="D8" s="8"/>
      <c r="E8" s="8"/>
      <c r="F8" s="8"/>
      <c r="G8" s="8"/>
      <c r="H8" s="8"/>
      <c r="I8" s="8"/>
      <c r="J8" s="8"/>
      <c r="K8" s="8"/>
      <c r="L8" s="155"/>
    </row>
    <row r="9">
      <c r="A9" s="1" t="s">
        <v>43</v>
      </c>
      <c r="B9" s="7" t="s">
        <v>219</v>
      </c>
      <c r="C9" s="8">
        <v>0.18125</v>
      </c>
      <c r="D9" s="8">
        <v>0.2298611111111111</v>
      </c>
      <c r="E9" s="8">
        <v>0.28541666666666665</v>
      </c>
      <c r="F9" s="8">
        <v>0.34097222222222223</v>
      </c>
      <c r="G9" s="8">
        <v>0.39652777777777776</v>
      </c>
      <c r="H9" s="8">
        <v>0.4798611111111111</v>
      </c>
      <c r="I9" s="8">
        <v>0.6465277777777778</v>
      </c>
      <c r="J9" s="8">
        <v>0.7298611111111111</v>
      </c>
      <c r="K9" s="8">
        <v>0.8166666666666667</v>
      </c>
      <c r="L9" s="155"/>
    </row>
    <row r="10">
      <c r="A10" s="1" t="s">
        <v>44</v>
      </c>
      <c r="B10" s="7" t="s">
        <v>218</v>
      </c>
      <c r="C10" s="8">
        <v>0.18472222222222223</v>
      </c>
      <c r="D10" s="8">
        <v>0.23402777777777778</v>
      </c>
      <c r="E10" s="8">
        <v>0.28958333333333336</v>
      </c>
      <c r="F10" s="8">
        <v>0.3451388888888889</v>
      </c>
      <c r="G10" s="8">
        <v>0.40069444444444446</v>
      </c>
      <c r="H10" s="8">
        <v>0.4840277777777778</v>
      </c>
      <c r="I10" s="8">
        <v>0.6506944444444445</v>
      </c>
      <c r="J10" s="8">
        <v>0.7340277777777777</v>
      </c>
      <c r="K10" s="8">
        <v>0.8201388888888889</v>
      </c>
      <c r="L10" s="155"/>
    </row>
    <row r="11">
      <c r="A11" s="7" t="s">
        <v>45</v>
      </c>
      <c r="B11" s="7" t="s">
        <v>217</v>
      </c>
      <c r="C11" s="8"/>
      <c r="D11" s="8"/>
      <c r="E11" s="8"/>
      <c r="F11" s="8"/>
      <c r="G11" s="8"/>
      <c r="H11" s="8"/>
      <c r="I11" s="8"/>
      <c r="J11" s="8"/>
      <c r="K11" s="8"/>
      <c r="L11" s="155"/>
    </row>
    <row r="12">
      <c r="A12" s="7" t="s">
        <v>46</v>
      </c>
      <c r="B12" s="7" t="s">
        <v>216</v>
      </c>
      <c r="C12" s="8"/>
      <c r="D12" s="8"/>
      <c r="E12" s="8"/>
      <c r="F12" s="8"/>
      <c r="G12" s="8"/>
      <c r="H12" s="8"/>
      <c r="I12" s="8"/>
      <c r="J12" s="8"/>
      <c r="K12" s="8"/>
      <c r="L12" s="155"/>
    </row>
    <row r="13">
      <c r="A13" s="1" t="s">
        <v>47</v>
      </c>
      <c r="B13" s="7" t="s">
        <v>215</v>
      </c>
      <c r="C13" s="8">
        <v>0.19166666666666668</v>
      </c>
      <c r="D13" s="8">
        <v>0.2423611111111111</v>
      </c>
      <c r="E13" s="8">
        <v>0.29791666666666666</v>
      </c>
      <c r="F13" s="8">
        <v>0.35347222222222224</v>
      </c>
      <c r="G13" s="8">
        <v>0.40902777777777777</v>
      </c>
      <c r="H13" s="8">
        <v>0.49236111111111114</v>
      </c>
      <c r="I13" s="8">
        <v>0.6590277777777778</v>
      </c>
      <c r="J13" s="8">
        <v>0.7416666666666667</v>
      </c>
      <c r="K13" s="8">
        <v>0.8270833333333333</v>
      </c>
      <c r="L13" s="155"/>
    </row>
    <row r="14">
      <c r="A14" s="7" t="s">
        <v>48</v>
      </c>
      <c r="B14" s="7" t="s">
        <v>214</v>
      </c>
      <c r="C14" s="8"/>
      <c r="D14" s="8"/>
      <c r="E14" s="8"/>
      <c r="F14" s="8"/>
      <c r="G14" s="8"/>
      <c r="H14" s="8"/>
      <c r="I14" s="8"/>
      <c r="J14" s="8"/>
      <c r="K14" s="8"/>
      <c r="L14" s="155"/>
    </row>
    <row r="15">
      <c r="A15" s="1" t="s">
        <v>49</v>
      </c>
      <c r="B15" s="7" t="s">
        <v>213</v>
      </c>
      <c r="C15" s="8">
        <v>0.2013888888888889</v>
      </c>
      <c r="D15" s="8">
        <v>0.25416666666666665</v>
      </c>
      <c r="E15" s="8">
        <v>0.30972222222222223</v>
      </c>
      <c r="F15" s="8">
        <v>0.36527777777777776</v>
      </c>
      <c r="G15" s="8">
        <v>0.42083333333333334</v>
      </c>
      <c r="H15" s="8">
        <v>0.5041666666666667</v>
      </c>
      <c r="I15" s="8">
        <v>0.6708333333333333</v>
      </c>
      <c r="J15" s="8">
        <v>0.7534722222222222</v>
      </c>
      <c r="K15" s="8">
        <v>0.8368055555555556</v>
      </c>
      <c r="L15" s="155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B22" s="1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12"/>
      <c r="C30" s="11"/>
      <c r="D30" s="11"/>
      <c r="E30" s="11"/>
    </row>
    <row r="31">
      <c r="A31" s="8"/>
      <c r="B31" s="156"/>
      <c r="C31" s="14"/>
      <c r="D31" s="14"/>
      <c r="E31" s="14"/>
    </row>
    <row r="32">
      <c r="A32" s="12"/>
      <c r="B32" s="12"/>
      <c r="C32" s="11"/>
      <c r="D32" s="11"/>
      <c r="E32" s="11"/>
      <c r="F32" s="11"/>
      <c r="G32" s="11"/>
      <c r="H32" s="11"/>
      <c r="I32" s="11"/>
      <c r="J32" s="11"/>
    </row>
    <row r="33">
      <c r="A33" s="156"/>
      <c r="B33" s="12"/>
      <c r="C33" s="14"/>
      <c r="D33" s="14"/>
      <c r="E33" s="14"/>
      <c r="F33" s="14"/>
      <c r="G33" s="14"/>
      <c r="H33" s="14"/>
      <c r="I33" s="14"/>
      <c r="J33" s="14"/>
    </row>
    <row r="34">
      <c r="A34" s="156"/>
      <c r="B34" s="12"/>
      <c r="C34" s="14"/>
      <c r="D34" s="14"/>
      <c r="E34" s="14"/>
      <c r="F34" s="14"/>
      <c r="G34" s="14"/>
      <c r="H34" s="14"/>
      <c r="I34" s="14"/>
      <c r="J34" s="14"/>
    </row>
    <row r="35">
      <c r="A35" s="156"/>
      <c r="B35" s="12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186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>
      <c r="A2" s="1" t="s">
        <v>2</v>
      </c>
      <c r="B2" s="1" t="s">
        <v>3</v>
      </c>
      <c r="C2" s="149">
        <v>4501.0</v>
      </c>
      <c r="D2" s="149">
        <v>4503.0</v>
      </c>
      <c r="E2" s="149">
        <v>4401.0</v>
      </c>
      <c r="F2" s="149">
        <v>4505.0</v>
      </c>
      <c r="G2" s="149">
        <v>4403.0</v>
      </c>
      <c r="H2" s="149">
        <v>4507.0</v>
      </c>
      <c r="I2" s="149">
        <v>4405.0</v>
      </c>
      <c r="J2" s="149">
        <v>4509.0</v>
      </c>
      <c r="K2" s="149">
        <v>4407.0</v>
      </c>
      <c r="L2" s="149">
        <v>4511.0</v>
      </c>
      <c r="M2" s="149">
        <v>4409.0</v>
      </c>
      <c r="N2" s="149">
        <v>4513.0</v>
      </c>
      <c r="O2" s="149">
        <v>4411.0</v>
      </c>
      <c r="P2" s="149">
        <v>4515.0</v>
      </c>
      <c r="Q2" s="149">
        <v>4413.0</v>
      </c>
      <c r="R2" s="149">
        <v>4517.0</v>
      </c>
      <c r="S2" s="149">
        <v>4415.0</v>
      </c>
      <c r="T2" s="149">
        <v>4519.0</v>
      </c>
      <c r="U2" s="149">
        <v>4417.0</v>
      </c>
      <c r="V2" s="149">
        <v>4521.0</v>
      </c>
      <c r="W2" s="149">
        <v>4419.0</v>
      </c>
      <c r="X2" s="149">
        <v>4523.0</v>
      </c>
      <c r="Y2" s="149">
        <v>4421.0</v>
      </c>
      <c r="Z2" s="149">
        <v>4525.0</v>
      </c>
      <c r="AA2" s="149">
        <v>4423.0</v>
      </c>
      <c r="AB2" s="149">
        <v>4527.0</v>
      </c>
      <c r="AC2" s="149">
        <v>4425.0</v>
      </c>
      <c r="AD2" s="149">
        <v>4529.0</v>
      </c>
      <c r="AE2" s="149">
        <v>4427.0</v>
      </c>
      <c r="AF2" s="149">
        <v>4531.0</v>
      </c>
      <c r="AG2" s="149">
        <v>4429.0</v>
      </c>
      <c r="AH2" s="149">
        <v>4533.0</v>
      </c>
      <c r="AI2" s="149"/>
    </row>
    <row r="3">
      <c r="A3" s="4" t="s">
        <v>24</v>
      </c>
      <c r="B3" s="80" t="s">
        <v>25</v>
      </c>
      <c r="C3" s="157"/>
      <c r="D3" s="157"/>
      <c r="E3" s="157">
        <v>0.21180555555555555</v>
      </c>
      <c r="F3" s="157"/>
      <c r="G3" s="157">
        <v>0.2534722222222222</v>
      </c>
      <c r="H3" s="157"/>
      <c r="I3" s="157">
        <v>0.2951388888888889</v>
      </c>
      <c r="J3" s="157"/>
      <c r="K3" s="157">
        <v>0.3368055555555556</v>
      </c>
      <c r="L3" s="157"/>
      <c r="M3" s="157">
        <v>0.3784722222222222</v>
      </c>
      <c r="N3" s="157"/>
      <c r="O3" s="157">
        <v>0.4201388888888889</v>
      </c>
      <c r="P3" s="157"/>
      <c r="Q3" s="157">
        <v>0.4618055555555556</v>
      </c>
      <c r="R3" s="157"/>
      <c r="S3" s="157">
        <v>0.5034722222222222</v>
      </c>
      <c r="T3" s="157"/>
      <c r="U3" s="157">
        <v>0.5451388888888888</v>
      </c>
      <c r="V3" s="157"/>
      <c r="W3" s="157">
        <v>0.5868055555555556</v>
      </c>
      <c r="X3" s="157"/>
      <c r="Y3" s="157">
        <v>0.6284722222222222</v>
      </c>
      <c r="Z3" s="157"/>
      <c r="AA3" s="157">
        <v>0.6701388888888888</v>
      </c>
      <c r="AB3" s="157"/>
      <c r="AC3" s="157">
        <v>0.7131944444444445</v>
      </c>
      <c r="AD3" s="157"/>
      <c r="AE3" s="157">
        <v>0.7569444444444444</v>
      </c>
      <c r="AF3" s="157"/>
      <c r="AG3" s="157">
        <v>0.8055555555555556</v>
      </c>
      <c r="AH3" s="157"/>
      <c r="AI3" s="157"/>
    </row>
    <row r="4">
      <c r="A4" s="1" t="s">
        <v>91</v>
      </c>
      <c r="B4" s="7" t="s">
        <v>92</v>
      </c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</row>
    <row r="5">
      <c r="A5" s="1" t="s">
        <v>93</v>
      </c>
      <c r="B5" s="7" t="s">
        <v>94</v>
      </c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</row>
    <row r="6">
      <c r="A6" s="7" t="s">
        <v>22</v>
      </c>
      <c r="B6" s="9" t="s">
        <v>23</v>
      </c>
      <c r="C6" s="158"/>
      <c r="D6" s="158"/>
      <c r="E6" s="158">
        <v>0.21597222222222223</v>
      </c>
      <c r="F6" s="158"/>
      <c r="G6" s="158">
        <v>0.25763888888888886</v>
      </c>
      <c r="H6" s="158"/>
      <c r="I6" s="158">
        <v>0.29930555555555555</v>
      </c>
      <c r="J6" s="158"/>
      <c r="K6" s="158">
        <v>0.34097222222222223</v>
      </c>
      <c r="L6" s="158"/>
      <c r="M6" s="158">
        <v>0.38263888888888886</v>
      </c>
      <c r="N6" s="158"/>
      <c r="O6" s="158">
        <v>0.42430555555555555</v>
      </c>
      <c r="P6" s="158"/>
      <c r="Q6" s="158">
        <v>0.46597222222222223</v>
      </c>
      <c r="R6" s="158"/>
      <c r="S6" s="158">
        <v>0.5076388888888889</v>
      </c>
      <c r="T6" s="158"/>
      <c r="U6" s="158">
        <v>0.5493055555555556</v>
      </c>
      <c r="V6" s="158"/>
      <c r="W6" s="158">
        <v>0.5909722222222222</v>
      </c>
      <c r="X6" s="158"/>
      <c r="Y6" s="158">
        <v>0.6326388888888889</v>
      </c>
      <c r="Z6" s="158"/>
      <c r="AA6" s="158">
        <v>0.6743055555555556</v>
      </c>
      <c r="AB6" s="158"/>
      <c r="AC6" s="158">
        <v>0.7173611111111111</v>
      </c>
      <c r="AD6" s="158"/>
      <c r="AE6" s="158">
        <v>0.7611111111111111</v>
      </c>
      <c r="AF6" s="158"/>
      <c r="AG6" s="158">
        <v>0.8097222222222222</v>
      </c>
      <c r="AH6" s="158"/>
      <c r="AI6" s="158"/>
    </row>
    <row r="7">
      <c r="A7" s="7" t="s">
        <v>95</v>
      </c>
      <c r="B7" s="7" t="s">
        <v>96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</row>
    <row r="8">
      <c r="A8" s="7" t="s">
        <v>97</v>
      </c>
      <c r="B8" s="7" t="s">
        <v>98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</row>
    <row r="9">
      <c r="A9" s="1" t="s">
        <v>99</v>
      </c>
      <c r="B9" s="7" t="s">
        <v>100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</row>
    <row r="10">
      <c r="A10" s="1" t="s">
        <v>101</v>
      </c>
      <c r="B10" s="7" t="s">
        <v>102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</row>
    <row r="11">
      <c r="A11" s="7" t="s">
        <v>20</v>
      </c>
      <c r="B11" s="9" t="s">
        <v>21</v>
      </c>
      <c r="C11" s="158"/>
      <c r="D11" s="158"/>
      <c r="E11" s="158">
        <v>0.22083333333333333</v>
      </c>
      <c r="F11" s="158"/>
      <c r="G11" s="158">
        <v>0.2625</v>
      </c>
      <c r="H11" s="158"/>
      <c r="I11" s="158">
        <v>0.30416666666666664</v>
      </c>
      <c r="J11" s="158"/>
      <c r="K11" s="158">
        <v>0.3458333333333333</v>
      </c>
      <c r="L11" s="158"/>
      <c r="M11" s="158">
        <v>0.3875</v>
      </c>
      <c r="N11" s="158"/>
      <c r="O11" s="158">
        <v>0.42916666666666664</v>
      </c>
      <c r="P11" s="158"/>
      <c r="Q11" s="158">
        <v>0.4708333333333333</v>
      </c>
      <c r="R11" s="158"/>
      <c r="S11" s="158">
        <v>0.5125</v>
      </c>
      <c r="T11" s="158"/>
      <c r="U11" s="158">
        <v>0.5541666666666667</v>
      </c>
      <c r="V11" s="158"/>
      <c r="W11" s="158">
        <v>0.5958333333333333</v>
      </c>
      <c r="X11" s="158"/>
      <c r="Y11" s="158">
        <v>0.6375</v>
      </c>
      <c r="Z11" s="158"/>
      <c r="AA11" s="158">
        <v>0.6791666666666667</v>
      </c>
      <c r="AB11" s="158"/>
      <c r="AC11" s="158">
        <v>0.7222222222222222</v>
      </c>
      <c r="AD11" s="158"/>
      <c r="AE11" s="158">
        <v>0.7659722222222223</v>
      </c>
      <c r="AF11" s="158"/>
      <c r="AG11" s="158">
        <v>0.8145833333333333</v>
      </c>
      <c r="AH11" s="158"/>
      <c r="AI11" s="158"/>
    </row>
    <row r="12">
      <c r="A12" s="7" t="s">
        <v>103</v>
      </c>
      <c r="B12" s="7" t="s">
        <v>104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</row>
    <row r="13">
      <c r="A13" s="1" t="s">
        <v>18</v>
      </c>
      <c r="B13" s="9" t="s">
        <v>19</v>
      </c>
      <c r="C13" s="158"/>
      <c r="D13" s="158"/>
      <c r="E13" s="158">
        <v>0.225</v>
      </c>
      <c r="F13" s="158"/>
      <c r="G13" s="158">
        <v>0.26666666666666666</v>
      </c>
      <c r="H13" s="158"/>
      <c r="I13" s="158">
        <v>0.30833333333333335</v>
      </c>
      <c r="J13" s="158"/>
      <c r="K13" s="158">
        <v>0.35</v>
      </c>
      <c r="L13" s="158"/>
      <c r="M13" s="158">
        <v>0.39166666666666666</v>
      </c>
      <c r="N13" s="158"/>
      <c r="O13" s="158">
        <v>0.43333333333333335</v>
      </c>
      <c r="P13" s="158"/>
      <c r="Q13" s="158">
        <v>0.475</v>
      </c>
      <c r="R13" s="158"/>
      <c r="S13" s="158">
        <v>0.5166666666666667</v>
      </c>
      <c r="T13" s="158"/>
      <c r="U13" s="158">
        <v>0.5583333333333333</v>
      </c>
      <c r="V13" s="158"/>
      <c r="W13" s="158">
        <v>0.6</v>
      </c>
      <c r="X13" s="158"/>
      <c r="Y13" s="158">
        <v>0.6416666666666667</v>
      </c>
      <c r="Z13" s="158"/>
      <c r="AA13" s="158">
        <v>0.6833333333333333</v>
      </c>
      <c r="AB13" s="158"/>
      <c r="AC13" s="158">
        <v>0.7263888888888889</v>
      </c>
      <c r="AD13" s="158"/>
      <c r="AE13" s="158">
        <v>0.7701388888888889</v>
      </c>
      <c r="AF13" s="158"/>
      <c r="AG13" s="158">
        <v>0.81875</v>
      </c>
      <c r="AH13" s="158"/>
      <c r="AI13" s="158"/>
    </row>
    <row r="14">
      <c r="A14" s="7" t="s">
        <v>105</v>
      </c>
      <c r="B14" s="7" t="s">
        <v>106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</row>
    <row r="15">
      <c r="A15" s="11" t="s">
        <v>16</v>
      </c>
      <c r="B15" s="9" t="s">
        <v>17</v>
      </c>
      <c r="C15" s="158"/>
      <c r="D15" s="158"/>
      <c r="E15" s="158">
        <v>0.22916666666666666</v>
      </c>
      <c r="F15" s="158"/>
      <c r="G15" s="158">
        <v>0.2708333333333333</v>
      </c>
      <c r="H15" s="158"/>
      <c r="I15" s="158">
        <v>0.3125</v>
      </c>
      <c r="J15" s="158"/>
      <c r="K15" s="158">
        <v>0.3541666666666667</v>
      </c>
      <c r="L15" s="158"/>
      <c r="M15" s="158">
        <v>0.3958333333333333</v>
      </c>
      <c r="N15" s="158"/>
      <c r="O15" s="158">
        <v>0.4375</v>
      </c>
      <c r="P15" s="158"/>
      <c r="Q15" s="158">
        <v>0.4791666666666667</v>
      </c>
      <c r="R15" s="158"/>
      <c r="S15" s="158">
        <v>0.5208333333333334</v>
      </c>
      <c r="T15" s="8"/>
      <c r="U15" s="8">
        <v>0.5625</v>
      </c>
      <c r="V15" s="8"/>
      <c r="W15" s="8">
        <v>0.6041666666666666</v>
      </c>
      <c r="X15" s="8"/>
      <c r="Y15" s="8">
        <v>0.6458333333333334</v>
      </c>
      <c r="Z15" s="8"/>
      <c r="AA15" s="8">
        <v>0.6875</v>
      </c>
      <c r="AB15" s="8"/>
      <c r="AC15" s="8">
        <v>0.7305555555555555</v>
      </c>
      <c r="AD15" s="8"/>
      <c r="AE15" s="8">
        <v>0.7743055555555556</v>
      </c>
      <c r="AF15" s="8"/>
      <c r="AG15" s="8">
        <v>0.8229166666666666</v>
      </c>
      <c r="AH15" s="8"/>
      <c r="AI15" s="8"/>
    </row>
    <row r="16">
      <c r="A16" s="13" t="s">
        <v>14</v>
      </c>
      <c r="B16" s="9" t="s">
        <v>15</v>
      </c>
      <c r="C16" s="158"/>
      <c r="D16" s="158"/>
      <c r="E16" s="158">
        <v>0.23194444444444445</v>
      </c>
      <c r="F16" s="158"/>
      <c r="G16" s="158">
        <v>0.27361111111111114</v>
      </c>
      <c r="H16" s="158"/>
      <c r="I16" s="158">
        <v>0.31527777777777777</v>
      </c>
      <c r="J16" s="158"/>
      <c r="K16" s="158">
        <v>0.35694444444444445</v>
      </c>
      <c r="L16" s="158"/>
      <c r="M16" s="158">
        <v>0.39861111111111114</v>
      </c>
      <c r="N16" s="158"/>
      <c r="O16" s="158">
        <v>0.44027777777777777</v>
      </c>
      <c r="P16" s="158"/>
      <c r="Q16" s="158">
        <v>0.48194444444444445</v>
      </c>
      <c r="R16" s="158"/>
      <c r="S16" s="158">
        <v>0.5236111111111111</v>
      </c>
      <c r="T16" s="8"/>
      <c r="U16" s="8">
        <v>0.5652777777777778</v>
      </c>
      <c r="V16" s="8"/>
      <c r="W16" s="8">
        <v>0.6069444444444444</v>
      </c>
      <c r="X16" s="8"/>
      <c r="Y16" s="8">
        <v>0.6486111111111111</v>
      </c>
      <c r="Z16" s="8"/>
      <c r="AA16" s="8">
        <v>0.6902777777777778</v>
      </c>
      <c r="AB16" s="8"/>
      <c r="AC16" s="8">
        <v>0.7333333333333333</v>
      </c>
      <c r="AD16" s="8"/>
      <c r="AE16" s="8">
        <v>0.7770833333333333</v>
      </c>
      <c r="AF16" s="8"/>
      <c r="AG16" s="8">
        <v>0.8256944444444444</v>
      </c>
      <c r="AH16" s="8"/>
      <c r="AI16" s="8"/>
    </row>
    <row r="17">
      <c r="A17" s="13" t="s">
        <v>12</v>
      </c>
      <c r="B17" s="9" t="s">
        <v>13</v>
      </c>
      <c r="C17" s="158"/>
      <c r="D17" s="158"/>
      <c r="E17" s="158">
        <v>0.2361111111111111</v>
      </c>
      <c r="F17" s="158"/>
      <c r="G17" s="158">
        <v>0.2777777777777778</v>
      </c>
      <c r="H17" s="158"/>
      <c r="I17" s="158">
        <v>0.3194444444444444</v>
      </c>
      <c r="J17" s="158"/>
      <c r="K17" s="158">
        <v>0.3611111111111111</v>
      </c>
      <c r="L17" s="158"/>
      <c r="M17" s="158">
        <v>0.4027777777777778</v>
      </c>
      <c r="N17" s="158"/>
      <c r="O17" s="158">
        <v>0.4444444444444444</v>
      </c>
      <c r="P17" s="158"/>
      <c r="Q17" s="158">
        <v>0.4861111111111111</v>
      </c>
      <c r="R17" s="158"/>
      <c r="S17" s="158">
        <v>0.5277777777777778</v>
      </c>
      <c r="T17" s="8"/>
      <c r="U17" s="8">
        <v>0.5694444444444444</v>
      </c>
      <c r="V17" s="8"/>
      <c r="W17" s="8">
        <v>0.6111111111111112</v>
      </c>
      <c r="X17" s="8"/>
      <c r="Y17" s="8">
        <v>0.6527777777777778</v>
      </c>
      <c r="Z17" s="8"/>
      <c r="AA17" s="8">
        <v>0.6944444444444444</v>
      </c>
      <c r="AB17" s="8"/>
      <c r="AC17" s="8">
        <v>0.7375</v>
      </c>
      <c r="AD17" s="8"/>
      <c r="AE17" s="8">
        <v>0.78125</v>
      </c>
      <c r="AF17" s="8"/>
      <c r="AG17" s="8">
        <v>0.8298611111111112</v>
      </c>
      <c r="AH17" s="8"/>
      <c r="AI17" s="8"/>
    </row>
    <row r="18">
      <c r="A18" s="11" t="s">
        <v>10</v>
      </c>
      <c r="B18" s="17" t="s">
        <v>11</v>
      </c>
      <c r="C18" s="158">
        <v>0.18055555555555555</v>
      </c>
      <c r="D18" s="158">
        <v>0.2222222222222222</v>
      </c>
      <c r="E18" s="158">
        <v>0.23958333333333334</v>
      </c>
      <c r="F18" s="158">
        <v>0.2638888888888889</v>
      </c>
      <c r="G18" s="158">
        <v>0.28125</v>
      </c>
      <c r="H18" s="158">
        <v>0.3055555555555556</v>
      </c>
      <c r="I18" s="158">
        <v>0.3229166666666667</v>
      </c>
      <c r="J18" s="158">
        <v>0.3472222222222222</v>
      </c>
      <c r="K18" s="158">
        <v>0.3645833333333333</v>
      </c>
      <c r="L18" s="158">
        <v>0.3888888888888889</v>
      </c>
      <c r="M18" s="158">
        <v>0.40625</v>
      </c>
      <c r="N18" s="158">
        <v>0.4305555555555556</v>
      </c>
      <c r="O18" s="158">
        <v>0.4479166666666667</v>
      </c>
      <c r="P18" s="158">
        <v>0.4722222222222222</v>
      </c>
      <c r="Q18" s="158">
        <v>0.4895833333333333</v>
      </c>
      <c r="R18" s="158">
        <v>0.5138888888888888</v>
      </c>
      <c r="S18" s="158">
        <v>0.53125</v>
      </c>
      <c r="T18" s="12">
        <v>0.5555555555555556</v>
      </c>
      <c r="U18" s="8">
        <v>0.5729166666666666</v>
      </c>
      <c r="V18" s="8">
        <v>0.5972222222222222</v>
      </c>
      <c r="W18" s="8">
        <v>0.6145833333333334</v>
      </c>
      <c r="X18" s="8">
        <v>0.6388888888888888</v>
      </c>
      <c r="Y18" s="8">
        <v>0.65625</v>
      </c>
      <c r="Z18" s="8">
        <v>0.6805555555555556</v>
      </c>
      <c r="AA18" s="8">
        <v>0.6979166666666666</v>
      </c>
      <c r="AB18" s="8">
        <v>0.7222222222222222</v>
      </c>
      <c r="AC18" s="8">
        <v>0.7409722222222223</v>
      </c>
      <c r="AD18" s="8">
        <v>0.7638888888888888</v>
      </c>
      <c r="AE18" s="8">
        <v>0.7847222222222222</v>
      </c>
      <c r="AF18" s="8">
        <v>0.8055555555555556</v>
      </c>
      <c r="AG18" s="8">
        <v>0.8333333333333334</v>
      </c>
      <c r="AH18" s="8">
        <v>0.8472222222222222</v>
      </c>
      <c r="AI18" s="8"/>
    </row>
    <row r="19">
      <c r="A19" s="13" t="s">
        <v>242</v>
      </c>
      <c r="B19" s="11" t="s">
        <v>243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7"/>
    </row>
    <row r="20">
      <c r="A20" s="13" t="s">
        <v>244</v>
      </c>
      <c r="B20" s="11" t="s">
        <v>245</v>
      </c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7"/>
    </row>
    <row r="21">
      <c r="A21" s="13" t="s">
        <v>8</v>
      </c>
      <c r="B21" s="17" t="s">
        <v>9</v>
      </c>
      <c r="C21" s="158">
        <v>0.18819444444444444</v>
      </c>
      <c r="D21" s="158">
        <v>0.2298611111111111</v>
      </c>
      <c r="E21" s="158"/>
      <c r="F21" s="158">
        <v>0.27152777777777776</v>
      </c>
      <c r="G21" s="158"/>
      <c r="H21" s="158">
        <v>0.31319444444444444</v>
      </c>
      <c r="I21" s="158"/>
      <c r="J21" s="158">
        <v>0.3548611111111111</v>
      </c>
      <c r="K21" s="158"/>
      <c r="L21" s="158">
        <v>0.39652777777777776</v>
      </c>
      <c r="M21" s="158"/>
      <c r="N21" s="158">
        <v>0.43819444444444444</v>
      </c>
      <c r="O21" s="158"/>
      <c r="P21" s="158">
        <v>0.4798611111111111</v>
      </c>
      <c r="Q21" s="158"/>
      <c r="R21" s="158">
        <v>0.5215277777777778</v>
      </c>
      <c r="S21" s="158"/>
      <c r="T21" s="12">
        <v>0.5631944444444444</v>
      </c>
      <c r="U21" s="8"/>
      <c r="V21" s="8">
        <v>0.6048611111111111</v>
      </c>
      <c r="W21" s="8"/>
      <c r="X21" s="8">
        <v>0.6465277777777778</v>
      </c>
      <c r="Y21" s="8"/>
      <c r="Z21" s="8">
        <v>0.6881944444444444</v>
      </c>
      <c r="AA21" s="8"/>
      <c r="AB21" s="8">
        <v>0.7298611111111111</v>
      </c>
      <c r="AC21" s="8"/>
      <c r="AD21" s="8">
        <v>0.7715277777777778</v>
      </c>
      <c r="AE21" s="8"/>
      <c r="AF21" s="8">
        <v>0.8131944444444444</v>
      </c>
      <c r="AG21" s="8"/>
      <c r="AH21" s="8">
        <v>0.8548611111111111</v>
      </c>
      <c r="AI21" s="8"/>
    </row>
    <row r="22">
      <c r="A22" s="13" t="s">
        <v>6</v>
      </c>
      <c r="B22" s="17" t="s">
        <v>7</v>
      </c>
      <c r="C22" s="158">
        <v>0.1909722222222222</v>
      </c>
      <c r="D22" s="158">
        <v>0.2326388888888889</v>
      </c>
      <c r="E22" s="158"/>
      <c r="F22" s="158">
        <v>0.2743055555555556</v>
      </c>
      <c r="G22" s="158"/>
      <c r="H22" s="158">
        <v>0.3159722222222222</v>
      </c>
      <c r="I22" s="158"/>
      <c r="J22" s="158">
        <v>0.3576388888888889</v>
      </c>
      <c r="K22" s="158"/>
      <c r="L22" s="158">
        <v>0.3993055555555556</v>
      </c>
      <c r="M22" s="158"/>
      <c r="N22" s="158">
        <v>0.4409722222222222</v>
      </c>
      <c r="O22" s="158"/>
      <c r="P22" s="158">
        <v>0.4826388888888889</v>
      </c>
      <c r="Q22" s="158"/>
      <c r="R22" s="158">
        <v>0.5243055555555556</v>
      </c>
      <c r="S22" s="158"/>
      <c r="T22" s="12">
        <v>0.5659722222222222</v>
      </c>
      <c r="U22" s="8"/>
      <c r="V22" s="8">
        <v>0.6076388888888888</v>
      </c>
      <c r="W22" s="8"/>
      <c r="X22" s="8">
        <v>0.6493055555555556</v>
      </c>
      <c r="Y22" s="8"/>
      <c r="Z22" s="8">
        <v>0.6909722222222222</v>
      </c>
      <c r="AA22" s="8"/>
      <c r="AB22" s="8">
        <v>0.7326388888888888</v>
      </c>
      <c r="AC22" s="8"/>
      <c r="AD22" s="8">
        <v>0.7743055555555556</v>
      </c>
      <c r="AE22" s="8"/>
      <c r="AF22" s="8">
        <v>0.8159722222222222</v>
      </c>
      <c r="AG22" s="8"/>
      <c r="AH22" s="8">
        <v>0.8576388888888888</v>
      </c>
      <c r="AI22" s="8"/>
    </row>
    <row r="23">
      <c r="A23" s="13" t="s">
        <v>4</v>
      </c>
      <c r="B23" s="17" t="s">
        <v>5</v>
      </c>
      <c r="C23" s="158">
        <v>0.19444444444444445</v>
      </c>
      <c r="D23" s="158">
        <v>0.2361111111111111</v>
      </c>
      <c r="E23" s="158"/>
      <c r="F23" s="158">
        <v>0.2777777777777778</v>
      </c>
      <c r="G23" s="158"/>
      <c r="H23" s="158">
        <v>0.3194444444444444</v>
      </c>
      <c r="I23" s="158"/>
      <c r="J23" s="158">
        <v>0.3611111111111111</v>
      </c>
      <c r="K23" s="158"/>
      <c r="L23" s="158">
        <v>0.4027777777777778</v>
      </c>
      <c r="M23" s="158"/>
      <c r="N23" s="158">
        <v>0.4444444444444444</v>
      </c>
      <c r="O23" s="158"/>
      <c r="P23" s="158">
        <v>0.4861111111111111</v>
      </c>
      <c r="Q23" s="158"/>
      <c r="R23" s="158">
        <v>0.5277777777777778</v>
      </c>
      <c r="S23" s="158"/>
      <c r="T23" s="12">
        <v>0.5694444444444444</v>
      </c>
      <c r="U23" s="8"/>
      <c r="V23" s="8">
        <v>0.6111111111111112</v>
      </c>
      <c r="W23" s="8"/>
      <c r="X23" s="8">
        <v>0.6527777777777778</v>
      </c>
      <c r="Y23" s="8"/>
      <c r="Z23" s="8">
        <v>0.6944444444444444</v>
      </c>
      <c r="AA23" s="8"/>
      <c r="AB23" s="8">
        <v>0.7361111111111112</v>
      </c>
      <c r="AC23" s="8"/>
      <c r="AD23" s="8">
        <v>0.7777777777777778</v>
      </c>
      <c r="AE23" s="8"/>
      <c r="AF23" s="8">
        <v>0.8194444444444444</v>
      </c>
      <c r="AG23" s="8"/>
      <c r="AH23" s="8">
        <v>0.8611111111111112</v>
      </c>
      <c r="AI23" s="8"/>
    </row>
    <row r="24">
      <c r="A24" s="1"/>
      <c r="B24" s="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4"/>
    </row>
    <row r="25">
      <c r="A25" s="13"/>
      <c r="B25" s="10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>
      <c r="A26" s="13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"/>
    </row>
    <row r="27">
      <c r="A27" s="13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"/>
    </row>
    <row r="28">
      <c r="A28" s="13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"/>
    </row>
    <row r="29">
      <c r="A29" s="13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"/>
    </row>
    <row r="30">
      <c r="A30" s="13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"/>
    </row>
    <row r="31">
      <c r="A31" s="13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"/>
    </row>
    <row r="32">
      <c r="A32" s="13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"/>
    </row>
    <row r="33">
      <c r="A33" s="13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"/>
    </row>
    <row r="34">
      <c r="A34" s="13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"/>
    </row>
    <row r="35">
      <c r="A35" s="13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"/>
    </row>
    <row r="36">
      <c r="A36" s="13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"/>
    </row>
    <row r="37">
      <c r="A37" s="13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"/>
    </row>
    <row r="38">
      <c r="A38" s="13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"/>
    </row>
    <row r="39">
      <c r="A39" s="13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"/>
    </row>
    <row r="40">
      <c r="A40" s="13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"/>
    </row>
    <row r="41">
      <c r="A41" s="13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"/>
    </row>
    <row r="42">
      <c r="A42" s="13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"/>
    </row>
    <row r="43">
      <c r="A43" s="13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"/>
    </row>
    <row r="44">
      <c r="A44" s="13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"/>
    </row>
    <row r="45">
      <c r="A45" s="13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"/>
    </row>
    <row r="46">
      <c r="A46" s="13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"/>
    </row>
    <row r="47">
      <c r="A47" s="13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"/>
    </row>
    <row r="48">
      <c r="A48" s="13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"/>
    </row>
    <row r="49">
      <c r="A49" s="13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"/>
    </row>
    <row r="50">
      <c r="A50" s="13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"/>
    </row>
    <row r="51">
      <c r="A51" s="13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"/>
    </row>
    <row r="52">
      <c r="A52" s="13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"/>
    </row>
    <row r="53">
      <c r="A53" s="13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"/>
    </row>
    <row r="54">
      <c r="A54" s="13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"/>
    </row>
    <row r="55">
      <c r="A55" s="13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"/>
    </row>
    <row r="56">
      <c r="A56" s="13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"/>
    </row>
    <row r="57">
      <c r="A57" s="13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"/>
    </row>
    <row r="58">
      <c r="A58" s="13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"/>
    </row>
    <row r="59">
      <c r="A59" s="13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"/>
    </row>
    <row r="60">
      <c r="A60" s="13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"/>
    </row>
    <row r="61">
      <c r="A61" s="13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"/>
    </row>
    <row r="62">
      <c r="A62" s="13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"/>
    </row>
    <row r="63">
      <c r="A63" s="13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"/>
    </row>
    <row r="64">
      <c r="A64" s="13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"/>
    </row>
    <row r="65">
      <c r="A65" s="13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"/>
    </row>
    <row r="66">
      <c r="A66" s="13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"/>
    </row>
    <row r="67">
      <c r="A67" s="13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"/>
    </row>
    <row r="68">
      <c r="A68" s="13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'PTA-to-DEWIL_Weekday'!B1</f>
        <v>46055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>
      <c r="A2" s="1" t="s">
        <v>2</v>
      </c>
      <c r="B2" s="1" t="s">
        <v>3</v>
      </c>
      <c r="C2" s="149">
        <v>4500.0</v>
      </c>
      <c r="D2" s="149">
        <v>4400.0</v>
      </c>
      <c r="E2" s="149">
        <v>4502.0</v>
      </c>
      <c r="F2" s="149">
        <v>4402.0</v>
      </c>
      <c r="G2" s="149">
        <v>4504.0</v>
      </c>
      <c r="H2" s="149">
        <v>4404.0</v>
      </c>
      <c r="I2" s="149">
        <v>4506.0</v>
      </c>
      <c r="J2" s="149">
        <v>4406.0</v>
      </c>
      <c r="K2" s="149">
        <v>4508.0</v>
      </c>
      <c r="L2" s="149">
        <v>4408.0</v>
      </c>
      <c r="M2" s="149">
        <v>4510.0</v>
      </c>
      <c r="N2" s="149">
        <v>4410.0</v>
      </c>
      <c r="O2" s="149">
        <v>4512.0</v>
      </c>
      <c r="P2" s="149">
        <v>4412.0</v>
      </c>
      <c r="Q2" s="149">
        <v>4514.0</v>
      </c>
      <c r="R2" s="149">
        <v>4414.0</v>
      </c>
      <c r="S2" s="149">
        <v>4516.0</v>
      </c>
      <c r="T2" s="149">
        <v>4416.0</v>
      </c>
      <c r="U2" s="149">
        <v>4518.0</v>
      </c>
      <c r="V2" s="149">
        <v>4418.0</v>
      </c>
      <c r="W2" s="149">
        <v>4520.0</v>
      </c>
      <c r="X2" s="149">
        <v>4420.0</v>
      </c>
      <c r="Y2" s="149">
        <v>4522.0</v>
      </c>
      <c r="Z2" s="149">
        <v>4422.0</v>
      </c>
      <c r="AA2" s="149">
        <v>4524.0</v>
      </c>
      <c r="AB2" s="149">
        <v>4424.0</v>
      </c>
      <c r="AC2" s="149">
        <v>4526.0</v>
      </c>
      <c r="AD2" s="149">
        <v>4426.0</v>
      </c>
      <c r="AE2" s="149">
        <v>4528.0</v>
      </c>
      <c r="AF2" s="149">
        <v>4428.0</v>
      </c>
      <c r="AG2" s="149">
        <v>4530.0</v>
      </c>
      <c r="AH2" s="149">
        <v>4532.0</v>
      </c>
      <c r="AI2" s="3"/>
      <c r="AJ2" s="3"/>
      <c r="AK2" s="3"/>
    </row>
    <row r="3">
      <c r="A3" s="159" t="s">
        <v>4</v>
      </c>
      <c r="B3" s="6" t="s">
        <v>5</v>
      </c>
      <c r="C3" s="157">
        <v>0.1597222222222222</v>
      </c>
      <c r="D3" s="157"/>
      <c r="E3" s="157">
        <v>0.2013888888888889</v>
      </c>
      <c r="F3" s="157"/>
      <c r="G3" s="157">
        <v>0.24305555555555555</v>
      </c>
      <c r="H3" s="157"/>
      <c r="I3" s="157">
        <v>0.2847222222222222</v>
      </c>
      <c r="J3" s="157"/>
      <c r="K3" s="157">
        <v>0.3263888888888889</v>
      </c>
      <c r="L3" s="157"/>
      <c r="M3" s="157">
        <v>0.3680555555555556</v>
      </c>
      <c r="N3" s="157"/>
      <c r="O3" s="157">
        <v>0.4097222222222222</v>
      </c>
      <c r="P3" s="157"/>
      <c r="Q3" s="157">
        <v>0.4513888888888889</v>
      </c>
      <c r="R3" s="157"/>
      <c r="S3" s="157">
        <v>0.4930555555555556</v>
      </c>
      <c r="T3" s="157"/>
      <c r="U3" s="157">
        <v>0.5347222222222222</v>
      </c>
      <c r="V3" s="157"/>
      <c r="W3" s="157">
        <v>0.5763888888888888</v>
      </c>
      <c r="X3" s="157"/>
      <c r="Y3" s="157">
        <v>0.6180555555555556</v>
      </c>
      <c r="Z3" s="157"/>
      <c r="AA3" s="157">
        <v>0.6597222222222222</v>
      </c>
      <c r="AB3" s="157"/>
      <c r="AC3" s="157">
        <v>0.7013888888888888</v>
      </c>
      <c r="AD3" s="157"/>
      <c r="AE3" s="157">
        <v>0.7430555555555556</v>
      </c>
      <c r="AF3" s="157"/>
      <c r="AG3" s="157">
        <v>0.7847222222222222</v>
      </c>
      <c r="AH3" s="157">
        <v>0.8263888888888888</v>
      </c>
    </row>
    <row r="4">
      <c r="A4" s="152" t="s">
        <v>6</v>
      </c>
      <c r="B4" s="8" t="s">
        <v>7</v>
      </c>
      <c r="C4" s="158">
        <v>0.16319444444444445</v>
      </c>
      <c r="D4" s="158"/>
      <c r="E4" s="158">
        <v>0.2048611111111111</v>
      </c>
      <c r="F4" s="158"/>
      <c r="G4" s="158">
        <v>0.2465277777777778</v>
      </c>
      <c r="H4" s="158"/>
      <c r="I4" s="158">
        <v>0.2881944444444444</v>
      </c>
      <c r="J4" s="158"/>
      <c r="K4" s="158">
        <v>0.3298611111111111</v>
      </c>
      <c r="L4" s="158"/>
      <c r="M4" s="158">
        <v>0.3715277777777778</v>
      </c>
      <c r="N4" s="158"/>
      <c r="O4" s="158">
        <v>0.4131944444444444</v>
      </c>
      <c r="P4" s="158"/>
      <c r="Q4" s="158">
        <v>0.4548611111111111</v>
      </c>
      <c r="R4" s="158"/>
      <c r="S4" s="158">
        <v>0.4965277777777778</v>
      </c>
      <c r="T4" s="158"/>
      <c r="U4" s="158">
        <v>0.5381944444444444</v>
      </c>
      <c r="V4" s="158"/>
      <c r="W4" s="158">
        <v>0.5798611111111112</v>
      </c>
      <c r="X4" s="158"/>
      <c r="Y4" s="158">
        <v>0.6215277777777778</v>
      </c>
      <c r="Z4" s="158"/>
      <c r="AA4" s="158">
        <v>0.6631944444444444</v>
      </c>
      <c r="AB4" s="158"/>
      <c r="AC4" s="158">
        <v>0.7048611111111112</v>
      </c>
      <c r="AD4" s="158"/>
      <c r="AE4" s="158">
        <v>0.7465277777777778</v>
      </c>
      <c r="AF4" s="158"/>
      <c r="AG4" s="158">
        <v>0.7881944444444444</v>
      </c>
      <c r="AH4" s="158">
        <v>0.8298611111111112</v>
      </c>
    </row>
    <row r="5">
      <c r="A5" s="152" t="s">
        <v>8</v>
      </c>
      <c r="B5" s="8" t="s">
        <v>9</v>
      </c>
      <c r="C5" s="158">
        <v>0.16527777777777777</v>
      </c>
      <c r="D5" s="158"/>
      <c r="E5" s="158">
        <v>0.20694444444444443</v>
      </c>
      <c r="F5" s="158"/>
      <c r="G5" s="158">
        <v>0.24861111111111112</v>
      </c>
      <c r="H5" s="158"/>
      <c r="I5" s="158">
        <v>0.2902777777777778</v>
      </c>
      <c r="J5" s="158"/>
      <c r="K5" s="158">
        <v>0.33194444444444443</v>
      </c>
      <c r="L5" s="158"/>
      <c r="M5" s="158">
        <v>0.3736111111111111</v>
      </c>
      <c r="N5" s="158"/>
      <c r="O5" s="158">
        <v>0.4152777777777778</v>
      </c>
      <c r="P5" s="158"/>
      <c r="Q5" s="158">
        <v>0.45694444444444443</v>
      </c>
      <c r="R5" s="158"/>
      <c r="S5" s="158">
        <v>0.4986111111111111</v>
      </c>
      <c r="T5" s="158"/>
      <c r="U5" s="158">
        <v>0.5402777777777777</v>
      </c>
      <c r="V5" s="158"/>
      <c r="W5" s="158">
        <v>0.5819444444444445</v>
      </c>
      <c r="X5" s="158"/>
      <c r="Y5" s="158">
        <v>0.6236111111111111</v>
      </c>
      <c r="Z5" s="158"/>
      <c r="AA5" s="158">
        <v>0.6652777777777777</v>
      </c>
      <c r="AB5" s="158"/>
      <c r="AC5" s="158">
        <v>0.7069444444444445</v>
      </c>
      <c r="AD5" s="158"/>
      <c r="AE5" s="158">
        <v>0.7486111111111111</v>
      </c>
      <c r="AF5" s="158"/>
      <c r="AG5" s="158">
        <v>0.7902777777777777</v>
      </c>
      <c r="AH5" s="158">
        <v>0.8319444444444445</v>
      </c>
    </row>
    <row r="6">
      <c r="A6" s="8" t="s">
        <v>244</v>
      </c>
      <c r="B6" s="8" t="s">
        <v>245</v>
      </c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</row>
    <row r="7">
      <c r="A7" s="8" t="s">
        <v>242</v>
      </c>
      <c r="B7" s="8" t="s">
        <v>243</v>
      </c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8"/>
      <c r="AG7" s="158"/>
      <c r="AH7" s="158"/>
    </row>
    <row r="8">
      <c r="A8" s="8" t="s">
        <v>10</v>
      </c>
      <c r="B8" s="8" t="s">
        <v>11</v>
      </c>
      <c r="C8" s="158">
        <v>0.1736111111111111</v>
      </c>
      <c r="D8" s="158">
        <v>0.17708333333333334</v>
      </c>
      <c r="E8" s="158">
        <v>0.2152777777777778</v>
      </c>
      <c r="F8" s="158">
        <v>0.21875</v>
      </c>
      <c r="G8" s="158">
        <v>0.2569444444444444</v>
      </c>
      <c r="H8" s="158">
        <v>0.2604166666666667</v>
      </c>
      <c r="I8" s="158">
        <v>0.2986111111111111</v>
      </c>
      <c r="J8" s="158">
        <v>0.3020833333333333</v>
      </c>
      <c r="K8" s="158">
        <v>0.3402777777777778</v>
      </c>
      <c r="L8" s="158">
        <v>0.34375</v>
      </c>
      <c r="M8" s="158">
        <v>0.3819444444444444</v>
      </c>
      <c r="N8" s="158">
        <v>0.3854166666666667</v>
      </c>
      <c r="O8" s="158">
        <v>0.4236111111111111</v>
      </c>
      <c r="P8" s="158">
        <v>0.4270833333333333</v>
      </c>
      <c r="Q8" s="158">
        <v>0.4652777777777778</v>
      </c>
      <c r="R8" s="158">
        <v>0.46875</v>
      </c>
      <c r="S8" s="158">
        <v>0.5069444444444444</v>
      </c>
      <c r="T8" s="158">
        <v>0.5104166666666666</v>
      </c>
      <c r="U8" s="158">
        <v>0.5486111111111112</v>
      </c>
      <c r="V8" s="158">
        <v>0.5520833333333334</v>
      </c>
      <c r="W8" s="158">
        <v>0.5902777777777778</v>
      </c>
      <c r="X8" s="158">
        <v>0.59375</v>
      </c>
      <c r="Y8" s="158">
        <v>0.6319444444444444</v>
      </c>
      <c r="Z8" s="158">
        <v>0.6354166666666666</v>
      </c>
      <c r="AA8" s="158">
        <v>0.6736111111111112</v>
      </c>
      <c r="AB8" s="158">
        <v>0.6770833333333334</v>
      </c>
      <c r="AC8" s="158">
        <v>0.7152777777777778</v>
      </c>
      <c r="AD8" s="158">
        <v>0.7222222222222222</v>
      </c>
      <c r="AE8" s="158">
        <v>0.7569444444444444</v>
      </c>
      <c r="AF8" s="158">
        <v>0.7604166666666666</v>
      </c>
      <c r="AG8" s="158">
        <v>0.7986111111111112</v>
      </c>
      <c r="AH8" s="158">
        <v>0.8402777777777778</v>
      </c>
    </row>
    <row r="9">
      <c r="A9" s="152" t="s">
        <v>12</v>
      </c>
      <c r="B9" s="8" t="s">
        <v>13</v>
      </c>
      <c r="C9" s="158"/>
      <c r="D9" s="158">
        <v>0.18055555555555555</v>
      </c>
      <c r="E9" s="158"/>
      <c r="F9" s="158">
        <v>0.2222222222222222</v>
      </c>
      <c r="G9" s="158"/>
      <c r="H9" s="158">
        <v>0.2638888888888889</v>
      </c>
      <c r="I9" s="158"/>
      <c r="J9" s="158">
        <v>0.3055555555555556</v>
      </c>
      <c r="K9" s="158"/>
      <c r="L9" s="158">
        <v>0.3472222222222222</v>
      </c>
      <c r="M9" s="158"/>
      <c r="N9" s="158">
        <v>0.3888888888888889</v>
      </c>
      <c r="O9" s="158"/>
      <c r="P9" s="158">
        <v>0.4305555555555556</v>
      </c>
      <c r="Q9" s="158"/>
      <c r="R9" s="158">
        <v>0.4722222222222222</v>
      </c>
      <c r="S9" s="158"/>
      <c r="T9" s="158">
        <v>0.5138888888888888</v>
      </c>
      <c r="U9" s="158"/>
      <c r="V9" s="158">
        <v>0.5555555555555556</v>
      </c>
      <c r="W9" s="158"/>
      <c r="X9" s="158">
        <v>0.5972222222222222</v>
      </c>
      <c r="Y9" s="158"/>
      <c r="Z9" s="158">
        <v>0.6388888888888888</v>
      </c>
      <c r="AA9" s="158"/>
      <c r="AB9" s="158">
        <v>0.6805555555555556</v>
      </c>
      <c r="AC9" s="158"/>
      <c r="AD9" s="158">
        <v>0.7256944444444444</v>
      </c>
      <c r="AE9" s="158"/>
      <c r="AF9" s="158">
        <v>0.7638888888888888</v>
      </c>
      <c r="AG9" s="158"/>
      <c r="AH9" s="158"/>
    </row>
    <row r="10">
      <c r="A10" s="152" t="s">
        <v>14</v>
      </c>
      <c r="B10" s="8" t="s">
        <v>15</v>
      </c>
      <c r="C10" s="158"/>
      <c r="D10" s="158">
        <v>0.18472222222222223</v>
      </c>
      <c r="E10" s="158"/>
      <c r="F10" s="158">
        <v>0.2263888888888889</v>
      </c>
      <c r="G10" s="158"/>
      <c r="H10" s="158">
        <v>0.26805555555555555</v>
      </c>
      <c r="I10" s="158"/>
      <c r="J10" s="158">
        <v>0.30972222222222223</v>
      </c>
      <c r="K10" s="158"/>
      <c r="L10" s="158">
        <v>0.35138888888888886</v>
      </c>
      <c r="M10" s="158"/>
      <c r="N10" s="158">
        <v>0.39305555555555555</v>
      </c>
      <c r="O10" s="158"/>
      <c r="P10" s="158">
        <v>0.43472222222222223</v>
      </c>
      <c r="Q10" s="158"/>
      <c r="R10" s="158">
        <v>0.47638888888888886</v>
      </c>
      <c r="S10" s="158"/>
      <c r="T10" s="158">
        <v>0.5180555555555556</v>
      </c>
      <c r="U10" s="158"/>
      <c r="V10" s="158">
        <v>0.5597222222222222</v>
      </c>
      <c r="W10" s="158"/>
      <c r="X10" s="158">
        <v>0.6013888888888889</v>
      </c>
      <c r="Y10" s="158"/>
      <c r="Z10" s="158">
        <v>0.6430555555555556</v>
      </c>
      <c r="AA10" s="158"/>
      <c r="AB10" s="158">
        <v>0.6847222222222222</v>
      </c>
      <c r="AC10" s="158"/>
      <c r="AD10" s="158">
        <v>0.7298611111111111</v>
      </c>
      <c r="AE10" s="158"/>
      <c r="AF10" s="158">
        <v>0.7680555555555556</v>
      </c>
      <c r="AG10" s="158"/>
      <c r="AH10" s="158"/>
    </row>
    <row r="11">
      <c r="A11" s="7" t="s">
        <v>16</v>
      </c>
      <c r="B11" s="7" t="s">
        <v>17</v>
      </c>
      <c r="C11" s="158"/>
      <c r="D11" s="158">
        <v>0.1875</v>
      </c>
      <c r="E11" s="158"/>
      <c r="F11" s="158">
        <v>0.22916666666666666</v>
      </c>
      <c r="G11" s="158"/>
      <c r="H11" s="158">
        <v>0.2708333333333333</v>
      </c>
      <c r="I11" s="158"/>
      <c r="J11" s="158">
        <v>0.3125</v>
      </c>
      <c r="K11" s="158"/>
      <c r="L11" s="158">
        <v>0.3541666666666667</v>
      </c>
      <c r="M11" s="158"/>
      <c r="N11" s="158">
        <v>0.3958333333333333</v>
      </c>
      <c r="O11" s="158"/>
      <c r="P11" s="158">
        <v>0.4375</v>
      </c>
      <c r="Q11" s="158"/>
      <c r="R11" s="158">
        <v>0.4791666666666667</v>
      </c>
      <c r="S11" s="158"/>
      <c r="T11" s="158">
        <v>0.5208333333333334</v>
      </c>
      <c r="U11" s="158"/>
      <c r="V11" s="158">
        <v>0.5625</v>
      </c>
      <c r="W11" s="158"/>
      <c r="X11" s="158">
        <v>0.6041666666666666</v>
      </c>
      <c r="Y11" s="158"/>
      <c r="Z11" s="158">
        <v>0.6458333333333334</v>
      </c>
      <c r="AA11" s="158"/>
      <c r="AB11" s="158">
        <v>0.6875</v>
      </c>
      <c r="AC11" s="158"/>
      <c r="AD11" s="158">
        <v>0.7326388888888888</v>
      </c>
      <c r="AE11" s="158"/>
      <c r="AF11" s="158">
        <v>0.7708333333333334</v>
      </c>
      <c r="AG11" s="158"/>
      <c r="AH11" s="158"/>
    </row>
    <row r="12">
      <c r="A12" s="83" t="s">
        <v>105</v>
      </c>
      <c r="B12" s="83" t="s">
        <v>106</v>
      </c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</row>
    <row r="13">
      <c r="A13" s="160" t="s">
        <v>18</v>
      </c>
      <c r="B13" s="83" t="s">
        <v>19</v>
      </c>
      <c r="C13" s="158"/>
      <c r="D13" s="158">
        <v>0.19236111111111112</v>
      </c>
      <c r="E13" s="158"/>
      <c r="F13" s="158">
        <v>0.23402777777777778</v>
      </c>
      <c r="G13" s="158"/>
      <c r="H13" s="158">
        <v>0.27569444444444446</v>
      </c>
      <c r="I13" s="158"/>
      <c r="J13" s="158">
        <v>0.3173611111111111</v>
      </c>
      <c r="K13" s="158"/>
      <c r="L13" s="158">
        <v>0.3590277777777778</v>
      </c>
      <c r="M13" s="158"/>
      <c r="N13" s="158">
        <v>0.40069444444444446</v>
      </c>
      <c r="O13" s="158"/>
      <c r="P13" s="158">
        <v>0.4423611111111111</v>
      </c>
      <c r="Q13" s="158"/>
      <c r="R13" s="158">
        <v>0.4840277777777778</v>
      </c>
      <c r="S13" s="158"/>
      <c r="T13" s="158">
        <v>0.5256944444444445</v>
      </c>
      <c r="U13" s="158"/>
      <c r="V13" s="158">
        <v>0.5673611111111111</v>
      </c>
      <c r="W13" s="158"/>
      <c r="X13" s="158">
        <v>0.6090277777777777</v>
      </c>
      <c r="Y13" s="158"/>
      <c r="Z13" s="158">
        <v>0.6506944444444445</v>
      </c>
      <c r="AA13" s="158"/>
      <c r="AB13" s="158">
        <v>0.6923611111111111</v>
      </c>
      <c r="AC13" s="158"/>
      <c r="AD13" s="158">
        <v>0.7375</v>
      </c>
      <c r="AE13" s="158"/>
      <c r="AF13" s="158">
        <v>0.7756944444444445</v>
      </c>
      <c r="AG13" s="158"/>
      <c r="AH13" s="158"/>
    </row>
    <row r="14">
      <c r="A14" s="83" t="s">
        <v>103</v>
      </c>
      <c r="B14" s="83" t="s">
        <v>104</v>
      </c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</row>
    <row r="15">
      <c r="A15" s="1" t="s">
        <v>20</v>
      </c>
      <c r="B15" s="7" t="s">
        <v>21</v>
      </c>
      <c r="C15" s="158"/>
      <c r="D15" s="158">
        <v>0.19583333333333333</v>
      </c>
      <c r="E15" s="158"/>
      <c r="F15" s="158">
        <v>0.2375</v>
      </c>
      <c r="G15" s="158"/>
      <c r="H15" s="158">
        <v>0.2791666666666667</v>
      </c>
      <c r="I15" s="158"/>
      <c r="J15" s="158">
        <v>0.32083333333333336</v>
      </c>
      <c r="K15" s="158"/>
      <c r="L15" s="158">
        <v>0.3625</v>
      </c>
      <c r="M15" s="158"/>
      <c r="N15" s="158">
        <v>0.4041666666666667</v>
      </c>
      <c r="O15" s="158"/>
      <c r="P15" s="158">
        <v>0.44583333333333336</v>
      </c>
      <c r="Q15" s="158"/>
      <c r="R15" s="158">
        <v>0.4875</v>
      </c>
      <c r="S15" s="158"/>
      <c r="T15" s="158">
        <v>0.5291666666666667</v>
      </c>
      <c r="U15" s="158"/>
      <c r="V15" s="158">
        <v>0.5708333333333333</v>
      </c>
      <c r="W15" s="158"/>
      <c r="X15" s="158">
        <v>0.6125</v>
      </c>
      <c r="Y15" s="158"/>
      <c r="Z15" s="158">
        <v>0.6541666666666667</v>
      </c>
      <c r="AA15" s="158"/>
      <c r="AB15" s="158">
        <v>0.6958333333333333</v>
      </c>
      <c r="AC15" s="158"/>
      <c r="AD15" s="158">
        <v>0.7409722222222223</v>
      </c>
      <c r="AE15" s="158"/>
      <c r="AF15" s="158">
        <v>0.7791666666666667</v>
      </c>
      <c r="AG15" s="158"/>
      <c r="AH15" s="158"/>
    </row>
    <row r="16">
      <c r="A16" s="1" t="s">
        <v>101</v>
      </c>
      <c r="B16" s="7" t="s">
        <v>102</v>
      </c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58"/>
      <c r="AG16" s="158"/>
      <c r="AH16" s="158"/>
    </row>
    <row r="17">
      <c r="A17" s="1" t="s">
        <v>99</v>
      </c>
      <c r="B17" s="7" t="s">
        <v>100</v>
      </c>
      <c r="C17" s="158"/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</row>
    <row r="18">
      <c r="A18" s="160" t="s">
        <v>97</v>
      </c>
      <c r="B18" s="83" t="s">
        <v>98</v>
      </c>
      <c r="C18" s="158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  <c r="AA18" s="158"/>
      <c r="AB18" s="158"/>
      <c r="AC18" s="158"/>
      <c r="AD18" s="158"/>
      <c r="AE18" s="158"/>
      <c r="AF18" s="158"/>
      <c r="AG18" s="158"/>
      <c r="AH18" s="158"/>
    </row>
    <row r="19">
      <c r="A19" s="14" t="s">
        <v>95</v>
      </c>
      <c r="B19" s="14" t="s">
        <v>96</v>
      </c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</row>
    <row r="20">
      <c r="A20" s="13" t="s">
        <v>22</v>
      </c>
      <c r="B20" s="11" t="s">
        <v>23</v>
      </c>
      <c r="C20" s="158"/>
      <c r="D20" s="158">
        <v>0.20069444444444445</v>
      </c>
      <c r="E20" s="158"/>
      <c r="F20" s="158">
        <v>0.2423611111111111</v>
      </c>
      <c r="G20" s="158"/>
      <c r="H20" s="158">
        <v>0.28402777777777777</v>
      </c>
      <c r="I20" s="158"/>
      <c r="J20" s="158">
        <v>0.32569444444444445</v>
      </c>
      <c r="K20" s="158"/>
      <c r="L20" s="158">
        <v>0.36736111111111114</v>
      </c>
      <c r="M20" s="158"/>
      <c r="N20" s="158">
        <v>0.40902777777777777</v>
      </c>
      <c r="O20" s="158"/>
      <c r="P20" s="158">
        <v>0.45069444444444445</v>
      </c>
      <c r="Q20" s="158"/>
      <c r="R20" s="158">
        <v>0.49236111111111114</v>
      </c>
      <c r="S20" s="158"/>
      <c r="T20" s="158">
        <v>0.5340277777777778</v>
      </c>
      <c r="U20" s="158"/>
      <c r="V20" s="158">
        <v>0.5756944444444444</v>
      </c>
      <c r="W20" s="158"/>
      <c r="X20" s="158">
        <v>0.6173611111111111</v>
      </c>
      <c r="Y20" s="158"/>
      <c r="Z20" s="158">
        <v>0.6590277777777778</v>
      </c>
      <c r="AA20" s="158"/>
      <c r="AB20" s="158">
        <v>0.7006944444444444</v>
      </c>
      <c r="AC20" s="158"/>
      <c r="AD20" s="158">
        <v>0.7458333333333333</v>
      </c>
      <c r="AE20" s="158"/>
      <c r="AF20" s="158">
        <v>0.7840277777777778</v>
      </c>
      <c r="AG20" s="158"/>
      <c r="AH20" s="158"/>
    </row>
    <row r="21">
      <c r="A21" s="13" t="s">
        <v>93</v>
      </c>
      <c r="B21" s="11" t="s">
        <v>94</v>
      </c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8"/>
    </row>
    <row r="22">
      <c r="A22" s="18" t="s">
        <v>91</v>
      </c>
      <c r="B22" s="14" t="s">
        <v>92</v>
      </c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  <c r="AA22" s="158"/>
      <c r="AB22" s="158"/>
      <c r="AC22" s="158"/>
      <c r="AD22" s="158"/>
      <c r="AE22" s="158"/>
      <c r="AF22" s="158"/>
      <c r="AG22" s="158"/>
      <c r="AH22" s="158"/>
    </row>
    <row r="23">
      <c r="A23" s="13" t="s">
        <v>24</v>
      </c>
      <c r="B23" s="12" t="s">
        <v>25</v>
      </c>
      <c r="C23" s="158"/>
      <c r="D23" s="158">
        <v>0.2048611111111111</v>
      </c>
      <c r="E23" s="158"/>
      <c r="F23" s="158">
        <v>0.2465277777777778</v>
      </c>
      <c r="G23" s="158"/>
      <c r="H23" s="158">
        <v>0.2881944444444444</v>
      </c>
      <c r="I23" s="158"/>
      <c r="J23" s="158">
        <v>0.3298611111111111</v>
      </c>
      <c r="K23" s="158"/>
      <c r="L23" s="158">
        <v>0.3715277777777778</v>
      </c>
      <c r="M23" s="158"/>
      <c r="N23" s="158">
        <v>0.4131944444444444</v>
      </c>
      <c r="O23" s="158"/>
      <c r="P23" s="158">
        <v>0.4548611111111111</v>
      </c>
      <c r="Q23" s="158"/>
      <c r="R23" s="158">
        <v>0.4965277777777778</v>
      </c>
      <c r="S23" s="158"/>
      <c r="T23" s="158">
        <v>0.5381944444444444</v>
      </c>
      <c r="U23" s="158"/>
      <c r="V23" s="158">
        <v>0.5798611111111112</v>
      </c>
      <c r="W23" s="158"/>
      <c r="X23" s="158">
        <v>0.6215277777777778</v>
      </c>
      <c r="Y23" s="158"/>
      <c r="Z23" s="158">
        <v>0.6631944444444444</v>
      </c>
      <c r="AA23" s="158"/>
      <c r="AB23" s="158">
        <v>0.7048611111111112</v>
      </c>
      <c r="AC23" s="158"/>
      <c r="AD23" s="158">
        <v>0.75</v>
      </c>
      <c r="AE23" s="158"/>
      <c r="AF23" s="158">
        <v>0.7881944444444444</v>
      </c>
      <c r="AG23" s="158"/>
      <c r="AH23" s="158"/>
    </row>
    <row r="24">
      <c r="A24" s="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2"/>
      <c r="T26" s="12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2"/>
      <c r="T27" s="12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2"/>
      <c r="T28" s="12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2"/>
      <c r="T29" s="12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2"/>
      <c r="T30" s="12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2"/>
      <c r="T31" s="12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2"/>
      <c r="T32" s="12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2"/>
      <c r="T33" s="12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2"/>
      <c r="T34" s="12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2"/>
      <c r="T35" s="12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2"/>
      <c r="T36" s="12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2"/>
      <c r="T37" s="12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2"/>
      <c r="T38" s="12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2"/>
      <c r="T39" s="12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2"/>
      <c r="T40" s="12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2"/>
      <c r="T41" s="12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2"/>
      <c r="T42" s="12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2"/>
      <c r="T43" s="12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2"/>
      <c r="T44" s="12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2"/>
      <c r="T45" s="12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2"/>
      <c r="T46" s="12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2"/>
      <c r="T47" s="12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2"/>
      <c r="T48" s="12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2"/>
      <c r="T49" s="12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2"/>
      <c r="T50" s="12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2"/>
      <c r="T51" s="12"/>
    </row>
    <row r="52">
      <c r="D52" s="14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</row>
    <row r="53">
      <c r="D53" s="145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</row>
    <row r="54">
      <c r="D54" s="17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</row>
    <row r="55">
      <c r="D55" s="14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</row>
    <row r="56">
      <c r="E56" s="145"/>
      <c r="F56" s="145"/>
      <c r="G56" s="145"/>
      <c r="H56" s="145"/>
      <c r="I56" s="145"/>
      <c r="J56" s="145"/>
      <c r="K56" s="17"/>
      <c r="L56" s="17"/>
      <c r="M56" s="17"/>
      <c r="N56" s="17"/>
      <c r="O56" s="17"/>
      <c r="P56" s="17"/>
      <c r="Q56" s="17"/>
      <c r="R56" s="17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4401.0</v>
      </c>
      <c r="D2" s="1">
        <v>4403.0</v>
      </c>
      <c r="E2" s="1">
        <v>4419.0</v>
      </c>
      <c r="F2" s="1">
        <v>4421.0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0.2569444444444444</v>
      </c>
      <c r="D3" s="6">
        <v>0.3819444444444444</v>
      </c>
      <c r="E3" s="6">
        <v>0.6284722222222222</v>
      </c>
      <c r="F3" s="6">
        <v>0.7847222222222222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91</v>
      </c>
      <c r="B4" s="7" t="s">
        <v>92</v>
      </c>
      <c r="C4" s="146"/>
      <c r="D4" s="146"/>
      <c r="E4" s="146"/>
      <c r="F4" s="146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93</v>
      </c>
      <c r="B5" s="7" t="s">
        <v>94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22</v>
      </c>
      <c r="B6" s="9" t="s">
        <v>23</v>
      </c>
      <c r="C6" s="10">
        <v>0.26111111111111107</v>
      </c>
      <c r="D6" s="10">
        <v>0.38611111111111107</v>
      </c>
      <c r="E6" s="10">
        <v>0.6326388888888889</v>
      </c>
      <c r="F6" s="10">
        <v>0.7888888888888889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95</v>
      </c>
      <c r="B7" s="7" t="s">
        <v>96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97</v>
      </c>
      <c r="B8" s="7" t="s">
        <v>98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 t="s">
        <v>99</v>
      </c>
      <c r="B9" s="7" t="s">
        <v>100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 t="s">
        <v>101</v>
      </c>
      <c r="B10" s="7" t="s">
        <v>102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7" t="s">
        <v>20</v>
      </c>
      <c r="B11" s="9" t="s">
        <v>21</v>
      </c>
      <c r="C11" s="8">
        <v>0.2652777777777778</v>
      </c>
      <c r="D11" s="8">
        <v>0.3902777777777778</v>
      </c>
      <c r="E11" s="8">
        <v>0.6368055555555555</v>
      </c>
      <c r="F11" s="8">
        <v>0.7930555555555555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7" t="s">
        <v>103</v>
      </c>
      <c r="B12" s="7" t="s">
        <v>104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 t="s">
        <v>18</v>
      </c>
      <c r="B13" s="9" t="s">
        <v>19</v>
      </c>
      <c r="C13" s="8">
        <v>0.26944444444444443</v>
      </c>
      <c r="D13" s="8">
        <v>0.39444444444444443</v>
      </c>
      <c r="E13" s="8">
        <v>0.6409722222222223</v>
      </c>
      <c r="F13" s="8">
        <v>0.7972222222222223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7" t="s">
        <v>105</v>
      </c>
      <c r="B14" s="7" t="s">
        <v>106</v>
      </c>
      <c r="D14" s="3"/>
      <c r="E14" s="3"/>
      <c r="F14" s="3"/>
      <c r="G14" s="8"/>
      <c r="H14" s="8"/>
      <c r="I14" s="8"/>
      <c r="J14" s="8"/>
      <c r="K14" s="8"/>
    </row>
    <row r="15">
      <c r="A15" s="7" t="s">
        <v>16</v>
      </c>
      <c r="B15" s="7" t="s">
        <v>17</v>
      </c>
      <c r="C15" s="158">
        <v>0.27361111111111114</v>
      </c>
      <c r="D15" s="8">
        <v>0.39861111111111114</v>
      </c>
      <c r="E15" s="8">
        <v>0.6451388888888889</v>
      </c>
      <c r="F15" s="8">
        <v>0.8013888888888889</v>
      </c>
      <c r="G15" s="8"/>
      <c r="H15" s="8"/>
      <c r="I15" s="8"/>
      <c r="J15" s="8"/>
      <c r="K15" s="8"/>
    </row>
    <row r="16">
      <c r="A16" s="1" t="s">
        <v>14</v>
      </c>
      <c r="B16" s="9" t="s">
        <v>15</v>
      </c>
      <c r="C16" s="158">
        <v>0.27708333333333335</v>
      </c>
      <c r="D16" s="8">
        <v>0.40208333333333335</v>
      </c>
      <c r="E16" s="8">
        <v>0.6486111111111111</v>
      </c>
      <c r="F16" s="8">
        <v>0.8048611111111111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" t="s">
        <v>12</v>
      </c>
      <c r="B17" s="9" t="s">
        <v>13</v>
      </c>
      <c r="C17" s="158">
        <v>0.28125</v>
      </c>
      <c r="D17" s="8">
        <v>0.40625</v>
      </c>
      <c r="E17" s="8">
        <v>0.6527777777777778</v>
      </c>
      <c r="F17" s="8">
        <v>0.8090277777777778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10</v>
      </c>
      <c r="B18" s="9" t="s">
        <v>11</v>
      </c>
      <c r="C18" s="158">
        <v>0.28402777777777777</v>
      </c>
      <c r="D18" s="158">
        <v>0.40902777777777777</v>
      </c>
      <c r="E18" s="158">
        <v>0.6555555555555556</v>
      </c>
      <c r="F18" s="158">
        <v>0.8118055555555556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242</v>
      </c>
      <c r="B19" s="7" t="s">
        <v>243</v>
      </c>
      <c r="C19" s="146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244</v>
      </c>
      <c r="B20" s="7" t="s">
        <v>245</v>
      </c>
      <c r="C20" s="146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" t="s">
        <v>8</v>
      </c>
      <c r="B21" s="9" t="s">
        <v>9</v>
      </c>
      <c r="C21" s="158">
        <v>0.2923611111111111</v>
      </c>
      <c r="D21" s="8">
        <v>0.4173611111111111</v>
      </c>
      <c r="E21" s="8">
        <v>0.6638888888888889</v>
      </c>
      <c r="F21" s="8">
        <v>0.8201388888888889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1" t="s">
        <v>6</v>
      </c>
      <c r="B22" s="9" t="s">
        <v>7</v>
      </c>
      <c r="C22" s="158">
        <v>0.2951388888888889</v>
      </c>
      <c r="D22" s="8">
        <v>0.4201388888888889</v>
      </c>
      <c r="E22" s="8">
        <v>0.6666666666666666</v>
      </c>
      <c r="F22" s="8">
        <v>0.8229166666666666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7" t="s">
        <v>4</v>
      </c>
      <c r="B23" s="9" t="s">
        <v>5</v>
      </c>
      <c r="C23" s="158">
        <v>0.2986111111111111</v>
      </c>
      <c r="D23" s="8">
        <v>0.4236111111111111</v>
      </c>
      <c r="E23" s="8">
        <v>0.6701388888888888</v>
      </c>
      <c r="F23" s="8">
        <v>0.8263888888888888</v>
      </c>
      <c r="G23" s="8"/>
    </row>
    <row r="24">
      <c r="C24" s="146"/>
      <c r="G24" s="8"/>
    </row>
    <row r="25">
      <c r="A25" s="1"/>
      <c r="C25" s="158"/>
      <c r="D25" s="8"/>
      <c r="E25" s="8"/>
      <c r="F25" s="8"/>
      <c r="G25" s="8"/>
    </row>
    <row r="26">
      <c r="G26" s="8"/>
    </row>
    <row r="27">
      <c r="A27" s="11"/>
      <c r="C27" s="8"/>
      <c r="D27" s="8"/>
      <c r="E27" s="8"/>
      <c r="F27" s="8"/>
      <c r="G27" s="8"/>
    </row>
    <row r="28">
      <c r="A28" s="13"/>
      <c r="C28" s="8"/>
      <c r="D28" s="8"/>
      <c r="E28" s="8"/>
      <c r="F28" s="8"/>
      <c r="G28" s="8"/>
    </row>
    <row r="29">
      <c r="A29" s="13"/>
      <c r="C29" s="8"/>
      <c r="D29" s="8"/>
      <c r="E29" s="8"/>
      <c r="F29" s="8"/>
      <c r="G29" s="8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A30" s="11"/>
      <c r="B30" s="17"/>
      <c r="C30" s="12"/>
      <c r="D30" s="8"/>
      <c r="E30" s="8"/>
      <c r="F30" s="8"/>
      <c r="G30" s="8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A31" s="13"/>
      <c r="B31" s="11"/>
      <c r="C31" s="17"/>
      <c r="G31" s="8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A32" s="13"/>
      <c r="B32" s="11"/>
      <c r="C32" s="17"/>
      <c r="G32" s="8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A33" s="13"/>
      <c r="B33" s="17"/>
      <c r="C33" s="12"/>
      <c r="D33" s="8"/>
      <c r="E33" s="8"/>
      <c r="F33" s="8"/>
      <c r="G33" s="8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A34" s="13"/>
      <c r="B34" s="17"/>
      <c r="C34" s="12"/>
      <c r="D34" s="8"/>
      <c r="E34" s="8"/>
      <c r="F34" s="8"/>
      <c r="G34" s="8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A35" s="13"/>
      <c r="B35" s="17"/>
      <c r="C35" s="12"/>
      <c r="D35" s="8"/>
      <c r="E35" s="8"/>
      <c r="F35" s="8"/>
      <c r="G35" s="8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8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4400.0</v>
      </c>
      <c r="D2" s="1">
        <v>4402.0</v>
      </c>
      <c r="E2" s="1">
        <v>4420.0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159" t="s">
        <v>4</v>
      </c>
      <c r="B3" s="6" t="s">
        <v>5</v>
      </c>
      <c r="C3" s="6">
        <v>0.19444444444444445</v>
      </c>
      <c r="D3" s="6">
        <v>0.3125</v>
      </c>
      <c r="E3" s="6">
        <v>0.6840277777777778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52" t="s">
        <v>6</v>
      </c>
      <c r="B4" s="8" t="s">
        <v>7</v>
      </c>
      <c r="C4" s="8">
        <v>0.19791666666666666</v>
      </c>
      <c r="D4" s="8">
        <v>0.3159722222222222</v>
      </c>
      <c r="E4" s="8">
        <v>0.6875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52" t="s">
        <v>8</v>
      </c>
      <c r="B5" s="8" t="s">
        <v>9</v>
      </c>
      <c r="C5" s="8">
        <v>0.2</v>
      </c>
      <c r="D5" s="8">
        <v>0.31805555555555554</v>
      </c>
      <c r="E5" s="8">
        <v>0.6895833333333333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8" t="s">
        <v>244</v>
      </c>
      <c r="B6" s="8" t="s">
        <v>245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8" t="s">
        <v>242</v>
      </c>
      <c r="B7" s="8" t="s">
        <v>243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8" t="s">
        <v>10</v>
      </c>
      <c r="B8" s="8" t="s">
        <v>11</v>
      </c>
      <c r="C8" s="8">
        <v>0.20833333333333334</v>
      </c>
      <c r="D8" s="8">
        <v>0.3263888888888889</v>
      </c>
      <c r="E8" s="8">
        <v>0.6979166666666666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52" t="s">
        <v>12</v>
      </c>
      <c r="B9" s="8" t="s">
        <v>13</v>
      </c>
      <c r="C9" s="8">
        <v>0.21180555555555555</v>
      </c>
      <c r="D9" s="8">
        <v>0.3298611111111111</v>
      </c>
      <c r="E9" s="8">
        <v>0.7013888888888888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52" t="s">
        <v>14</v>
      </c>
      <c r="B10" s="8" t="s">
        <v>15</v>
      </c>
      <c r="C10" s="8">
        <v>0.21597222222222223</v>
      </c>
      <c r="D10" s="8">
        <v>0.33402777777777776</v>
      </c>
      <c r="E10" s="8">
        <v>0.7055555555555556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16</v>
      </c>
      <c r="B11" s="7" t="s">
        <v>17</v>
      </c>
      <c r="C11" s="8">
        <v>0.21875</v>
      </c>
      <c r="D11" s="8">
        <v>0.3368055555555556</v>
      </c>
      <c r="E11" s="8">
        <v>0.7083333333333334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83" t="s">
        <v>105</v>
      </c>
      <c r="B12" s="83" t="s">
        <v>106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60" t="s">
        <v>18</v>
      </c>
      <c r="B13" s="83" t="s">
        <v>19</v>
      </c>
      <c r="C13" s="8">
        <v>0.22361111111111112</v>
      </c>
      <c r="D13" s="8">
        <v>0.3416666666666667</v>
      </c>
      <c r="E13" s="8">
        <v>0.7131944444444445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83" t="s">
        <v>103</v>
      </c>
      <c r="B14" s="83" t="s">
        <v>104</v>
      </c>
      <c r="F14" s="8"/>
      <c r="G14" s="8"/>
      <c r="H14" s="8"/>
      <c r="I14" s="8"/>
      <c r="J14" s="8"/>
      <c r="K14" s="8"/>
    </row>
    <row r="15">
      <c r="A15" s="1" t="s">
        <v>20</v>
      </c>
      <c r="B15" s="7" t="s">
        <v>21</v>
      </c>
      <c r="C15" s="8">
        <v>0.22708333333333333</v>
      </c>
      <c r="D15" s="8">
        <v>0.3451388888888889</v>
      </c>
      <c r="E15" s="8">
        <v>0.7166666666666667</v>
      </c>
      <c r="F15" s="8"/>
      <c r="G15" s="8"/>
      <c r="H15" s="8"/>
      <c r="I15" s="8"/>
      <c r="J15" s="8"/>
      <c r="K15" s="8"/>
    </row>
    <row r="16">
      <c r="A16" s="1" t="s">
        <v>101</v>
      </c>
      <c r="B16" s="7" t="s">
        <v>102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" t="s">
        <v>99</v>
      </c>
      <c r="B17" s="7" t="s">
        <v>100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60" t="s">
        <v>97</v>
      </c>
      <c r="B18" s="83" t="s">
        <v>98</v>
      </c>
      <c r="C18" s="7"/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3" t="s">
        <v>95</v>
      </c>
      <c r="B19" s="83" t="s">
        <v>96</v>
      </c>
      <c r="C19" s="7"/>
      <c r="D19" s="7"/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22</v>
      </c>
      <c r="B20" s="11" t="s">
        <v>23</v>
      </c>
      <c r="C20" s="12">
        <v>0.23194444444444445</v>
      </c>
      <c r="D20" s="12">
        <v>0.35</v>
      </c>
      <c r="E20" s="12">
        <v>0.7215277777777778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 t="s">
        <v>93</v>
      </c>
      <c r="B21" s="11" t="s">
        <v>94</v>
      </c>
      <c r="C21" s="17"/>
      <c r="D21" s="17"/>
      <c r="E21" s="17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8" t="s">
        <v>91</v>
      </c>
      <c r="B22" s="14" t="s">
        <v>92</v>
      </c>
      <c r="C22" s="14"/>
      <c r="D22" s="14"/>
      <c r="E22" s="14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 t="s">
        <v>24</v>
      </c>
      <c r="B23" s="12" t="s">
        <v>25</v>
      </c>
      <c r="C23" s="12">
        <v>0.2361111111111111</v>
      </c>
      <c r="D23" s="12">
        <v>0.3541666666666667</v>
      </c>
      <c r="E23" s="12">
        <v>0.7256944444444444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"/>
      <c r="B25" s="1"/>
      <c r="C25" s="1"/>
      <c r="D25" s="1"/>
      <c r="E25" s="1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52"/>
      <c r="B27" s="8"/>
      <c r="C27" s="8"/>
      <c r="D27" s="8"/>
      <c r="E27" s="8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52"/>
      <c r="B28" s="8"/>
      <c r="C28" s="8"/>
      <c r="D28" s="8"/>
      <c r="E28" s="8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8"/>
      <c r="B29" s="8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8"/>
      <c r="B30" s="8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8"/>
      <c r="B31" s="8"/>
      <c r="C31" s="8"/>
      <c r="D31" s="8"/>
      <c r="E31" s="8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52"/>
      <c r="B32" s="8"/>
      <c r="C32" s="8"/>
      <c r="D32" s="8"/>
      <c r="E32" s="8"/>
      <c r="G32" s="11"/>
      <c r="H32" s="11"/>
      <c r="I32" s="11"/>
      <c r="J32" s="11"/>
    </row>
    <row r="33">
      <c r="A33" s="152"/>
      <c r="B33" s="8"/>
      <c r="C33" s="8"/>
      <c r="D33" s="8"/>
      <c r="E33" s="8"/>
      <c r="G33" s="14"/>
      <c r="H33" s="14"/>
      <c r="I33" s="14"/>
      <c r="J33" s="14"/>
    </row>
    <row r="34">
      <c r="C34" s="8"/>
      <c r="D34" s="8"/>
      <c r="E34" s="8"/>
      <c r="G34" s="14"/>
      <c r="H34" s="14"/>
      <c r="I34" s="14"/>
      <c r="J34" s="14"/>
    </row>
    <row r="35">
      <c r="A35" s="83"/>
      <c r="B35" s="83"/>
      <c r="G35" s="14"/>
      <c r="H35" s="14"/>
      <c r="I35" s="14"/>
      <c r="J35" s="14"/>
    </row>
    <row r="36">
      <c r="A36" s="160"/>
      <c r="B36" s="83"/>
      <c r="C36" s="8"/>
      <c r="D36" s="8"/>
      <c r="E36" s="8"/>
      <c r="G36" s="11"/>
      <c r="H36" s="11"/>
      <c r="I36" s="11"/>
      <c r="J36" s="11"/>
    </row>
    <row r="37">
      <c r="A37" s="83"/>
      <c r="B37" s="83"/>
      <c r="G37" s="11"/>
      <c r="H37" s="11"/>
      <c r="I37" s="11"/>
      <c r="J37" s="11"/>
    </row>
    <row r="38">
      <c r="A38" s="1"/>
      <c r="C38" s="8"/>
      <c r="D38" s="8"/>
      <c r="E38" s="8"/>
      <c r="G38" s="11"/>
      <c r="H38" s="11"/>
      <c r="I38" s="11"/>
      <c r="J38" s="11"/>
    </row>
    <row r="39">
      <c r="A39" s="1"/>
      <c r="G39" s="14"/>
      <c r="H39" s="14"/>
      <c r="I39" s="14"/>
      <c r="J39" s="14"/>
    </row>
    <row r="40">
      <c r="A40" s="1"/>
      <c r="G40" s="14"/>
      <c r="H40" s="14"/>
      <c r="I40" s="14"/>
      <c r="J40" s="14"/>
    </row>
    <row r="41">
      <c r="A41" s="160"/>
      <c r="B41" s="83"/>
      <c r="C41" s="11"/>
      <c r="D41" s="11"/>
      <c r="E41" s="11"/>
      <c r="G41" s="11"/>
      <c r="H41" s="11"/>
      <c r="I41" s="11"/>
      <c r="J41" s="11"/>
    </row>
    <row r="42">
      <c r="A42" s="14"/>
      <c r="B42" s="14"/>
      <c r="C42" s="11"/>
      <c r="D42" s="11"/>
      <c r="E42" s="11"/>
      <c r="G42" s="11"/>
      <c r="H42" s="11"/>
      <c r="I42" s="11"/>
      <c r="J42" s="11"/>
    </row>
    <row r="43">
      <c r="A43" s="13"/>
      <c r="B43" s="11"/>
      <c r="C43" s="8"/>
      <c r="D43" s="8"/>
      <c r="E43" s="8"/>
      <c r="G43" s="14"/>
      <c r="H43" s="14"/>
      <c r="I43" s="14"/>
      <c r="J43" s="14"/>
    </row>
    <row r="44">
      <c r="A44" s="13"/>
      <c r="B44" s="11"/>
      <c r="G44" s="11"/>
      <c r="H44" s="11"/>
      <c r="I44" s="11"/>
      <c r="J44" s="11"/>
    </row>
    <row r="45">
      <c r="A45" s="18"/>
      <c r="B45" s="14"/>
      <c r="C45" s="14"/>
      <c r="D45" s="14"/>
      <c r="E45" s="14"/>
      <c r="G45" s="14"/>
      <c r="H45" s="14"/>
      <c r="I45" s="14"/>
      <c r="J45" s="14"/>
    </row>
    <row r="46">
      <c r="A46" s="13"/>
      <c r="B46" s="12"/>
      <c r="C46" s="8"/>
      <c r="D46" s="8"/>
      <c r="E46" s="8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52" t="s">
        <v>246</v>
      </c>
      <c r="D2" s="152" t="s">
        <v>247</v>
      </c>
      <c r="E2" s="152" t="s">
        <v>248</v>
      </c>
      <c r="F2" s="152" t="s">
        <v>249</v>
      </c>
      <c r="G2" s="152" t="s">
        <v>250</v>
      </c>
      <c r="H2" s="152" t="s">
        <v>251</v>
      </c>
      <c r="I2" s="152" t="s">
        <v>252</v>
      </c>
      <c r="J2" s="152" t="s">
        <v>253</v>
      </c>
      <c r="K2" s="152" t="s">
        <v>254</v>
      </c>
      <c r="L2" s="152" t="s">
        <v>255</v>
      </c>
      <c r="M2" s="152" t="s">
        <v>256</v>
      </c>
      <c r="N2" s="152" t="s">
        <v>257</v>
      </c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0.2222222222222222</v>
      </c>
      <c r="D3" s="6">
        <v>0.2708333333333333</v>
      </c>
      <c r="E3" s="6">
        <v>0.3194444444444444</v>
      </c>
      <c r="F3" s="6">
        <v>0.3715277777777778</v>
      </c>
      <c r="G3" s="6">
        <v>0.4201388888888889</v>
      </c>
      <c r="H3" s="6">
        <v>0.46875</v>
      </c>
      <c r="I3" s="6">
        <v>0.5173611111111112</v>
      </c>
      <c r="J3" s="6">
        <v>0.5659722222222222</v>
      </c>
      <c r="K3" s="6">
        <v>0.6145833333333334</v>
      </c>
      <c r="L3" s="6">
        <v>0.6631944444444444</v>
      </c>
      <c r="M3" s="6">
        <v>0.7118055555555556</v>
      </c>
      <c r="N3" s="6">
        <v>0.7604166666666666</v>
      </c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1" t="s">
        <v>29</v>
      </c>
      <c r="B4" s="7" t="s">
        <v>119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1" t="s">
        <v>30</v>
      </c>
      <c r="B5" s="7" t="s">
        <v>120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7" t="s">
        <v>31</v>
      </c>
      <c r="B6" s="7" t="s">
        <v>121</v>
      </c>
      <c r="C6" s="8">
        <v>0.23055555555555557</v>
      </c>
      <c r="D6" s="8">
        <v>0.2791666666666667</v>
      </c>
      <c r="E6" s="8">
        <v>0.3277777777777778</v>
      </c>
      <c r="F6" s="8">
        <v>0.3798611111111111</v>
      </c>
      <c r="G6" s="8">
        <v>0.4284722222222222</v>
      </c>
      <c r="H6" s="8">
        <v>0.47708333333333336</v>
      </c>
      <c r="I6" s="8">
        <v>0.5256944444444445</v>
      </c>
      <c r="J6" s="8">
        <v>0.5743055555555555</v>
      </c>
      <c r="K6" s="8">
        <v>0.6229166666666667</v>
      </c>
      <c r="L6" s="8">
        <v>0.6715277777777777</v>
      </c>
      <c r="M6" s="8">
        <v>0.7201388888888889</v>
      </c>
      <c r="N6" s="8">
        <v>0.76875</v>
      </c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7" t="s">
        <v>32</v>
      </c>
      <c r="B7" s="7" t="s">
        <v>122</v>
      </c>
      <c r="C7" s="8">
        <v>0.23333333333333334</v>
      </c>
      <c r="D7" s="8">
        <v>0.28194444444444444</v>
      </c>
      <c r="E7" s="8">
        <v>0.33055555555555555</v>
      </c>
      <c r="F7" s="8">
        <v>0.38263888888888886</v>
      </c>
      <c r="G7" s="8">
        <v>0.43125</v>
      </c>
      <c r="H7" s="8">
        <v>0.4798611111111111</v>
      </c>
      <c r="I7" s="8">
        <v>0.5284722222222222</v>
      </c>
      <c r="J7" s="8">
        <v>0.5770833333333333</v>
      </c>
      <c r="K7" s="8">
        <v>0.6256944444444444</v>
      </c>
      <c r="L7" s="8">
        <v>0.6743055555555556</v>
      </c>
      <c r="M7" s="8">
        <v>0.7229166666666667</v>
      </c>
      <c r="N7" s="8">
        <v>0.7715277777777778</v>
      </c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7" t="s">
        <v>33</v>
      </c>
      <c r="B8" s="7" t="s">
        <v>123</v>
      </c>
      <c r="C8" s="8">
        <v>0.23958333333333334</v>
      </c>
      <c r="D8" s="8">
        <v>0.2881944444444444</v>
      </c>
      <c r="E8" s="8">
        <v>0.3368055555555556</v>
      </c>
      <c r="F8" s="8">
        <v>0.3888888888888889</v>
      </c>
      <c r="G8" s="8">
        <v>0.4375</v>
      </c>
      <c r="H8" s="8">
        <v>0.4861111111111111</v>
      </c>
      <c r="I8" s="8">
        <v>0.5347222222222222</v>
      </c>
      <c r="J8" s="8">
        <v>0.5833333333333334</v>
      </c>
      <c r="K8" s="8">
        <v>0.6319444444444444</v>
      </c>
      <c r="L8" s="8">
        <v>0.6805555555555556</v>
      </c>
      <c r="M8" s="8">
        <v>0.7291666666666666</v>
      </c>
      <c r="N8" s="8">
        <v>0.7777777777777778</v>
      </c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12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12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12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12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12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'PTA-to-IRENE_Weekday'!B1</f>
        <v>46055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61" t="s">
        <v>258</v>
      </c>
      <c r="D2" s="3" t="s">
        <v>259</v>
      </c>
      <c r="E2" s="3" t="s">
        <v>260</v>
      </c>
      <c r="F2" s="3" t="s">
        <v>261</v>
      </c>
      <c r="G2" s="3" t="s">
        <v>262</v>
      </c>
      <c r="H2" s="3" t="s">
        <v>263</v>
      </c>
      <c r="I2" s="3" t="s">
        <v>264</v>
      </c>
      <c r="J2" s="3" t="s">
        <v>265</v>
      </c>
      <c r="K2" s="3" t="s">
        <v>266</v>
      </c>
      <c r="L2" s="3" t="s">
        <v>267</v>
      </c>
      <c r="M2" s="3" t="s">
        <v>268</v>
      </c>
      <c r="N2" s="3" t="s">
        <v>269</v>
      </c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33</v>
      </c>
      <c r="B3" s="5" t="s">
        <v>123</v>
      </c>
      <c r="C3" s="6">
        <v>0.2465277777777778</v>
      </c>
      <c r="D3" s="6">
        <v>0.2951388888888889</v>
      </c>
      <c r="E3" s="6">
        <v>0.34375</v>
      </c>
      <c r="F3" s="6">
        <v>0.3958333333333333</v>
      </c>
      <c r="G3" s="6">
        <v>0.4444444444444444</v>
      </c>
      <c r="H3" s="6">
        <v>0.4930555555555556</v>
      </c>
      <c r="I3" s="6">
        <v>0.5416666666666666</v>
      </c>
      <c r="J3" s="6">
        <v>0.5902777777777778</v>
      </c>
      <c r="K3" s="6">
        <v>0.6388888888888888</v>
      </c>
      <c r="L3" s="6">
        <v>0.6875</v>
      </c>
      <c r="M3" s="6">
        <v>0.7361111111111112</v>
      </c>
      <c r="N3" s="6">
        <v>0.7847222222222222</v>
      </c>
      <c r="O3" s="6"/>
      <c r="P3" s="6"/>
      <c r="Q3" s="6"/>
      <c r="R3" s="6"/>
      <c r="S3" s="6"/>
      <c r="T3" s="6"/>
    </row>
    <row r="4">
      <c r="A4" s="1" t="s">
        <v>32</v>
      </c>
      <c r="B4" s="7" t="s">
        <v>122</v>
      </c>
      <c r="C4" s="8">
        <v>0.25277777777777777</v>
      </c>
      <c r="D4" s="8">
        <v>0.3013888888888889</v>
      </c>
      <c r="E4" s="8">
        <v>0.35</v>
      </c>
      <c r="F4" s="8">
        <v>0.40208333333333335</v>
      </c>
      <c r="G4" s="8">
        <v>0.45069444444444445</v>
      </c>
      <c r="H4" s="8">
        <v>0.49930555555555556</v>
      </c>
      <c r="I4" s="8">
        <v>0.5479166666666667</v>
      </c>
      <c r="J4" s="8">
        <v>0.5965277777777778</v>
      </c>
      <c r="K4" s="8">
        <v>0.6451388888888889</v>
      </c>
      <c r="L4" s="8">
        <v>0.69375</v>
      </c>
      <c r="M4" s="8">
        <v>0.7423611111111111</v>
      </c>
      <c r="N4" s="8">
        <v>0.7909722222222222</v>
      </c>
      <c r="O4" s="8"/>
      <c r="P4" s="8"/>
      <c r="Q4" s="8"/>
      <c r="R4" s="8"/>
      <c r="S4" s="8"/>
      <c r="T4" s="8"/>
    </row>
    <row r="5">
      <c r="A5" s="1" t="s">
        <v>31</v>
      </c>
      <c r="B5" s="8" t="s">
        <v>121</v>
      </c>
      <c r="C5" s="8">
        <v>0.25555555555555554</v>
      </c>
      <c r="D5" s="8">
        <v>0.30416666666666664</v>
      </c>
      <c r="E5" s="8">
        <v>0.3527777777777778</v>
      </c>
      <c r="F5" s="8">
        <v>0.4048611111111111</v>
      </c>
      <c r="G5" s="8">
        <v>0.4534722222222222</v>
      </c>
      <c r="H5" s="8">
        <v>0.5020833333333333</v>
      </c>
      <c r="I5" s="8">
        <v>0.5506944444444445</v>
      </c>
      <c r="J5" s="8">
        <v>0.5993055555555555</v>
      </c>
      <c r="K5" s="8">
        <v>0.6479166666666667</v>
      </c>
      <c r="L5" s="8">
        <v>0.6965277777777777</v>
      </c>
      <c r="M5" s="8">
        <v>0.7451388888888889</v>
      </c>
      <c r="N5" s="8">
        <v>0.79375</v>
      </c>
      <c r="O5" s="8"/>
      <c r="P5" s="8"/>
      <c r="Q5" s="8"/>
      <c r="R5" s="8"/>
      <c r="S5" s="8"/>
      <c r="T5" s="8"/>
    </row>
    <row r="6">
      <c r="A6" s="7" t="s">
        <v>30</v>
      </c>
      <c r="B6" s="8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29</v>
      </c>
      <c r="B7" s="8" t="s">
        <v>119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24</v>
      </c>
      <c r="B8" s="8" t="s">
        <v>25</v>
      </c>
      <c r="C8" s="8">
        <v>0.2638888888888889</v>
      </c>
      <c r="D8" s="8">
        <v>0.3125</v>
      </c>
      <c r="E8" s="8">
        <v>0.3611111111111111</v>
      </c>
      <c r="F8" s="8">
        <v>0.4131944444444444</v>
      </c>
      <c r="G8" s="8">
        <v>0.4618055555555556</v>
      </c>
      <c r="H8" s="8">
        <v>0.5104166666666666</v>
      </c>
      <c r="I8" s="8">
        <v>0.5590277777777778</v>
      </c>
      <c r="J8" s="8">
        <v>0.6076388888888888</v>
      </c>
      <c r="K8" s="8">
        <v>0.65625</v>
      </c>
      <c r="L8" s="8">
        <v>0.7048611111111112</v>
      </c>
      <c r="M8" s="8">
        <v>0.7534722222222222</v>
      </c>
      <c r="N8" s="8">
        <v>0.8020833333333334</v>
      </c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D17" s="8"/>
      <c r="E17" s="8"/>
      <c r="F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1"/>
      <c r="P20" s="11"/>
      <c r="Q20" s="11"/>
      <c r="R20" s="11"/>
      <c r="S20" s="11"/>
      <c r="T20" s="11"/>
    </row>
    <row r="2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8"/>
      <c r="O21" s="12"/>
      <c r="P21" s="12"/>
      <c r="Q21" s="12"/>
      <c r="R21" s="12"/>
      <c r="S21" s="12"/>
      <c r="T21" s="12"/>
    </row>
    <row r="22">
      <c r="B22" s="14"/>
      <c r="C22" s="1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8"/>
      <c r="O22" s="12"/>
      <c r="P22" s="12"/>
      <c r="Q22" s="12"/>
      <c r="R22" s="12"/>
      <c r="S22" s="12"/>
      <c r="T22" s="12"/>
    </row>
    <row r="23"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5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2"/>
      <c r="O25" s="12"/>
      <c r="P25" s="12"/>
      <c r="Q25" s="12"/>
      <c r="R25" s="12"/>
      <c r="S25" s="12"/>
      <c r="T25" s="12"/>
    </row>
    <row r="26">
      <c r="A26" s="13"/>
      <c r="B26" s="145"/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61" t="s">
        <v>246</v>
      </c>
      <c r="D2" s="161" t="s">
        <v>247</v>
      </c>
      <c r="E2" s="161" t="s">
        <v>248</v>
      </c>
      <c r="F2" s="161" t="s">
        <v>254</v>
      </c>
      <c r="G2" s="161" t="s">
        <v>255</v>
      </c>
      <c r="H2" s="161" t="s">
        <v>256</v>
      </c>
      <c r="I2" s="161" t="s">
        <v>257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0.25</v>
      </c>
      <c r="D3" s="6">
        <v>0.2986111111111111</v>
      </c>
      <c r="E3" s="6">
        <v>0.3506944444444444</v>
      </c>
      <c r="F3" s="6">
        <v>0.6284722222222222</v>
      </c>
      <c r="G3" s="6">
        <v>0.6770833333333334</v>
      </c>
      <c r="H3" s="6">
        <v>0.7256944444444444</v>
      </c>
      <c r="I3" s="6">
        <v>0.7743055555555556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29</v>
      </c>
      <c r="B4" s="7" t="s">
        <v>119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30</v>
      </c>
      <c r="B5" s="7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31</v>
      </c>
      <c r="B6" s="7" t="s">
        <v>121</v>
      </c>
      <c r="C6" s="8">
        <v>0.25833333333333336</v>
      </c>
      <c r="D6" s="8">
        <v>0.30694444444444446</v>
      </c>
      <c r="E6" s="8">
        <v>0.3590277777777778</v>
      </c>
      <c r="F6" s="8">
        <v>0.6368055555555556</v>
      </c>
      <c r="G6" s="8">
        <v>0.6854166666666668</v>
      </c>
      <c r="H6" s="8">
        <v>0.7340277777777777</v>
      </c>
      <c r="I6" s="8">
        <v>0.7826388888888889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32</v>
      </c>
      <c r="B7" s="7" t="s">
        <v>122</v>
      </c>
      <c r="C7" s="8">
        <v>0.2611111111111111</v>
      </c>
      <c r="D7" s="8">
        <v>0.30972222222222223</v>
      </c>
      <c r="E7" s="8">
        <v>0.36180555555555555</v>
      </c>
      <c r="F7" s="8">
        <v>0.6395833333333334</v>
      </c>
      <c r="G7" s="8">
        <v>0.6881944444444446</v>
      </c>
      <c r="H7" s="8">
        <v>0.7368055555555555</v>
      </c>
      <c r="I7" s="8">
        <v>0.7854166666666667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33</v>
      </c>
      <c r="B8" s="7" t="s">
        <v>123</v>
      </c>
      <c r="C8" s="8">
        <v>0.26736111111111116</v>
      </c>
      <c r="D8" s="8">
        <v>0.31597222222222227</v>
      </c>
      <c r="E8" s="8">
        <v>0.3680555555555556</v>
      </c>
      <c r="F8" s="8">
        <v>0.6458333333333335</v>
      </c>
      <c r="G8" s="8">
        <v>0.6944444444444446</v>
      </c>
      <c r="H8" s="8">
        <v>0.7430555555555556</v>
      </c>
      <c r="I8" s="8">
        <v>0.7916666666666667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1"/>
      <c r="C15" s="8"/>
      <c r="D15" s="8"/>
      <c r="E15" s="8"/>
      <c r="F15" s="8"/>
      <c r="G15" s="8"/>
      <c r="H15" s="8"/>
      <c r="I15" s="8"/>
      <c r="J15" s="8"/>
      <c r="K15" s="8"/>
    </row>
    <row r="16">
      <c r="A16" s="13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C17" s="8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"/>
      <c r="C18" s="8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3"/>
      <c r="B19" s="1"/>
      <c r="C19" s="8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3"/>
      <c r="C20" s="8"/>
      <c r="D20" s="14"/>
      <c r="E20" s="12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3"/>
      <c r="C21" s="8"/>
      <c r="D21" s="12"/>
      <c r="E21" s="12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13"/>
      <c r="C22" s="8"/>
      <c r="D22" s="12"/>
      <c r="E22" s="12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13"/>
      <c r="B23" s="12"/>
      <c r="C23" s="14"/>
      <c r="D23" s="14"/>
      <c r="E23" s="14"/>
    </row>
    <row r="24">
      <c r="A24" s="13"/>
      <c r="B24" s="12"/>
      <c r="C24" s="14"/>
      <c r="D24" s="14"/>
      <c r="E24" s="14"/>
    </row>
    <row r="25">
      <c r="A25" s="13"/>
      <c r="B25" s="12"/>
      <c r="C25" s="14"/>
      <c r="D25" s="14"/>
      <c r="E25" s="14"/>
    </row>
    <row r="26">
      <c r="A26" s="13"/>
      <c r="B26" s="12"/>
      <c r="C26" s="14"/>
      <c r="D26" s="14"/>
      <c r="E26" s="14"/>
    </row>
    <row r="27">
      <c r="A27" s="13"/>
      <c r="B27" s="12"/>
      <c r="C27" s="14"/>
      <c r="D27" s="14"/>
      <c r="E27" s="14"/>
    </row>
    <row r="28">
      <c r="A28" s="8"/>
      <c r="B28" s="8"/>
    </row>
    <row r="29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12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12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12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12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12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'PTA-to-IRENE_Sat'!B1</f>
        <v>46055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61" t="s">
        <v>258</v>
      </c>
      <c r="D2" s="161" t="s">
        <v>259</v>
      </c>
      <c r="E2" s="1" t="s">
        <v>260</v>
      </c>
      <c r="F2" s="161" t="s">
        <v>266</v>
      </c>
      <c r="G2" s="161" t="s">
        <v>267</v>
      </c>
      <c r="H2" s="1" t="s">
        <v>268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33</v>
      </c>
      <c r="B3" s="5" t="s">
        <v>123</v>
      </c>
      <c r="C3" s="6">
        <v>0.2743055555555556</v>
      </c>
      <c r="D3" s="6">
        <v>0.3229166666666667</v>
      </c>
      <c r="E3" s="6">
        <v>0.375</v>
      </c>
      <c r="F3" s="6">
        <v>0.6527777777777778</v>
      </c>
      <c r="G3" s="6">
        <v>0.7013888888888888</v>
      </c>
      <c r="H3" s="6">
        <v>0.75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32</v>
      </c>
      <c r="B4" s="7" t="s">
        <v>122</v>
      </c>
      <c r="C4" s="8">
        <v>0.28055555555555556</v>
      </c>
      <c r="D4" s="8">
        <v>0.32916666666666666</v>
      </c>
      <c r="E4" s="8">
        <v>0.38125</v>
      </c>
      <c r="F4" s="8">
        <v>0.6590277777777778</v>
      </c>
      <c r="G4" s="8">
        <v>0.7076388888888888</v>
      </c>
      <c r="H4" s="8">
        <v>0.75625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31</v>
      </c>
      <c r="B5" s="8" t="s">
        <v>121</v>
      </c>
      <c r="C5" s="8">
        <v>0.2833333333333333</v>
      </c>
      <c r="D5" s="8">
        <v>0.33194444444444443</v>
      </c>
      <c r="E5" s="8">
        <v>0.38402777777777775</v>
      </c>
      <c r="F5" s="8">
        <v>0.6618055555555555</v>
      </c>
      <c r="G5" s="8">
        <v>0.7104166666666666</v>
      </c>
      <c r="H5" s="8">
        <v>0.7590277777777777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</v>
      </c>
      <c r="B6" s="8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29</v>
      </c>
      <c r="B7" s="8" t="s">
        <v>119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24</v>
      </c>
      <c r="B8" s="8" t="s">
        <v>25</v>
      </c>
      <c r="C8" s="8">
        <v>0.2916666666666667</v>
      </c>
      <c r="D8" s="8">
        <v>0.3402777777777778</v>
      </c>
      <c r="E8" s="8">
        <v>0.3923611111111111</v>
      </c>
      <c r="F8" s="8">
        <v>0.6701388888888888</v>
      </c>
      <c r="G8" s="8">
        <v>0.71875</v>
      </c>
      <c r="H8" s="8">
        <v>0.7673611111111112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5"/>
      <c r="B17" s="84"/>
      <c r="C17" s="84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1"/>
      <c r="C18" s="8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B19" s="1"/>
      <c r="C19" s="8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C22" s="8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6503.0</v>
      </c>
      <c r="D2" s="1">
        <v>6505.0</v>
      </c>
      <c r="E2" s="1">
        <v>6509.0</v>
      </c>
      <c r="F2" s="1">
        <v>6513.0</v>
      </c>
      <c r="G2" s="1">
        <v>6515.0</v>
      </c>
      <c r="H2" s="1">
        <v>6517.0</v>
      </c>
      <c r="I2" s="1">
        <v>6525.0</v>
      </c>
      <c r="J2" s="1">
        <v>6531.0</v>
      </c>
      <c r="K2" s="1">
        <v>6535.0</v>
      </c>
      <c r="L2" s="1">
        <v>6539.0</v>
      </c>
      <c r="M2" s="1">
        <v>6545.0</v>
      </c>
      <c r="N2" s="1">
        <v>6543.0</v>
      </c>
      <c r="O2" s="1">
        <v>6549.0</v>
      </c>
      <c r="P2" s="1">
        <v>6547.0</v>
      </c>
      <c r="Q2" s="1">
        <v>6553.0</v>
      </c>
      <c r="R2" s="1">
        <v>6555.0</v>
      </c>
      <c r="S2" s="1">
        <v>6557.0</v>
      </c>
      <c r="T2" s="1"/>
      <c r="U2" s="3"/>
      <c r="V2" s="3"/>
      <c r="W2" s="3"/>
      <c r="X2" s="3"/>
      <c r="Y2" s="3"/>
      <c r="Z2" s="3"/>
      <c r="AA2" s="3"/>
    </row>
    <row r="3">
      <c r="A3" s="4" t="s">
        <v>270</v>
      </c>
      <c r="B3" s="5" t="s">
        <v>271</v>
      </c>
      <c r="C3" s="6">
        <v>0.20833333333333334</v>
      </c>
      <c r="D3" s="6">
        <v>0.2361111111111111</v>
      </c>
      <c r="E3" s="6">
        <v>0.2638888888888889</v>
      </c>
      <c r="F3" s="6">
        <v>0.2951388888888889</v>
      </c>
      <c r="G3" s="6">
        <v>0.3194444444444444</v>
      </c>
      <c r="H3" s="6">
        <v>0.3506944444444444</v>
      </c>
      <c r="I3" s="6">
        <v>0.40555555555555556</v>
      </c>
      <c r="J3" s="6">
        <v>0.46041666666666664</v>
      </c>
      <c r="K3" s="6">
        <v>0.5152777777777777</v>
      </c>
      <c r="L3" s="6">
        <v>0.5701388888888889</v>
      </c>
      <c r="M3" s="6">
        <v>0.625</v>
      </c>
      <c r="N3" s="6">
        <v>0.6527777777777778</v>
      </c>
      <c r="O3" s="6">
        <v>0.6805555555555556</v>
      </c>
      <c r="P3" s="6">
        <v>0.7083333333333334</v>
      </c>
      <c r="Q3" s="6">
        <v>0.7361111111111112</v>
      </c>
      <c r="R3" s="6">
        <v>0.7743055555555556</v>
      </c>
      <c r="S3" s="6">
        <v>0.7916666666666666</v>
      </c>
      <c r="T3" s="6"/>
    </row>
    <row r="4">
      <c r="A4" s="1" t="s">
        <v>272</v>
      </c>
      <c r="B4" s="7" t="s">
        <v>273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274</v>
      </c>
      <c r="B5" s="7" t="s">
        <v>275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276</v>
      </c>
      <c r="B6" s="7" t="s">
        <v>277</v>
      </c>
      <c r="C6" s="8">
        <v>0.21319444444444444</v>
      </c>
      <c r="D6" s="8">
        <v>0.24097222222222223</v>
      </c>
      <c r="E6" s="8">
        <v>0.26875</v>
      </c>
      <c r="F6" s="8">
        <v>0.3</v>
      </c>
      <c r="G6" s="8">
        <v>0.32430555555555557</v>
      </c>
      <c r="H6" s="8">
        <v>0.35555555555555557</v>
      </c>
      <c r="I6" s="8">
        <v>0.41041666666666665</v>
      </c>
      <c r="J6" s="8">
        <v>0.4652777777777778</v>
      </c>
      <c r="K6" s="8">
        <v>0.5201388888888889</v>
      </c>
      <c r="L6" s="8">
        <v>0.575</v>
      </c>
      <c r="M6" s="8">
        <v>0.6298611111111111</v>
      </c>
      <c r="N6" s="8">
        <v>0.6576388888888889</v>
      </c>
      <c r="O6" s="8">
        <v>0.6854166666666667</v>
      </c>
      <c r="P6" s="8">
        <v>0.7131944444444445</v>
      </c>
      <c r="Q6" s="8">
        <v>0.7409722222222223</v>
      </c>
      <c r="R6" s="8">
        <v>0.7791666666666667</v>
      </c>
      <c r="S6" s="8">
        <v>0.7965277777777777</v>
      </c>
      <c r="T6" s="8"/>
    </row>
    <row r="7">
      <c r="A7" s="7" t="s">
        <v>278</v>
      </c>
      <c r="B7" s="7" t="s">
        <v>279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280</v>
      </c>
      <c r="B8" s="7" t="s">
        <v>281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282</v>
      </c>
      <c r="B9" s="7" t="s">
        <v>283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284</v>
      </c>
      <c r="B10" s="7" t="s">
        <v>285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286</v>
      </c>
      <c r="B11" s="7" t="s">
        <v>287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288</v>
      </c>
      <c r="B12" s="7" t="s">
        <v>289</v>
      </c>
      <c r="C12" s="8">
        <v>0.225</v>
      </c>
      <c r="D12" s="8">
        <v>0.25277777777777777</v>
      </c>
      <c r="E12" s="8">
        <v>0.28055555555555556</v>
      </c>
      <c r="F12" s="8">
        <v>0.31180555555555556</v>
      </c>
      <c r="G12" s="8">
        <v>0.33611111111111114</v>
      </c>
      <c r="H12" s="8">
        <v>0.36666666666666664</v>
      </c>
      <c r="I12" s="8">
        <v>0.4215277777777778</v>
      </c>
      <c r="J12" s="8">
        <v>0.47638888888888886</v>
      </c>
      <c r="K12" s="8">
        <v>0.53125</v>
      </c>
      <c r="L12" s="8">
        <v>0.5861111111111111</v>
      </c>
      <c r="M12" s="8">
        <v>0.6409722222222223</v>
      </c>
      <c r="N12" s="8">
        <v>0.6694444444444444</v>
      </c>
      <c r="O12" s="8">
        <v>0.6972222222222222</v>
      </c>
      <c r="P12" s="8">
        <v>0.725</v>
      </c>
      <c r="Q12" s="8">
        <v>0.7527777777777778</v>
      </c>
      <c r="R12" s="8">
        <v>0.7909722222222222</v>
      </c>
      <c r="S12" s="8">
        <v>0.8083333333333333</v>
      </c>
      <c r="T12" s="8"/>
    </row>
    <row r="13">
      <c r="A13" s="1" t="s">
        <v>290</v>
      </c>
      <c r="B13" s="7" t="s">
        <v>291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</v>
      </c>
      <c r="B14" s="7" t="s">
        <v>213</v>
      </c>
      <c r="C14" s="8">
        <v>0.23055555555555557</v>
      </c>
      <c r="D14" s="8">
        <v>0.25833333333333336</v>
      </c>
      <c r="E14" s="8">
        <v>0.2861111111111111</v>
      </c>
      <c r="F14" s="8">
        <v>0.3173611111111111</v>
      </c>
      <c r="G14" s="8">
        <v>0.3416666666666667</v>
      </c>
      <c r="H14" s="8">
        <v>0.37222222222222223</v>
      </c>
      <c r="I14" s="8">
        <v>0.4270833333333333</v>
      </c>
      <c r="J14" s="8">
        <v>0.48194444444444445</v>
      </c>
      <c r="K14" s="8">
        <v>0.5368055555555555</v>
      </c>
      <c r="L14" s="8">
        <v>0.5916666666666667</v>
      </c>
      <c r="M14" s="8">
        <v>0.6465277777777778</v>
      </c>
      <c r="N14" s="8">
        <v>0.675</v>
      </c>
      <c r="O14" s="8">
        <v>0.7027777777777777</v>
      </c>
      <c r="P14" s="8">
        <v>0.7305555555555555</v>
      </c>
      <c r="Q14" s="8">
        <v>0.7583333333333333</v>
      </c>
      <c r="R14" s="8">
        <v>0.7965277777777777</v>
      </c>
      <c r="S14" s="8">
        <v>0.8138888888888889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  <c r="U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8"/>
      <c r="U17" s="8"/>
    </row>
    <row r="18">
      <c r="A18" s="13"/>
      <c r="B18" s="1">
        <v>6503.0</v>
      </c>
      <c r="C18" s="17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8"/>
      <c r="U18" s="8"/>
    </row>
    <row r="19">
      <c r="A19" s="4" t="s">
        <v>270</v>
      </c>
      <c r="B19" s="6">
        <f>C3-C3</f>
        <v>0</v>
      </c>
      <c r="C19" s="17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8"/>
      <c r="U19" s="8"/>
    </row>
    <row r="20">
      <c r="A20" s="1" t="s">
        <v>272</v>
      </c>
      <c r="B20" s="8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1"/>
      <c r="U20" s="11"/>
    </row>
    <row r="21">
      <c r="A21" s="1" t="s">
        <v>274</v>
      </c>
      <c r="B21" s="8"/>
      <c r="C21" s="163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2"/>
      <c r="U21" s="12"/>
    </row>
    <row r="22">
      <c r="A22" s="7" t="s">
        <v>276</v>
      </c>
      <c r="B22" s="8">
        <f>C6-C3</f>
        <v>0.004861111111</v>
      </c>
      <c r="C22" s="163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2"/>
      <c r="U22" s="12"/>
    </row>
    <row r="23">
      <c r="A23" s="7" t="s">
        <v>278</v>
      </c>
      <c r="B23" s="8"/>
      <c r="C23" s="163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2"/>
      <c r="U23" s="12"/>
    </row>
    <row r="24">
      <c r="A24" s="7" t="s">
        <v>280</v>
      </c>
      <c r="B24" s="8"/>
      <c r="C24" s="163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2"/>
      <c r="U24" s="12"/>
    </row>
    <row r="25">
      <c r="A25" s="1" t="s">
        <v>282</v>
      </c>
      <c r="B25" s="8"/>
      <c r="C25" s="163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2"/>
      <c r="U25" s="12"/>
    </row>
    <row r="26">
      <c r="A26" s="1" t="s">
        <v>284</v>
      </c>
      <c r="B26" s="8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7" t="s">
        <v>286</v>
      </c>
      <c r="B27" s="8"/>
      <c r="C27" s="163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2"/>
      <c r="U27" s="12"/>
    </row>
    <row r="28">
      <c r="A28" s="7" t="s">
        <v>288</v>
      </c>
      <c r="B28" s="8">
        <f>C12-C6</f>
        <v>0.01180555556</v>
      </c>
      <c r="C28" s="14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" t="s">
        <v>290</v>
      </c>
      <c r="B29" s="8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7" t="s">
        <v>49</v>
      </c>
      <c r="B30" s="8">
        <f>C14-C12</f>
        <v>0.005555555556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3"/>
      <c r="C32" s="12"/>
      <c r="D32" s="12"/>
      <c r="E32" s="12"/>
      <c r="F32" s="12"/>
      <c r="G32" s="12"/>
      <c r="H32" s="12"/>
      <c r="I32" s="12"/>
      <c r="J32" s="12"/>
      <c r="K32" s="12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'JHB-to-GERM_Weekday'!B1</f>
        <v>46055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6500.0</v>
      </c>
      <c r="D2" s="1">
        <v>6504.0</v>
      </c>
      <c r="E2" s="1">
        <v>6506.0</v>
      </c>
      <c r="F2" s="1">
        <v>6508.0</v>
      </c>
      <c r="G2" s="1">
        <v>6512.0</v>
      </c>
      <c r="H2" s="1">
        <v>6514.0</v>
      </c>
      <c r="I2" s="1">
        <v>6518.0</v>
      </c>
      <c r="J2" s="1">
        <v>6522.0</v>
      </c>
      <c r="K2" s="1">
        <v>6528.0</v>
      </c>
      <c r="L2" s="1">
        <v>6532.0</v>
      </c>
      <c r="M2" s="1">
        <v>6536.0</v>
      </c>
      <c r="N2" s="1">
        <v>6542.0</v>
      </c>
      <c r="O2" s="1">
        <v>6544.0</v>
      </c>
      <c r="P2" s="1">
        <v>6546.0</v>
      </c>
      <c r="Q2" s="1">
        <v>6548.0</v>
      </c>
      <c r="R2" s="1">
        <v>6550.0</v>
      </c>
      <c r="S2" s="1">
        <v>6552.0</v>
      </c>
      <c r="T2" s="1">
        <v>6554.0</v>
      </c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213</v>
      </c>
      <c r="C3" s="6">
        <v>0.20833333333333334</v>
      </c>
      <c r="D3" s="6">
        <v>0.2361111111111111</v>
      </c>
      <c r="E3" s="6">
        <v>0.2673611111111111</v>
      </c>
      <c r="F3" s="6">
        <v>0.2916666666666667</v>
      </c>
      <c r="G3" s="6">
        <v>0.3229166666666667</v>
      </c>
      <c r="H3" s="6">
        <v>0.3472222222222222</v>
      </c>
      <c r="I3" s="6">
        <v>0.37777777777777777</v>
      </c>
      <c r="J3" s="6">
        <v>0.4326388888888889</v>
      </c>
      <c r="K3" s="6">
        <v>0.4875</v>
      </c>
      <c r="L3" s="6">
        <v>0.5423611111111111</v>
      </c>
      <c r="M3" s="6">
        <v>0.5972222222222222</v>
      </c>
      <c r="N3" s="6">
        <v>0.6527777777777778</v>
      </c>
      <c r="O3" s="6">
        <v>0.6805555555555556</v>
      </c>
      <c r="P3" s="6">
        <v>0.7083333333333334</v>
      </c>
      <c r="Q3" s="6">
        <v>0.7465277777777778</v>
      </c>
      <c r="R3" s="6">
        <v>0.7638888888888888</v>
      </c>
      <c r="S3" s="6">
        <v>0.8020833333333334</v>
      </c>
      <c r="T3" s="6">
        <v>0.8229166666666666</v>
      </c>
    </row>
    <row r="4">
      <c r="A4" s="1" t="s">
        <v>290</v>
      </c>
      <c r="B4" s="7" t="s">
        <v>291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>
      <c r="A5" s="1" t="s">
        <v>288</v>
      </c>
      <c r="B5" s="7" t="s">
        <v>289</v>
      </c>
      <c r="C5" s="8">
        <v>0.21319444444444444</v>
      </c>
      <c r="D5" s="8">
        <v>0.24097222222222223</v>
      </c>
      <c r="E5" s="8">
        <v>0.2722222222222222</v>
      </c>
      <c r="F5" s="8">
        <v>0.2965277777777778</v>
      </c>
      <c r="G5" s="8">
        <v>0.3277777777777778</v>
      </c>
      <c r="H5" s="8">
        <v>0.35208333333333336</v>
      </c>
      <c r="I5" s="8">
        <v>0.38263888888888886</v>
      </c>
      <c r="J5" s="8">
        <v>0.4375</v>
      </c>
      <c r="K5" s="8">
        <v>0.49236111111111114</v>
      </c>
      <c r="L5" s="8">
        <v>0.5472222222222223</v>
      </c>
      <c r="M5" s="8">
        <v>0.6020833333333333</v>
      </c>
      <c r="N5" s="8">
        <v>0.6576388888888889</v>
      </c>
      <c r="O5" s="8">
        <v>0.6854166666666667</v>
      </c>
      <c r="P5" s="8">
        <v>0.7131944444444445</v>
      </c>
      <c r="Q5" s="8">
        <v>0.7513888888888889</v>
      </c>
      <c r="R5" s="8">
        <v>0.76875</v>
      </c>
      <c r="S5" s="8">
        <v>0.8069444444444445</v>
      </c>
      <c r="T5" s="8">
        <v>0.8277777777777777</v>
      </c>
    </row>
    <row r="6">
      <c r="A6" s="7" t="s">
        <v>286</v>
      </c>
      <c r="B6" s="7" t="s">
        <v>287</v>
      </c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</row>
    <row r="7">
      <c r="A7" s="7" t="s">
        <v>284</v>
      </c>
      <c r="B7" s="7" t="s">
        <v>285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>
      <c r="A8" s="7" t="s">
        <v>282</v>
      </c>
      <c r="B8" s="7" t="s">
        <v>283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>
      <c r="A9" s="1" t="s">
        <v>280</v>
      </c>
      <c r="B9" s="7" t="s">
        <v>281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>
      <c r="A10" s="1" t="s">
        <v>278</v>
      </c>
      <c r="B10" s="7" t="s">
        <v>279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>
      <c r="A11" s="7" t="s">
        <v>276</v>
      </c>
      <c r="B11" s="7" t="s">
        <v>277</v>
      </c>
      <c r="C11" s="8">
        <v>0.22430555555555556</v>
      </c>
      <c r="D11" s="8">
        <v>0.2520833333333333</v>
      </c>
      <c r="E11" s="8">
        <v>0.2833333333333333</v>
      </c>
      <c r="F11" s="8">
        <v>0.30694444444444446</v>
      </c>
      <c r="G11" s="8">
        <v>0.3388888888888889</v>
      </c>
      <c r="H11" s="8">
        <v>0.36319444444444443</v>
      </c>
      <c r="I11" s="8">
        <v>0.39375</v>
      </c>
      <c r="J11" s="8">
        <v>0.4486111111111111</v>
      </c>
      <c r="K11" s="8">
        <v>0.5034722222222222</v>
      </c>
      <c r="L11" s="8">
        <v>0.5583333333333333</v>
      </c>
      <c r="M11" s="8">
        <v>0.6131944444444445</v>
      </c>
      <c r="N11" s="8">
        <v>0.66875</v>
      </c>
      <c r="O11" s="8">
        <v>0.6965277777777777</v>
      </c>
      <c r="P11" s="8">
        <v>0.7243055555555555</v>
      </c>
      <c r="Q11" s="8">
        <v>0.7625</v>
      </c>
      <c r="R11" s="8">
        <v>0.7798611111111111</v>
      </c>
      <c r="S11" s="8">
        <v>0.8180555555555555</v>
      </c>
      <c r="T11" s="8">
        <v>0.8388888888888889</v>
      </c>
    </row>
    <row r="12">
      <c r="A12" s="7" t="s">
        <v>274</v>
      </c>
      <c r="B12" s="7" t="s">
        <v>275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>
      <c r="A13" s="1" t="s">
        <v>272</v>
      </c>
      <c r="B13" s="7" t="s">
        <v>273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>
      <c r="A14" s="7" t="s">
        <v>270</v>
      </c>
      <c r="B14" s="7" t="s">
        <v>271</v>
      </c>
      <c r="C14" s="8">
        <v>0.23055555555555557</v>
      </c>
      <c r="D14" s="8">
        <v>0.25833333333333336</v>
      </c>
      <c r="E14" s="8">
        <v>0.28958333333333336</v>
      </c>
      <c r="F14" s="8">
        <v>0.31319444444444444</v>
      </c>
      <c r="G14" s="8">
        <v>0.3451388888888889</v>
      </c>
      <c r="H14" s="8">
        <v>0.36944444444444446</v>
      </c>
      <c r="I14" s="8">
        <v>0.4</v>
      </c>
      <c r="J14" s="8">
        <v>0.4548611111111111</v>
      </c>
      <c r="K14" s="8">
        <v>0.5097222222222222</v>
      </c>
      <c r="L14" s="8">
        <v>0.5645833333333333</v>
      </c>
      <c r="M14" s="8">
        <v>0.6194444444444445</v>
      </c>
      <c r="N14" s="8">
        <v>0.675</v>
      </c>
      <c r="O14" s="8">
        <v>0.7027777777777777</v>
      </c>
      <c r="P14" s="8">
        <v>0.7305555555555555</v>
      </c>
      <c r="Q14" s="8">
        <v>0.76875</v>
      </c>
      <c r="R14" s="8">
        <v>0.7861111111111111</v>
      </c>
      <c r="S14" s="8">
        <v>0.8243055555555555</v>
      </c>
      <c r="T14" s="8">
        <v>0.8451388888888889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8"/>
    </row>
    <row r="18">
      <c r="A18" s="13"/>
      <c r="B18" s="17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8"/>
    </row>
    <row r="19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2"/>
      <c r="L19" s="12"/>
      <c r="M19" s="12"/>
      <c r="N19" s="12"/>
      <c r="O19" s="12"/>
      <c r="P19" s="12"/>
      <c r="Q19" s="12"/>
      <c r="R19" s="12"/>
      <c r="S19" s="12"/>
      <c r="T19" s="8"/>
    </row>
    <row r="20">
      <c r="A20" s="13"/>
      <c r="B20" s="145"/>
      <c r="C20" s="145"/>
      <c r="D20" s="145"/>
      <c r="E20" s="145"/>
      <c r="F20" s="145"/>
      <c r="G20" s="145"/>
      <c r="H20" s="145"/>
      <c r="I20" s="145"/>
      <c r="J20" s="145"/>
      <c r="K20" s="163"/>
      <c r="L20" s="163"/>
      <c r="M20" s="163"/>
      <c r="N20" s="163"/>
      <c r="O20" s="163"/>
      <c r="P20" s="163"/>
      <c r="Q20" s="163"/>
      <c r="R20" s="163"/>
      <c r="S20" s="163"/>
      <c r="T20" s="11"/>
    </row>
    <row r="21">
      <c r="A21" s="13"/>
      <c r="B21" s="163"/>
      <c r="C21" s="163"/>
      <c r="D21" s="163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2"/>
    </row>
    <row r="22">
      <c r="A22" s="13"/>
      <c r="B22" s="145"/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2"/>
    </row>
    <row r="23">
      <c r="A23" s="13"/>
      <c r="B23" s="145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2"/>
    </row>
    <row r="24">
      <c r="A24" s="13"/>
      <c r="B24" s="145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5"/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2"/>
    </row>
    <row r="27">
      <c r="A27" s="13"/>
      <c r="B27" s="145"/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5"/>
      <c r="C29" s="162"/>
      <c r="D29" s="162"/>
      <c r="E29" s="162"/>
      <c r="F29" s="162"/>
      <c r="G29" s="162"/>
      <c r="H29" s="162"/>
      <c r="I29" s="162"/>
      <c r="J29" s="16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45"/>
      <c r="C30" s="162"/>
      <c r="D30" s="162"/>
      <c r="E30" s="162"/>
      <c r="F30" s="162"/>
      <c r="G30" s="162"/>
      <c r="H30" s="162"/>
      <c r="I30" s="162"/>
      <c r="J30" s="16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1" t="s">
        <v>196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6505.0</v>
      </c>
      <c r="D2" s="1">
        <v>6513.0</v>
      </c>
      <c r="E2" s="1">
        <v>6517.0</v>
      </c>
      <c r="F2" s="1">
        <v>6519.0</v>
      </c>
      <c r="G2" s="1">
        <v>6547.0</v>
      </c>
      <c r="H2" s="1">
        <v>6551.0</v>
      </c>
      <c r="I2" s="1">
        <v>6555.0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270</v>
      </c>
      <c r="B3" s="5" t="s">
        <v>271</v>
      </c>
      <c r="C3" s="6">
        <v>0.2361111111111111</v>
      </c>
      <c r="D3" s="6">
        <v>0.2916666666666667</v>
      </c>
      <c r="E3" s="6">
        <v>0.3472222222222222</v>
      </c>
      <c r="F3" s="6">
        <v>0.4340277777777778</v>
      </c>
      <c r="G3" s="6">
        <v>0.6527777777777778</v>
      </c>
      <c r="H3" s="6">
        <v>0.7083333333333334</v>
      </c>
      <c r="I3" s="6">
        <v>0.7916666666666666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272</v>
      </c>
      <c r="B4" s="7" t="s">
        <v>273</v>
      </c>
      <c r="C4" s="10"/>
      <c r="D4" s="10"/>
      <c r="E4" s="10"/>
      <c r="F4" s="10"/>
      <c r="G4" s="10"/>
      <c r="H4" s="10"/>
      <c r="I4" s="10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274</v>
      </c>
      <c r="B5" s="7" t="s">
        <v>275</v>
      </c>
      <c r="C5" s="164"/>
      <c r="D5" s="164"/>
      <c r="E5" s="164"/>
      <c r="F5" s="164"/>
      <c r="G5" s="164"/>
      <c r="H5" s="164"/>
      <c r="I5" s="164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276</v>
      </c>
      <c r="B6" s="7" t="s">
        <v>277</v>
      </c>
      <c r="C6" s="165">
        <f t="shared" ref="C6:I6" si="1">C3+TIME(0,7,0)</f>
        <v>0.2409722222</v>
      </c>
      <c r="D6" s="165">
        <f t="shared" si="1"/>
        <v>0.2965277778</v>
      </c>
      <c r="E6" s="165">
        <f t="shared" si="1"/>
        <v>0.3520833333</v>
      </c>
      <c r="F6" s="165">
        <f t="shared" si="1"/>
        <v>0.4388888889</v>
      </c>
      <c r="G6" s="165">
        <f t="shared" si="1"/>
        <v>0.6576388889</v>
      </c>
      <c r="H6" s="165">
        <f t="shared" si="1"/>
        <v>0.7131944444</v>
      </c>
      <c r="I6" s="165">
        <f t="shared" si="1"/>
        <v>0.7965277778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278</v>
      </c>
      <c r="B7" s="7" t="s">
        <v>279</v>
      </c>
      <c r="C7" s="10"/>
      <c r="D7" s="10"/>
      <c r="E7" s="10"/>
      <c r="F7" s="10"/>
      <c r="G7" s="10"/>
      <c r="H7" s="10"/>
      <c r="I7" s="10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280</v>
      </c>
      <c r="B8" s="7" t="s">
        <v>281</v>
      </c>
      <c r="C8" s="10"/>
      <c r="D8" s="10"/>
      <c r="E8" s="10"/>
      <c r="F8" s="10"/>
      <c r="G8" s="10"/>
      <c r="H8" s="10"/>
      <c r="I8" s="10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282</v>
      </c>
      <c r="B9" s="7" t="s">
        <v>283</v>
      </c>
      <c r="C9" s="10"/>
      <c r="D9" s="10"/>
      <c r="E9" s="10"/>
      <c r="F9" s="10"/>
      <c r="G9" s="10"/>
      <c r="H9" s="10"/>
      <c r="I9" s="10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284</v>
      </c>
      <c r="B10" s="7" t="s">
        <v>285</v>
      </c>
      <c r="C10" s="10"/>
      <c r="D10" s="10"/>
      <c r="E10" s="10"/>
      <c r="F10" s="10"/>
      <c r="G10" s="10"/>
      <c r="H10" s="10"/>
      <c r="I10" s="1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286</v>
      </c>
      <c r="B11" s="7" t="s">
        <v>287</v>
      </c>
      <c r="C11" s="10"/>
      <c r="D11" s="10"/>
      <c r="E11" s="10"/>
      <c r="F11" s="10"/>
      <c r="G11" s="10"/>
      <c r="H11" s="10"/>
      <c r="I11" s="10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288</v>
      </c>
      <c r="B12" s="7" t="s">
        <v>289</v>
      </c>
      <c r="C12" s="8">
        <v>0.2520833333333333</v>
      </c>
      <c r="D12" s="8">
        <v>0.3076388888888889</v>
      </c>
      <c r="E12" s="8">
        <v>0.36319444444444443</v>
      </c>
      <c r="F12" s="8">
        <v>0.45</v>
      </c>
      <c r="G12" s="8">
        <v>0.66875</v>
      </c>
      <c r="H12" s="8">
        <v>0.7243055555555555</v>
      </c>
      <c r="I12" s="8">
        <v>0.8076388888888889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290</v>
      </c>
      <c r="B13" s="7" t="s">
        <v>291</v>
      </c>
      <c r="C13" s="10"/>
      <c r="D13" s="10"/>
      <c r="E13" s="10"/>
      <c r="F13" s="10"/>
      <c r="G13" s="10"/>
      <c r="H13" s="10"/>
      <c r="I13" s="10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</v>
      </c>
      <c r="B14" s="7" t="s">
        <v>213</v>
      </c>
      <c r="C14" s="8">
        <v>0.25833333333333336</v>
      </c>
      <c r="D14" s="8">
        <v>0.3138888888888889</v>
      </c>
      <c r="E14" s="8">
        <v>0.36944444444444446</v>
      </c>
      <c r="F14" s="8">
        <v>0.45625</v>
      </c>
      <c r="G14" s="8">
        <v>0.675</v>
      </c>
      <c r="H14" s="8">
        <v>0.7305555555555555</v>
      </c>
      <c r="I14" s="8">
        <v>0.8138888888888889</v>
      </c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2"/>
      <c r="D18" s="12"/>
      <c r="E18" s="12"/>
      <c r="F18" s="12"/>
      <c r="G18" s="12"/>
      <c r="H18" s="12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7"/>
      <c r="C19" s="162"/>
      <c r="D19" s="162"/>
      <c r="E19" s="162"/>
      <c r="F19" s="162"/>
      <c r="G19" s="162"/>
      <c r="H19" s="16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3"/>
      <c r="C20" s="163"/>
      <c r="D20" s="163"/>
      <c r="E20" s="163"/>
      <c r="F20" s="163"/>
      <c r="G20" s="163"/>
      <c r="H20" s="163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63"/>
      <c r="C21" s="163"/>
      <c r="D21" s="163"/>
      <c r="E21" s="162"/>
      <c r="F21" s="162"/>
      <c r="G21" s="162"/>
      <c r="H21" s="16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5"/>
      <c r="C22" s="162"/>
      <c r="D22" s="162"/>
      <c r="E22" s="162"/>
      <c r="F22" s="162"/>
      <c r="G22" s="162"/>
      <c r="H22" s="16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5"/>
      <c r="C23" s="162"/>
      <c r="D23" s="162"/>
      <c r="E23" s="162"/>
      <c r="F23" s="162"/>
      <c r="G23" s="162"/>
      <c r="H23" s="16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5"/>
      <c r="C24" s="162"/>
      <c r="D24" s="162"/>
      <c r="E24" s="162"/>
      <c r="F24" s="162"/>
      <c r="G24" s="162"/>
      <c r="H24" s="16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5"/>
      <c r="C25" s="162"/>
      <c r="D25" s="162"/>
      <c r="E25" s="162"/>
      <c r="F25" s="162"/>
      <c r="G25" s="162"/>
      <c r="H25" s="16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5"/>
      <c r="C26" s="162"/>
      <c r="D26" s="162"/>
      <c r="E26" s="162"/>
      <c r="F26" s="162"/>
      <c r="G26" s="162"/>
      <c r="H26" s="16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5"/>
      <c r="C28" s="162"/>
      <c r="D28" s="162"/>
      <c r="E28" s="162"/>
      <c r="F28" s="162"/>
      <c r="G28" s="162"/>
      <c r="H28" s="16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'JHB-to-GERM_Sat'!B1</f>
        <v>Unspecified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6500.0</v>
      </c>
      <c r="D2" s="1">
        <v>6506.0</v>
      </c>
      <c r="E2" s="1">
        <v>6512.0</v>
      </c>
      <c r="F2" s="1">
        <v>6514.0</v>
      </c>
      <c r="G2" s="1">
        <v>6540.0</v>
      </c>
      <c r="H2" s="1">
        <v>6544.0</v>
      </c>
      <c r="I2" s="1">
        <v>6548.0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213</v>
      </c>
      <c r="C3" s="6">
        <v>0.20833333333333334</v>
      </c>
      <c r="D3" s="6">
        <v>0.2638888888888889</v>
      </c>
      <c r="E3" s="6">
        <v>0.3194444444444444</v>
      </c>
      <c r="F3" s="6">
        <v>0.4027777777777778</v>
      </c>
      <c r="G3" s="6">
        <v>0.625</v>
      </c>
      <c r="H3" s="6">
        <v>0.6805555555555556</v>
      </c>
      <c r="I3" s="6">
        <v>0.7638888888888888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290</v>
      </c>
      <c r="B4" s="7" t="s">
        <v>291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288</v>
      </c>
      <c r="B5" s="7" t="s">
        <v>289</v>
      </c>
      <c r="C5" s="8">
        <v>0.21319444444444444</v>
      </c>
      <c r="D5" s="8">
        <v>0.26875</v>
      </c>
      <c r="E5" s="8">
        <v>0.32430555555555557</v>
      </c>
      <c r="F5" s="8">
        <v>0.4076388888888889</v>
      </c>
      <c r="G5" s="8">
        <v>0.6298611111111111</v>
      </c>
      <c r="H5" s="8">
        <v>0.6854166666666667</v>
      </c>
      <c r="I5" s="8">
        <v>0.76875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286</v>
      </c>
      <c r="B6" s="7" t="s">
        <v>287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284</v>
      </c>
      <c r="B7" s="7" t="s">
        <v>285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282</v>
      </c>
      <c r="B8" s="7" t="s">
        <v>283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280</v>
      </c>
      <c r="B9" s="7" t="s">
        <v>281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278</v>
      </c>
      <c r="B10" s="7" t="s">
        <v>279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276</v>
      </c>
      <c r="B11" s="7" t="s">
        <v>277</v>
      </c>
      <c r="C11" s="166">
        <f t="shared" ref="C11:I11" si="1">C14-TIME(0,7,0)</f>
        <v>0.2256944444</v>
      </c>
      <c r="D11" s="166">
        <f t="shared" si="1"/>
        <v>0.28125</v>
      </c>
      <c r="E11" s="166">
        <f t="shared" si="1"/>
        <v>0.3368055556</v>
      </c>
      <c r="F11" s="166">
        <f t="shared" si="1"/>
        <v>0.4201388889</v>
      </c>
      <c r="G11" s="166">
        <f t="shared" si="1"/>
        <v>0.6423611111</v>
      </c>
      <c r="H11" s="166">
        <f t="shared" si="1"/>
        <v>0.6979166667</v>
      </c>
      <c r="I11" s="166">
        <f t="shared" si="1"/>
        <v>0.78125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274</v>
      </c>
      <c r="B12" s="7" t="s">
        <v>275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272</v>
      </c>
      <c r="B13" s="7" t="s">
        <v>273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270</v>
      </c>
      <c r="B14" s="7" t="s">
        <v>271</v>
      </c>
      <c r="C14" s="8">
        <v>0.23055555555555557</v>
      </c>
      <c r="D14" s="8">
        <v>0.2861111111111111</v>
      </c>
      <c r="E14" s="8">
        <v>0.3416666666666667</v>
      </c>
      <c r="F14" s="8">
        <v>0.425</v>
      </c>
      <c r="G14" s="8">
        <v>0.6472222222222223</v>
      </c>
      <c r="H14" s="8">
        <v>0.7027777777777777</v>
      </c>
      <c r="I14" s="8">
        <v>0.7861111111111111</v>
      </c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2"/>
      <c r="C17" s="12"/>
      <c r="D17" s="12"/>
      <c r="E17" s="12"/>
      <c r="F17" s="12"/>
      <c r="G17" s="12"/>
      <c r="H17" s="12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7"/>
      <c r="C18" s="162"/>
      <c r="D18" s="162"/>
      <c r="E18" s="162"/>
      <c r="F18" s="162"/>
      <c r="G18" s="162"/>
      <c r="H18" s="162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12"/>
      <c r="G19" s="12"/>
      <c r="H19" s="1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3"/>
      <c r="C20" s="163"/>
      <c r="D20" s="163"/>
      <c r="E20" s="163"/>
      <c r="F20" s="163"/>
      <c r="G20" s="163"/>
      <c r="H20" s="163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63"/>
      <c r="C21" s="163"/>
      <c r="D21" s="163"/>
      <c r="E21" s="162"/>
      <c r="F21" s="162"/>
      <c r="G21" s="162"/>
      <c r="H21" s="16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5"/>
      <c r="C22" s="162"/>
      <c r="D22" s="162"/>
      <c r="E22" s="162"/>
      <c r="F22" s="162"/>
      <c r="G22" s="162"/>
      <c r="H22" s="16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5"/>
      <c r="C23" s="162"/>
      <c r="D23" s="162"/>
      <c r="E23" s="162"/>
      <c r="F23" s="162"/>
      <c r="G23" s="162"/>
      <c r="H23" s="16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5"/>
      <c r="C24" s="162"/>
      <c r="D24" s="162"/>
      <c r="E24" s="162"/>
      <c r="F24" s="162"/>
      <c r="G24" s="162"/>
      <c r="H24" s="16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5"/>
      <c r="C25" s="162"/>
      <c r="D25" s="162"/>
      <c r="E25" s="162"/>
      <c r="F25" s="162"/>
      <c r="G25" s="162"/>
      <c r="H25" s="16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5"/>
      <c r="C26" s="162"/>
      <c r="D26" s="162"/>
      <c r="E26" s="162"/>
      <c r="F26" s="162"/>
      <c r="G26" s="162"/>
      <c r="H26" s="16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5"/>
      <c r="C27" s="162"/>
      <c r="D27" s="162"/>
      <c r="E27" s="162"/>
      <c r="F27" s="162"/>
      <c r="G27" s="162"/>
      <c r="H27" s="16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45922.0</v>
      </c>
      <c r="C1" s="96" t="s">
        <v>292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 t="s">
        <v>2</v>
      </c>
      <c r="B2" s="1" t="s">
        <v>3</v>
      </c>
      <c r="C2" s="161" t="s">
        <v>293</v>
      </c>
      <c r="D2" s="1" t="s">
        <v>294</v>
      </c>
      <c r="E2" s="1" t="s">
        <v>295</v>
      </c>
      <c r="F2" s="1" t="s">
        <v>296</v>
      </c>
      <c r="G2" s="1" t="s">
        <v>297</v>
      </c>
      <c r="H2" s="1" t="s">
        <v>298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4" t="s">
        <v>24</v>
      </c>
      <c r="B3" s="80" t="s">
        <v>25</v>
      </c>
      <c r="C3" s="6">
        <v>0.2361111111111111</v>
      </c>
      <c r="D3" s="6">
        <v>0.3472222222222222</v>
      </c>
      <c r="E3" s="6">
        <v>0.4548611111111111</v>
      </c>
      <c r="F3" s="6">
        <v>0.6006944444444444</v>
      </c>
      <c r="G3" s="81">
        <v>0.7013888888888888</v>
      </c>
      <c r="H3" s="81">
        <v>0.8055555555555556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</v>
      </c>
      <c r="B4" s="7" t="s">
        <v>299</v>
      </c>
      <c r="C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</v>
      </c>
      <c r="B5" s="8" t="s">
        <v>120</v>
      </c>
      <c r="C5" s="8"/>
      <c r="D5" s="8"/>
      <c r="E5" s="8"/>
      <c r="F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</v>
      </c>
      <c r="B6" s="8" t="s">
        <v>121</v>
      </c>
      <c r="C6" s="8">
        <v>0.24374999999999997</v>
      </c>
      <c r="D6" s="8">
        <v>0.35486111111111107</v>
      </c>
      <c r="E6" s="8">
        <v>0.46249999999999997</v>
      </c>
      <c r="F6" s="8">
        <v>0.6083333333333333</v>
      </c>
      <c r="G6" s="8">
        <v>0.7090277777777777</v>
      </c>
      <c r="H6" s="8">
        <v>0.8131944444444444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32</v>
      </c>
      <c r="B7" s="7" t="s">
        <v>122</v>
      </c>
      <c r="C7" s="8">
        <v>0.24652777777777773</v>
      </c>
      <c r="D7" s="8">
        <v>0.35763888888888884</v>
      </c>
      <c r="E7" s="8">
        <v>0.46527777777777773</v>
      </c>
      <c r="F7" s="8">
        <v>0.611111111111111</v>
      </c>
      <c r="G7" s="8">
        <v>0.7118055555555555</v>
      </c>
      <c r="H7" s="8">
        <v>0.8159722222222222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33</v>
      </c>
      <c r="B8" s="7" t="s">
        <v>123</v>
      </c>
      <c r="C8" s="8">
        <v>0.25208333333333327</v>
      </c>
      <c r="D8" s="8">
        <v>0.3631944444444444</v>
      </c>
      <c r="E8" s="8">
        <v>0.47083333333333327</v>
      </c>
      <c r="F8" s="8">
        <v>0.6166666666666666</v>
      </c>
      <c r="G8" s="8">
        <v>0.717361111111111</v>
      </c>
      <c r="H8" s="8">
        <v>0.8215277777777777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34</v>
      </c>
      <c r="B9" s="7" t="s">
        <v>300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35</v>
      </c>
      <c r="B10" s="7" t="s">
        <v>301</v>
      </c>
      <c r="C10" s="8">
        <v>0.26111111111111107</v>
      </c>
      <c r="D10" s="8">
        <v>0.3722222222222222</v>
      </c>
      <c r="E10" s="8">
        <v>0.47986111111111107</v>
      </c>
      <c r="F10" s="8">
        <v>0.6256944444444443</v>
      </c>
      <c r="G10" s="8">
        <v>0.7263888888888888</v>
      </c>
      <c r="H10" s="8">
        <v>0.8305555555555555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36</v>
      </c>
      <c r="B11" s="7" t="s">
        <v>302</v>
      </c>
      <c r="C11" s="8">
        <v>0.2666666666666666</v>
      </c>
      <c r="D11" s="8">
        <v>0.3777777777777777</v>
      </c>
      <c r="E11" s="8">
        <v>0.4854166666666666</v>
      </c>
      <c r="F11" s="8">
        <v>0.6312499999999999</v>
      </c>
      <c r="G11" s="8">
        <v>0.7319444444444443</v>
      </c>
      <c r="H11" s="8">
        <v>0.836111111111111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40</v>
      </c>
      <c r="B12" s="7" t="s">
        <v>222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41</v>
      </c>
      <c r="B13" s="7" t="s">
        <v>221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42</v>
      </c>
      <c r="B14" s="7" t="s">
        <v>220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>
      <c r="A15" s="1" t="s">
        <v>43</v>
      </c>
      <c r="B15" s="7" t="s">
        <v>219</v>
      </c>
      <c r="C15" s="8">
        <v>0.27777777777777773</v>
      </c>
      <c r="D15" s="8">
        <v>0.38888888888888884</v>
      </c>
      <c r="E15" s="8">
        <v>0.49652777777777773</v>
      </c>
      <c r="F15" s="8">
        <v>0.6423611111111109</v>
      </c>
      <c r="G15" s="8">
        <v>0.7430555555555554</v>
      </c>
      <c r="H15" s="8">
        <v>0.8472222222222221</v>
      </c>
      <c r="I15" s="8"/>
      <c r="J15" s="8"/>
      <c r="K15" s="8"/>
      <c r="L15" s="8"/>
      <c r="M15" s="8"/>
    </row>
    <row r="16">
      <c r="A16" s="7" t="s">
        <v>44</v>
      </c>
      <c r="B16" s="7" t="s">
        <v>303</v>
      </c>
      <c r="C16" s="8"/>
      <c r="D16" s="8"/>
      <c r="E16" s="8"/>
      <c r="F16" s="8"/>
      <c r="G16" s="8"/>
      <c r="H16" s="8">
        <v>0.8548611111111111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46</v>
      </c>
      <c r="B17" s="7" t="s">
        <v>304</v>
      </c>
      <c r="C17" s="8"/>
      <c r="D17" s="8"/>
      <c r="E17" s="8"/>
      <c r="F17" s="8"/>
      <c r="G17" s="8"/>
      <c r="H17" s="8">
        <v>0.8590277777777777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5">
      <c r="A25" s="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'PTA-to-KEMP_Weekday'!B1</f>
        <v>45922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61" t="s">
        <v>305</v>
      </c>
      <c r="D2" s="1" t="s">
        <v>306</v>
      </c>
      <c r="E2" s="1" t="s">
        <v>307</v>
      </c>
      <c r="F2" s="1" t="s">
        <v>308</v>
      </c>
      <c r="G2" s="1" t="s">
        <v>309</v>
      </c>
      <c r="H2" s="1" t="s">
        <v>310</v>
      </c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46</v>
      </c>
      <c r="B3" s="5" t="s">
        <v>304</v>
      </c>
      <c r="C3" s="6">
        <v>0.1736111111111111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67" t="s">
        <v>44</v>
      </c>
      <c r="B4" s="168" t="s">
        <v>303</v>
      </c>
      <c r="C4" s="169">
        <v>0.17847222222222223</v>
      </c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33"/>
      <c r="V4" s="133"/>
      <c r="W4" s="133"/>
      <c r="X4" s="133"/>
      <c r="Y4" s="133"/>
      <c r="Z4" s="133"/>
      <c r="AA4" s="133"/>
    </row>
    <row r="5">
      <c r="A5" s="167" t="s">
        <v>43</v>
      </c>
      <c r="B5" s="168" t="s">
        <v>219</v>
      </c>
      <c r="C5" s="169">
        <v>0.18125</v>
      </c>
      <c r="D5" s="169">
        <v>0.2986111111111111</v>
      </c>
      <c r="E5" s="169">
        <v>0.40625</v>
      </c>
      <c r="F5" s="169">
        <v>0.5277777777777778</v>
      </c>
      <c r="G5" s="169">
        <v>0.6493055555555556</v>
      </c>
      <c r="H5" s="169">
        <v>0.7534722222222222</v>
      </c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33"/>
      <c r="V5" s="133"/>
      <c r="W5" s="133"/>
      <c r="X5" s="133"/>
      <c r="Y5" s="133"/>
      <c r="Z5" s="133"/>
      <c r="AA5" s="133"/>
    </row>
    <row r="6">
      <c r="A6" s="3" t="s">
        <v>42</v>
      </c>
      <c r="B6" s="9" t="s">
        <v>220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3" t="s">
        <v>41</v>
      </c>
      <c r="B7" s="9" t="s">
        <v>221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9" t="s">
        <v>40</v>
      </c>
      <c r="B8" s="9" t="s">
        <v>222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7" t="s">
        <v>36</v>
      </c>
      <c r="B9" s="9" t="s">
        <v>302</v>
      </c>
      <c r="C9" s="8">
        <v>0.19305555555555556</v>
      </c>
      <c r="D9" s="8">
        <v>0.3104166666666667</v>
      </c>
      <c r="E9" s="8">
        <v>0.41805555555555557</v>
      </c>
      <c r="F9" s="8">
        <v>0.5395833333333333</v>
      </c>
      <c r="G9" s="8">
        <v>0.6611111111111112</v>
      </c>
      <c r="H9" s="8">
        <v>0.7652777777777777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9" t="s">
        <v>35</v>
      </c>
      <c r="B10" s="8" t="s">
        <v>301</v>
      </c>
      <c r="C10" s="8">
        <v>0.1986111111111111</v>
      </c>
      <c r="D10" s="8">
        <v>0.3159722222222222</v>
      </c>
      <c r="E10" s="8">
        <v>0.4236111111111111</v>
      </c>
      <c r="F10" s="8">
        <v>0.5451388888888888</v>
      </c>
      <c r="G10" s="8">
        <v>0.6666666666666667</v>
      </c>
      <c r="H10" s="8">
        <v>0.7708333333333333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3" t="s">
        <v>34</v>
      </c>
      <c r="B11" s="9" t="s">
        <v>300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3" t="s">
        <v>33</v>
      </c>
      <c r="B12" s="8" t="s">
        <v>123</v>
      </c>
      <c r="C12" s="8">
        <v>0.20694444444444446</v>
      </c>
      <c r="D12" s="8">
        <v>0.32430555555555557</v>
      </c>
      <c r="E12" s="8">
        <v>0.43194444444444446</v>
      </c>
      <c r="F12" s="8">
        <v>0.5534722222222221</v>
      </c>
      <c r="G12" s="8">
        <v>0.675</v>
      </c>
      <c r="H12" s="8">
        <v>0.7791666666666666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9" t="s">
        <v>32</v>
      </c>
      <c r="B13" s="9" t="s">
        <v>122</v>
      </c>
      <c r="C13" s="8">
        <v>0.21319444444444444</v>
      </c>
      <c r="D13" s="8">
        <v>0.33055555555555555</v>
      </c>
      <c r="E13" s="8">
        <v>0.43819444444444444</v>
      </c>
      <c r="F13" s="8">
        <v>0.5597222222222221</v>
      </c>
      <c r="G13" s="8">
        <v>0.68125</v>
      </c>
      <c r="H13" s="8">
        <v>0.7854166666666665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9" t="s">
        <v>31</v>
      </c>
      <c r="B14" s="10" t="s">
        <v>121</v>
      </c>
      <c r="C14" s="8">
        <v>0.21527777777777776</v>
      </c>
      <c r="D14" s="8">
        <v>0.3326388888888889</v>
      </c>
      <c r="E14" s="8">
        <v>0.44027777777777777</v>
      </c>
      <c r="F14" s="8">
        <v>0.5618055555555554</v>
      </c>
      <c r="G14" s="8">
        <v>0.6833333333333333</v>
      </c>
      <c r="H14" s="8">
        <v>0.7874999999999999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3" t="s">
        <v>30</v>
      </c>
      <c r="B15" s="10" t="s">
        <v>120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9" t="s">
        <v>29</v>
      </c>
      <c r="B16" s="9" t="s">
        <v>299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>
      <c r="A17" s="9" t="s">
        <v>24</v>
      </c>
      <c r="B17" s="10" t="s">
        <v>25</v>
      </c>
      <c r="C17" s="8">
        <v>0.22291666666666668</v>
      </c>
      <c r="D17" s="8">
        <v>0.3402777777777778</v>
      </c>
      <c r="E17" s="8">
        <v>0.4479166666666667</v>
      </c>
      <c r="F17" s="8">
        <v>0.5694444444444444</v>
      </c>
      <c r="G17" s="8">
        <v>0.6909722222222223</v>
      </c>
      <c r="H17" s="8">
        <v>0.7951388888888888</v>
      </c>
      <c r="J17" s="10"/>
    </row>
    <row r="23">
      <c r="A23" s="11"/>
      <c r="B23" s="11"/>
      <c r="C23" s="13"/>
    </row>
    <row r="24">
      <c r="O24" s="8"/>
      <c r="P24" s="8"/>
      <c r="Q24" s="8"/>
      <c r="R24" s="8"/>
      <c r="S24" s="8"/>
      <c r="T24" s="8"/>
    </row>
    <row r="25">
      <c r="O25" s="8"/>
      <c r="P25" s="8"/>
      <c r="Q25" s="8"/>
      <c r="R25" s="8"/>
      <c r="S25" s="8"/>
      <c r="T25" s="8"/>
    </row>
    <row r="26">
      <c r="A26" s="50"/>
      <c r="C26" s="51"/>
      <c r="D26" s="51"/>
      <c r="E26" s="51"/>
      <c r="F26" s="51"/>
      <c r="G26" s="51"/>
      <c r="O26" s="8"/>
      <c r="P26" s="8"/>
      <c r="Q26" s="8"/>
      <c r="R26" s="8"/>
      <c r="S26" s="8"/>
      <c r="T26" s="8"/>
    </row>
    <row r="27">
      <c r="A27" s="52"/>
      <c r="C27" s="53"/>
      <c r="D27" s="53"/>
      <c r="E27" s="53"/>
      <c r="F27" s="53"/>
      <c r="G27" s="53"/>
      <c r="O27" s="8"/>
      <c r="P27" s="8"/>
      <c r="Q27" s="8"/>
      <c r="R27" s="8"/>
      <c r="S27" s="8"/>
      <c r="T27" s="8"/>
    </row>
    <row r="28">
      <c r="A28" s="50"/>
      <c r="C28" s="49"/>
      <c r="D28" s="49"/>
      <c r="E28" s="49"/>
      <c r="F28" s="49"/>
      <c r="G28" s="49"/>
      <c r="O28" s="11"/>
      <c r="P28" s="11"/>
      <c r="Q28" s="11"/>
      <c r="R28" s="11"/>
      <c r="S28" s="11"/>
      <c r="T28" s="11"/>
    </row>
    <row r="29">
      <c r="A29" s="50"/>
      <c r="C29" s="49"/>
      <c r="D29" s="49"/>
      <c r="E29" s="49"/>
      <c r="F29" s="49"/>
      <c r="G29" s="49"/>
      <c r="O29" s="12"/>
      <c r="P29" s="12"/>
      <c r="Q29" s="12"/>
      <c r="R29" s="12"/>
      <c r="S29" s="12"/>
      <c r="T29" s="12"/>
    </row>
    <row r="30">
      <c r="A30" s="50"/>
      <c r="C30" s="49"/>
      <c r="D30" s="49"/>
      <c r="E30" s="49"/>
      <c r="F30" s="49"/>
      <c r="G30" s="49"/>
      <c r="O30" s="12"/>
      <c r="P30" s="12"/>
      <c r="Q30" s="12"/>
      <c r="R30" s="12"/>
      <c r="S30" s="12"/>
      <c r="T30" s="12"/>
    </row>
    <row r="31">
      <c r="A31" s="50"/>
      <c r="C31" s="54"/>
      <c r="D31" s="54"/>
      <c r="E31" s="54"/>
      <c r="F31" s="54"/>
      <c r="G31" s="54"/>
      <c r="O31" s="12"/>
      <c r="P31" s="12"/>
      <c r="Q31" s="12"/>
      <c r="R31" s="12"/>
      <c r="S31" s="12"/>
      <c r="T31" s="12"/>
    </row>
    <row r="32">
      <c r="A32" s="50"/>
      <c r="C32" s="54"/>
      <c r="D32" s="54"/>
      <c r="E32" s="54"/>
      <c r="F32" s="54"/>
      <c r="G32" s="54"/>
      <c r="O32" s="12"/>
      <c r="P32" s="12"/>
      <c r="Q32" s="12"/>
      <c r="R32" s="12"/>
      <c r="S32" s="12"/>
      <c r="T32" s="12"/>
    </row>
    <row r="33">
      <c r="A33" s="50"/>
      <c r="C33" s="49"/>
      <c r="D33" s="49"/>
      <c r="E33" s="49"/>
      <c r="F33" s="49"/>
      <c r="G33" s="49"/>
      <c r="O33" s="12"/>
      <c r="P33" s="12"/>
      <c r="Q33" s="12"/>
      <c r="R33" s="12"/>
      <c r="S33" s="12"/>
      <c r="T33" s="12"/>
    </row>
    <row r="34">
      <c r="A34" s="50"/>
      <c r="C34" s="54"/>
      <c r="D34" s="54"/>
      <c r="E34" s="54"/>
      <c r="F34" s="54"/>
      <c r="G34" s="54"/>
      <c r="O34" s="12"/>
      <c r="P34" s="12"/>
      <c r="Q34" s="12"/>
      <c r="R34" s="12"/>
      <c r="S34" s="12"/>
      <c r="T34" s="12"/>
    </row>
    <row r="35">
      <c r="A35" s="50"/>
      <c r="C35" s="54"/>
      <c r="D35" s="54"/>
      <c r="E35" s="54"/>
      <c r="F35" s="54"/>
      <c r="G35" s="54"/>
      <c r="O35" s="12"/>
      <c r="P35" s="12"/>
      <c r="Q35" s="12"/>
      <c r="R35" s="12"/>
      <c r="S35" s="12"/>
      <c r="T35" s="12"/>
    </row>
    <row r="36">
      <c r="A36" s="50"/>
      <c r="C36" s="54"/>
      <c r="D36" s="54"/>
      <c r="E36" s="54"/>
      <c r="F36" s="54"/>
      <c r="G36" s="54"/>
      <c r="O36" s="12"/>
      <c r="P36" s="12"/>
      <c r="Q36" s="12"/>
      <c r="R36" s="12"/>
      <c r="S36" s="12"/>
      <c r="T36" s="12"/>
    </row>
    <row r="37">
      <c r="A37" s="50"/>
      <c r="C37" s="49"/>
      <c r="D37" s="49"/>
      <c r="E37" s="49"/>
      <c r="F37" s="49"/>
      <c r="G37" s="49"/>
      <c r="O37" s="12"/>
      <c r="P37" s="12"/>
      <c r="Q37" s="12"/>
      <c r="R37" s="12"/>
      <c r="S37" s="12"/>
      <c r="T37" s="12"/>
    </row>
    <row r="38">
      <c r="A38" s="50"/>
      <c r="C38" s="49"/>
      <c r="D38" s="49"/>
      <c r="E38" s="49"/>
      <c r="F38" s="49"/>
      <c r="G38" s="49"/>
      <c r="O38" s="12"/>
      <c r="P38" s="12"/>
      <c r="Q38" s="12"/>
      <c r="R38" s="12"/>
      <c r="S38" s="12"/>
      <c r="T38" s="12"/>
    </row>
    <row r="39">
      <c r="A39" s="50"/>
      <c r="C39" s="54"/>
      <c r="D39" s="54"/>
      <c r="E39" s="54"/>
      <c r="F39" s="54"/>
      <c r="G39" s="54"/>
      <c r="O39" s="12"/>
      <c r="P39" s="12"/>
      <c r="Q39" s="12"/>
      <c r="R39" s="12"/>
      <c r="S39" s="12"/>
      <c r="T39" s="12"/>
    </row>
    <row r="40">
      <c r="A40" s="50"/>
      <c r="B40" s="14"/>
      <c r="C40" s="14"/>
      <c r="D40" s="14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>
      <c r="A41" s="50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>
      <c r="A42" s="50"/>
      <c r="B42" s="14"/>
      <c r="C42" s="14"/>
      <c r="D42" s="14"/>
      <c r="E42" s="14"/>
      <c r="F42" s="14"/>
      <c r="G42" s="14"/>
      <c r="H42" s="14"/>
      <c r="I42" s="14"/>
      <c r="J42" s="14"/>
    </row>
    <row r="43">
      <c r="A43" s="50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0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50"/>
      <c r="B45" s="14"/>
      <c r="C45" s="14"/>
      <c r="D45" s="14"/>
      <c r="E45" s="14"/>
      <c r="F45" s="14"/>
      <c r="G45" s="14"/>
      <c r="H45" s="14"/>
      <c r="I45" s="14"/>
      <c r="J45" s="14"/>
    </row>
    <row r="46">
      <c r="A46" s="50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61" t="s">
        <v>293</v>
      </c>
      <c r="D2" s="161" t="s">
        <v>311</v>
      </c>
      <c r="E2" s="161" t="s">
        <v>312</v>
      </c>
      <c r="F2" s="161" t="s">
        <v>313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0.2465277777777778</v>
      </c>
      <c r="D3" s="6">
        <v>0.3472222222222222</v>
      </c>
      <c r="E3" s="6">
        <v>0.5972222222222222</v>
      </c>
      <c r="F3" s="6">
        <v>0.7569444444444444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</v>
      </c>
      <c r="B4" s="7" t="s">
        <v>299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</v>
      </c>
      <c r="B5" s="8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</v>
      </c>
      <c r="B6" s="8" t="s">
        <v>121</v>
      </c>
      <c r="C6" s="8">
        <v>0.25416666666666665</v>
      </c>
      <c r="D6" s="8">
        <v>0.35486111111111107</v>
      </c>
      <c r="E6" s="8">
        <v>0.6048611111111111</v>
      </c>
      <c r="F6" s="8">
        <v>0.7645833333333333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32</v>
      </c>
      <c r="B7" s="7" t="s">
        <v>122</v>
      </c>
      <c r="C7" s="8">
        <v>0.2569444444444444</v>
      </c>
      <c r="D7" s="8">
        <v>0.35763888888888884</v>
      </c>
      <c r="E7" s="8">
        <v>0.6076388888888888</v>
      </c>
      <c r="F7" s="8">
        <v>0.767361111111111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33</v>
      </c>
      <c r="B8" s="7" t="s">
        <v>123</v>
      </c>
      <c r="C8" s="8">
        <v>0.26249999999999996</v>
      </c>
      <c r="D8" s="8">
        <v>0.3631944444444444</v>
      </c>
      <c r="E8" s="8">
        <v>0.6131944444444444</v>
      </c>
      <c r="F8" s="8">
        <v>0.7729166666666666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34</v>
      </c>
      <c r="B9" s="7" t="s">
        <v>300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35</v>
      </c>
      <c r="B10" s="7" t="s">
        <v>301</v>
      </c>
      <c r="C10" s="8">
        <v>0.27152777777777776</v>
      </c>
      <c r="D10" s="8">
        <v>0.3722222222222222</v>
      </c>
      <c r="E10" s="8">
        <v>0.6222222222222222</v>
      </c>
      <c r="F10" s="8">
        <v>0.7819444444444443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36</v>
      </c>
      <c r="B11" s="7" t="s">
        <v>302</v>
      </c>
      <c r="C11" s="8">
        <v>0.2770833333333333</v>
      </c>
      <c r="D11" s="8">
        <v>0.3777777777777777</v>
      </c>
      <c r="E11" s="8">
        <v>0.6277777777777778</v>
      </c>
      <c r="F11" s="8">
        <v>0.7874999999999999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40</v>
      </c>
      <c r="B12" s="7" t="s">
        <v>222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41</v>
      </c>
      <c r="B13" s="7" t="s">
        <v>221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42</v>
      </c>
      <c r="B14" s="7" t="s">
        <v>220</v>
      </c>
      <c r="C14" s="8"/>
      <c r="D14" s="8"/>
      <c r="E14" s="8"/>
      <c r="F14" s="8"/>
      <c r="G14" s="8"/>
      <c r="H14" s="8"/>
      <c r="I14" s="8"/>
      <c r="J14" s="8"/>
      <c r="K14" s="8"/>
    </row>
    <row r="15">
      <c r="A15" s="1" t="s">
        <v>43</v>
      </c>
      <c r="B15" s="7" t="s">
        <v>219</v>
      </c>
      <c r="C15" s="8">
        <v>0.2881944444444444</v>
      </c>
      <c r="D15" s="8">
        <v>0.38888888888888884</v>
      </c>
      <c r="E15" s="8">
        <v>0.6388888888888888</v>
      </c>
      <c r="F15" s="8">
        <v>0.7986111111111109</v>
      </c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7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7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72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73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73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73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7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73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73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7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7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7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73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1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C35" s="14"/>
      <c r="D35" s="14"/>
      <c r="E35" s="14"/>
      <c r="F35" s="14"/>
      <c r="G35" s="14"/>
      <c r="H35" s="14"/>
      <c r="I35" s="14"/>
      <c r="J35" s="14"/>
    </row>
    <row r="36">
      <c r="A36" s="11"/>
      <c r="C36" s="14"/>
      <c r="D36" s="14"/>
      <c r="E36" s="14"/>
      <c r="F36" s="14"/>
      <c r="G36" s="14"/>
      <c r="H36" s="14"/>
      <c r="I36" s="14"/>
      <c r="J36" s="14"/>
    </row>
    <row r="37">
      <c r="A37" s="11"/>
      <c r="C37" s="14"/>
      <c r="D37" s="14"/>
      <c r="E37" s="14"/>
      <c r="F37" s="14"/>
      <c r="G37" s="14"/>
      <c r="H37" s="14"/>
      <c r="I37" s="14"/>
      <c r="J37" s="14"/>
    </row>
    <row r="38">
      <c r="C38" s="14"/>
      <c r="D38" s="14"/>
      <c r="E38" s="14"/>
      <c r="F38" s="14"/>
      <c r="G38" s="14"/>
      <c r="H38" s="14"/>
      <c r="I38" s="14"/>
      <c r="J38" s="14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C41" s="14"/>
      <c r="D41" s="14"/>
      <c r="E41" s="14"/>
      <c r="F41" s="14"/>
      <c r="G41" s="14"/>
      <c r="H41" s="14"/>
      <c r="I41" s="14"/>
      <c r="J41" s="14"/>
    </row>
    <row r="42">
      <c r="C42" s="14"/>
      <c r="D42" s="14"/>
      <c r="E42" s="14"/>
      <c r="F42" s="14"/>
      <c r="G42" s="14"/>
      <c r="H42" s="14"/>
      <c r="I42" s="14"/>
      <c r="J42" s="14"/>
    </row>
    <row r="43">
      <c r="C43" s="14"/>
      <c r="D43" s="14"/>
      <c r="E43" s="14"/>
      <c r="F43" s="14"/>
      <c r="G43" s="14"/>
      <c r="H43" s="14"/>
      <c r="I43" s="14"/>
      <c r="J43" s="14"/>
    </row>
    <row r="44">
      <c r="C44" s="14"/>
      <c r="D44" s="14"/>
      <c r="E44" s="14"/>
      <c r="F44" s="14"/>
      <c r="G44" s="14"/>
      <c r="H44" s="14"/>
      <c r="I44" s="14"/>
      <c r="J44" s="14"/>
    </row>
    <row r="45">
      <c r="C45" s="14"/>
      <c r="D45" s="14"/>
      <c r="E45" s="14"/>
      <c r="F45" s="14"/>
      <c r="G45" s="14"/>
      <c r="H45" s="14"/>
      <c r="I45" s="14"/>
      <c r="J45" s="14"/>
    </row>
    <row r="46">
      <c r="C46" s="14"/>
      <c r="D46" s="14"/>
      <c r="E46" s="14"/>
      <c r="F46" s="14"/>
      <c r="G46" s="14"/>
      <c r="H46" s="14"/>
      <c r="I46" s="14"/>
      <c r="J46" s="14"/>
    </row>
    <row r="47">
      <c r="C47" s="14"/>
      <c r="D47" s="14"/>
      <c r="E47" s="14"/>
      <c r="F47" s="14"/>
      <c r="G47" s="14"/>
      <c r="H47" s="14"/>
      <c r="I47" s="14"/>
      <c r="J47" s="14"/>
    </row>
    <row r="48">
      <c r="C48" s="14"/>
      <c r="D48" s="14"/>
      <c r="E48" s="14"/>
      <c r="F48" s="14"/>
      <c r="G48" s="14"/>
      <c r="H48" s="14"/>
      <c r="I48" s="14"/>
      <c r="J48" s="14"/>
    </row>
    <row r="49">
      <c r="C49" s="14"/>
      <c r="D49" s="14"/>
      <c r="E49" s="14"/>
      <c r="F49" s="14"/>
      <c r="G49" s="14"/>
      <c r="H49" s="14"/>
      <c r="I49" s="14"/>
      <c r="J49" s="14"/>
    </row>
    <row r="50">
      <c r="C50" s="14"/>
      <c r="D50" s="14"/>
      <c r="E50" s="14"/>
      <c r="F50" s="14"/>
      <c r="G50" s="14"/>
      <c r="H50" s="14"/>
      <c r="I50" s="14"/>
      <c r="J50" s="14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'PTA-to-KEMP_Sat'!B1</f>
        <v>46055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61" t="s">
        <v>305</v>
      </c>
      <c r="D2" s="161" t="s">
        <v>314</v>
      </c>
      <c r="E2" s="161" t="s">
        <v>315</v>
      </c>
      <c r="F2" s="161" t="s">
        <v>309</v>
      </c>
      <c r="G2" s="161" t="s">
        <v>316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43</v>
      </c>
      <c r="B3" s="5" t="s">
        <v>219</v>
      </c>
      <c r="C3" s="6">
        <v>0.18819444444444444</v>
      </c>
      <c r="D3" s="6">
        <v>0.2986111111111111</v>
      </c>
      <c r="E3" s="6">
        <v>0.4340277777777778</v>
      </c>
      <c r="F3" s="6">
        <v>0.6493055555555556</v>
      </c>
      <c r="G3" s="6">
        <v>0.7083333333333334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3" t="s">
        <v>42</v>
      </c>
      <c r="B4" s="9" t="s">
        <v>220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3" t="s">
        <v>41</v>
      </c>
      <c r="B5" s="9" t="s">
        <v>221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9" t="s">
        <v>40</v>
      </c>
      <c r="B6" s="9" t="s">
        <v>222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36</v>
      </c>
      <c r="B7" s="9" t="s">
        <v>302</v>
      </c>
      <c r="C7" s="8">
        <v>0.2</v>
      </c>
      <c r="D7" s="8">
        <v>0.3104166666666667</v>
      </c>
      <c r="E7" s="8">
        <v>0.44583333333333336</v>
      </c>
      <c r="F7" s="8">
        <f>F3+(G7-G3)</f>
        <v>0.6611111111</v>
      </c>
      <c r="G7" s="8">
        <v>0.7201388888888889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9" t="s">
        <v>35</v>
      </c>
      <c r="B8" s="8" t="s">
        <v>301</v>
      </c>
      <c r="C8" s="8">
        <v>0.20555555555555555</v>
      </c>
      <c r="D8" s="8">
        <v>0.3159722222222222</v>
      </c>
      <c r="E8" s="8">
        <v>0.4513888888888889</v>
      </c>
      <c r="F8" s="8">
        <f>F7+(G8-G7)</f>
        <v>0.6666666667</v>
      </c>
      <c r="G8" s="8">
        <v>0.7256944444444444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3" t="s">
        <v>34</v>
      </c>
      <c r="B9" s="9" t="s">
        <v>300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3" t="s">
        <v>33</v>
      </c>
      <c r="B10" s="8" t="s">
        <v>123</v>
      </c>
      <c r="C10" s="8">
        <v>0.2138888888888889</v>
      </c>
      <c r="D10" s="8">
        <v>0.32430555555555557</v>
      </c>
      <c r="E10" s="8">
        <v>0.45972222222222225</v>
      </c>
      <c r="F10" s="8">
        <f>F8+(G10-G8)</f>
        <v>0.675</v>
      </c>
      <c r="G10" s="8">
        <v>0.7340277777777777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9" t="s">
        <v>32</v>
      </c>
      <c r="B11" s="9" t="s">
        <v>122</v>
      </c>
      <c r="C11" s="8">
        <v>0.22013888888888888</v>
      </c>
      <c r="D11" s="8">
        <v>0.33055555555555555</v>
      </c>
      <c r="E11" s="8">
        <v>0.46597222222222223</v>
      </c>
      <c r="F11" s="8">
        <f t="shared" ref="F11:F12" si="1">F10+(G11-G10)</f>
        <v>0.68125</v>
      </c>
      <c r="G11" s="8">
        <v>0.7402777777777777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9" t="s">
        <v>31</v>
      </c>
      <c r="B12" s="10" t="s">
        <v>121</v>
      </c>
      <c r="C12" s="8">
        <v>0.2222222222222222</v>
      </c>
      <c r="D12" s="8">
        <v>0.3326388888888889</v>
      </c>
      <c r="E12" s="8">
        <v>0.46805555555555556</v>
      </c>
      <c r="F12" s="8">
        <f t="shared" si="1"/>
        <v>0.6833333333</v>
      </c>
      <c r="G12" s="8">
        <v>0.742361111111111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3" t="s">
        <v>30</v>
      </c>
      <c r="B13" s="10" t="s">
        <v>120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9" t="s">
        <v>29</v>
      </c>
      <c r="B14" s="9" t="s">
        <v>299</v>
      </c>
      <c r="C14" s="8"/>
      <c r="D14" s="8"/>
      <c r="E14" s="8"/>
      <c r="F14" s="8"/>
      <c r="G14" s="8"/>
      <c r="H14" s="8"/>
      <c r="I14" s="8"/>
      <c r="J14" s="8"/>
      <c r="K14" s="8"/>
      <c r="L14" s="8"/>
    </row>
    <row r="15">
      <c r="A15" s="3" t="s">
        <v>24</v>
      </c>
      <c r="B15" s="10" t="s">
        <v>25</v>
      </c>
      <c r="C15" s="8">
        <v>0.22986111111111113</v>
      </c>
      <c r="D15" s="8">
        <v>0.3402777777777778</v>
      </c>
      <c r="E15" s="8">
        <v>0.4756944444444445</v>
      </c>
      <c r="F15" s="8">
        <f>F12+(G15-G12)</f>
        <v>0.6909722222</v>
      </c>
      <c r="G15" s="8">
        <v>0.75</v>
      </c>
      <c r="H15" s="8"/>
      <c r="I15" s="8"/>
      <c r="J15" s="8"/>
      <c r="K15" s="8"/>
      <c r="L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B18" s="84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B20" s="17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>
      <c r="A21" s="17"/>
      <c r="B21" s="17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A22" s="13"/>
      <c r="B22" s="145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A23" s="26"/>
      <c r="B23" s="145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26"/>
      <c r="B24" s="17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26"/>
      <c r="B25" s="145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26"/>
      <c r="B26" s="145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26"/>
      <c r="B27" s="145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26"/>
      <c r="B28" s="17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26"/>
      <c r="B29" s="17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26"/>
      <c r="B30" s="145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26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26"/>
      <c r="B32" s="14"/>
      <c r="C32" s="14"/>
      <c r="D32" s="14"/>
      <c r="E32" s="11"/>
      <c r="F32" s="11"/>
      <c r="G32" s="11"/>
      <c r="H32" s="11"/>
      <c r="I32" s="11"/>
      <c r="J32" s="11"/>
      <c r="K32" s="11"/>
    </row>
    <row r="33">
      <c r="A33" s="26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26"/>
      <c r="C34" s="14"/>
      <c r="D34" s="14"/>
      <c r="E34" s="14"/>
      <c r="F34" s="14"/>
      <c r="G34" s="14"/>
      <c r="H34" s="14"/>
      <c r="I34" s="14"/>
      <c r="J34" s="14"/>
      <c r="K34" s="14"/>
    </row>
    <row r="35">
      <c r="C35" s="14"/>
      <c r="D35" s="14"/>
      <c r="E35" s="14"/>
      <c r="F35" s="14"/>
      <c r="G35" s="14"/>
      <c r="H35" s="14"/>
      <c r="I35" s="14"/>
      <c r="J35" s="14"/>
      <c r="K35" s="14"/>
    </row>
    <row r="36">
      <c r="B36" s="10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>
      <c r="A2" s="1" t="s">
        <v>2</v>
      </c>
      <c r="B2" s="1" t="s">
        <v>3</v>
      </c>
      <c r="C2" s="152" t="s">
        <v>317</v>
      </c>
      <c r="D2" s="152" t="s">
        <v>318</v>
      </c>
      <c r="E2" s="152" t="s">
        <v>319</v>
      </c>
      <c r="F2" s="152" t="s">
        <v>320</v>
      </c>
      <c r="G2" s="152" t="s">
        <v>321</v>
      </c>
      <c r="H2" s="152" t="s">
        <v>322</v>
      </c>
      <c r="I2" s="152" t="s">
        <v>323</v>
      </c>
      <c r="J2" s="152" t="s">
        <v>324</v>
      </c>
      <c r="K2" s="152" t="s">
        <v>325</v>
      </c>
      <c r="L2" s="152" t="s">
        <v>326</v>
      </c>
      <c r="M2" s="152" t="s">
        <v>327</v>
      </c>
      <c r="N2" s="152" t="s">
        <v>328</v>
      </c>
      <c r="O2" s="152" t="s">
        <v>329</v>
      </c>
      <c r="P2" s="152" t="s">
        <v>330</v>
      </c>
      <c r="Q2" s="152" t="s">
        <v>331</v>
      </c>
      <c r="R2" s="152" t="s">
        <v>332</v>
      </c>
      <c r="S2" s="152" t="s">
        <v>333</v>
      </c>
      <c r="T2" s="152" t="s">
        <v>334</v>
      </c>
      <c r="U2" s="152" t="s">
        <v>335</v>
      </c>
      <c r="V2" s="152" t="s">
        <v>336</v>
      </c>
      <c r="W2" s="152" t="s">
        <v>337</v>
      </c>
      <c r="X2" s="152" t="s">
        <v>338</v>
      </c>
      <c r="Y2" s="152" t="s">
        <v>339</v>
      </c>
      <c r="Z2" s="152" t="s">
        <v>340</v>
      </c>
      <c r="AA2" s="152" t="s">
        <v>341</v>
      </c>
      <c r="AB2" s="152" t="s">
        <v>342</v>
      </c>
      <c r="AC2" s="152" t="s">
        <v>343</v>
      </c>
      <c r="AD2" s="152" t="s">
        <v>344</v>
      </c>
      <c r="AE2" s="152" t="s">
        <v>345</v>
      </c>
      <c r="AF2" s="152" t="s">
        <v>346</v>
      </c>
      <c r="AG2" s="152" t="s">
        <v>347</v>
      </c>
      <c r="AH2" s="152" t="s">
        <v>348</v>
      </c>
      <c r="AI2" s="152" t="s">
        <v>349</v>
      </c>
      <c r="AJ2" s="152" t="s">
        <v>350</v>
      </c>
      <c r="AK2" s="174" t="s">
        <v>351</v>
      </c>
      <c r="AL2" s="152" t="s">
        <v>352</v>
      </c>
      <c r="AM2" s="152" t="s">
        <v>353</v>
      </c>
      <c r="AN2" s="152" t="s">
        <v>354</v>
      </c>
      <c r="AO2" s="152" t="s">
        <v>355</v>
      </c>
      <c r="AP2" s="152" t="s">
        <v>356</v>
      </c>
      <c r="AQ2" s="152" t="s">
        <v>357</v>
      </c>
      <c r="AR2" s="152" t="s">
        <v>358</v>
      </c>
      <c r="AS2" s="152" t="s">
        <v>359</v>
      </c>
      <c r="AT2" s="152" t="s">
        <v>360</v>
      </c>
    </row>
    <row r="3">
      <c r="A3" s="4" t="s">
        <v>24</v>
      </c>
      <c r="B3" s="80" t="s">
        <v>25</v>
      </c>
      <c r="C3" s="6">
        <v>0.21875</v>
      </c>
      <c r="D3" s="6">
        <v>0.22847222222222222</v>
      </c>
      <c r="E3" s="6">
        <v>0.2375</v>
      </c>
      <c r="F3" s="6">
        <v>0.24791666666666667</v>
      </c>
      <c r="G3" s="6">
        <v>0.25833333333333336</v>
      </c>
      <c r="H3" s="6">
        <v>0.2673611111111111</v>
      </c>
      <c r="I3" s="6">
        <v>0.27708333333333335</v>
      </c>
      <c r="J3" s="6">
        <v>0.2861111111111111</v>
      </c>
      <c r="K3" s="6">
        <v>0.2965277777777778</v>
      </c>
      <c r="L3" s="6">
        <v>0.30694444444444446</v>
      </c>
      <c r="M3" s="6">
        <v>0.3159722222222222</v>
      </c>
      <c r="N3" s="6">
        <v>0.32569444444444445</v>
      </c>
      <c r="O3" s="6">
        <v>0.3347222222222222</v>
      </c>
      <c r="P3" s="6">
        <v>0.3451388888888889</v>
      </c>
      <c r="Q3" s="6">
        <v>0.35555555555555557</v>
      </c>
      <c r="R3" s="6">
        <v>0.38333333333333336</v>
      </c>
      <c r="S3" s="6">
        <v>0.4083333333333333</v>
      </c>
      <c r="T3" s="6">
        <v>0.43194444444444446</v>
      </c>
      <c r="U3" s="6">
        <v>0.45694444444444443</v>
      </c>
      <c r="V3" s="6">
        <v>0.48055555555555557</v>
      </c>
      <c r="W3" s="6">
        <v>0.5055555555555555</v>
      </c>
      <c r="X3" s="6">
        <v>0.5291666666666667</v>
      </c>
      <c r="Y3" s="6">
        <v>0.5541666666666667</v>
      </c>
      <c r="Z3" s="6">
        <v>0.5777777777777777</v>
      </c>
      <c r="AA3" s="6">
        <v>0.6027777777777777</v>
      </c>
      <c r="AB3" s="6">
        <v>0.6263888888888889</v>
      </c>
      <c r="AC3" s="6">
        <v>0.6368055555555555</v>
      </c>
      <c r="AD3" s="6">
        <v>0.6472222222222223</v>
      </c>
      <c r="AE3" s="6">
        <v>0.65625</v>
      </c>
      <c r="AF3" s="6">
        <v>0.6659722222222222</v>
      </c>
      <c r="AG3" s="6">
        <v>0.675</v>
      </c>
      <c r="AH3" s="6">
        <v>0.6854166666666667</v>
      </c>
      <c r="AI3" s="6">
        <v>0.6958333333333333</v>
      </c>
      <c r="AJ3" s="6">
        <v>0.7048611111111112</v>
      </c>
      <c r="AK3" s="6">
        <v>0.7145833333333333</v>
      </c>
      <c r="AL3" s="6">
        <v>0.7236111111111111</v>
      </c>
      <c r="AM3" s="6">
        <v>0.7340277777777777</v>
      </c>
      <c r="AN3" s="6">
        <v>0.7444444444444445</v>
      </c>
      <c r="AO3" s="6">
        <v>0.7534722222222222</v>
      </c>
      <c r="AP3" s="6">
        <v>0.7631944444444444</v>
      </c>
      <c r="AQ3" s="6">
        <v>0.7722222222222223</v>
      </c>
      <c r="AR3" s="6">
        <v>0.7826388888888889</v>
      </c>
      <c r="AS3" s="6">
        <v>0.7923611111111111</v>
      </c>
      <c r="AT3" s="6">
        <v>0.8090277777777778</v>
      </c>
    </row>
    <row r="4">
      <c r="A4" s="1" t="s">
        <v>91</v>
      </c>
      <c r="B4" s="7" t="s">
        <v>92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</row>
    <row r="5">
      <c r="A5" s="1" t="s">
        <v>93</v>
      </c>
      <c r="B5" s="7" t="s">
        <v>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</row>
    <row r="6">
      <c r="A6" s="7" t="s">
        <v>22</v>
      </c>
      <c r="B6" s="9" t="s">
        <v>23</v>
      </c>
      <c r="C6" s="8">
        <v>0.2222222222222222</v>
      </c>
      <c r="D6" s="8">
        <v>0.23194444444444445</v>
      </c>
      <c r="E6" s="8">
        <v>0.24097222222222223</v>
      </c>
      <c r="F6" s="8">
        <v>0.2513888888888889</v>
      </c>
      <c r="G6" s="8">
        <v>0.26180555555555557</v>
      </c>
      <c r="H6" s="8">
        <v>0.2708333333333333</v>
      </c>
      <c r="I6" s="8">
        <v>0.28055555555555556</v>
      </c>
      <c r="J6" s="8">
        <v>0.28958333333333336</v>
      </c>
      <c r="K6" s="8">
        <v>0.3</v>
      </c>
      <c r="L6" s="8">
        <v>0.3104166666666667</v>
      </c>
      <c r="M6" s="8">
        <v>0.3194444444444444</v>
      </c>
      <c r="N6" s="8">
        <v>0.32916666666666666</v>
      </c>
      <c r="O6" s="8">
        <v>0.33819444444444446</v>
      </c>
      <c r="P6" s="8">
        <v>0.3486111111111111</v>
      </c>
      <c r="Q6" s="8">
        <v>0.3590277777777778</v>
      </c>
      <c r="R6" s="8">
        <v>0.38680555555555557</v>
      </c>
      <c r="S6" s="8">
        <v>0.41180555555555554</v>
      </c>
      <c r="T6" s="8">
        <v>0.4354166666666667</v>
      </c>
      <c r="U6" s="8">
        <v>0.46041666666666664</v>
      </c>
      <c r="V6" s="8">
        <v>0.4840277777777778</v>
      </c>
      <c r="W6" s="8">
        <v>0.5090277777777777</v>
      </c>
      <c r="X6" s="8">
        <v>0.5326388888888889</v>
      </c>
      <c r="Y6" s="8">
        <v>0.5576388888888889</v>
      </c>
      <c r="Z6" s="8">
        <v>0.58125</v>
      </c>
      <c r="AA6" s="8">
        <v>0.60625</v>
      </c>
      <c r="AB6" s="8">
        <v>0.6298611111111111</v>
      </c>
      <c r="AC6" s="8">
        <v>0.6402777777777777</v>
      </c>
      <c r="AD6" s="8">
        <v>0.6506944444444445</v>
      </c>
      <c r="AE6" s="8">
        <v>0.6597222222222222</v>
      </c>
      <c r="AF6" s="8">
        <v>0.6694444444444444</v>
      </c>
      <c r="AG6" s="8">
        <v>0.6784722222222223</v>
      </c>
      <c r="AH6" s="8">
        <v>0.6888888888888889</v>
      </c>
      <c r="AI6" s="8">
        <v>0.6993055555555555</v>
      </c>
      <c r="AJ6" s="8">
        <v>0.7083333333333334</v>
      </c>
      <c r="AK6" s="8">
        <v>0.7180555555555556</v>
      </c>
      <c r="AL6" s="8">
        <v>0.7270833333333333</v>
      </c>
      <c r="AM6" s="8">
        <v>0.7375</v>
      </c>
      <c r="AN6" s="8">
        <v>0.7479166666666667</v>
      </c>
      <c r="AO6" s="8">
        <v>0.7569444444444444</v>
      </c>
      <c r="AP6" s="8">
        <v>0.7666666666666667</v>
      </c>
      <c r="AQ6" s="8">
        <v>0.7756944444444445</v>
      </c>
      <c r="AR6" s="8">
        <v>0.7861111111111111</v>
      </c>
      <c r="AS6" s="8">
        <v>0.7958333333333333</v>
      </c>
      <c r="AT6" s="8">
        <v>0.8125</v>
      </c>
    </row>
    <row r="7">
      <c r="A7" s="7" t="s">
        <v>95</v>
      </c>
      <c r="B7" s="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</row>
    <row r="8">
      <c r="A8" s="7" t="s">
        <v>361</v>
      </c>
      <c r="B8" s="7" t="s">
        <v>362</v>
      </c>
      <c r="C8" s="8">
        <v>0.225</v>
      </c>
      <c r="D8" s="8">
        <v>0.23472222222222222</v>
      </c>
      <c r="E8" s="8">
        <v>0.24375</v>
      </c>
      <c r="F8" s="8">
        <v>0.25416666666666665</v>
      </c>
      <c r="G8" s="8">
        <v>0.26458333333333334</v>
      </c>
      <c r="H8" s="8">
        <v>0.27361111111111114</v>
      </c>
      <c r="I8" s="8">
        <v>0.2833333333333333</v>
      </c>
      <c r="J8" s="8">
        <v>0.2923611111111111</v>
      </c>
      <c r="K8" s="8">
        <v>0.30277777777777776</v>
      </c>
      <c r="L8" s="8">
        <v>0.31319444444444444</v>
      </c>
      <c r="M8" s="8">
        <v>0.32222222222222224</v>
      </c>
      <c r="N8" s="8">
        <v>0.33194444444444443</v>
      </c>
      <c r="O8" s="8">
        <v>0.34097222222222223</v>
      </c>
      <c r="P8" s="8">
        <v>0.35138888888888886</v>
      </c>
      <c r="Q8" s="8">
        <v>0.36180555555555555</v>
      </c>
      <c r="R8" s="8">
        <v>0.38958333333333334</v>
      </c>
      <c r="S8" s="8">
        <v>0.41458333333333336</v>
      </c>
      <c r="T8" s="8">
        <v>0.43819444444444444</v>
      </c>
      <c r="U8" s="8">
        <v>0.46319444444444446</v>
      </c>
      <c r="V8" s="8">
        <v>0.48680555555555555</v>
      </c>
      <c r="W8" s="8">
        <v>0.5118055555555555</v>
      </c>
      <c r="X8" s="8">
        <v>0.5354166666666667</v>
      </c>
      <c r="Y8" s="8">
        <v>0.5604166666666667</v>
      </c>
      <c r="Z8" s="8">
        <v>0.5840277777777778</v>
      </c>
      <c r="AA8" s="8">
        <v>0.6090277777777777</v>
      </c>
      <c r="AB8" s="8">
        <v>0.6326388888888889</v>
      </c>
      <c r="AC8" s="8">
        <v>0.6430555555555556</v>
      </c>
      <c r="AD8" s="8">
        <v>0.6534722222222222</v>
      </c>
      <c r="AE8" s="8">
        <v>0.6625</v>
      </c>
      <c r="AF8" s="8">
        <v>0.6722222222222223</v>
      </c>
      <c r="AG8" s="8">
        <v>0.68125</v>
      </c>
      <c r="AH8" s="8">
        <v>0.6916666666666667</v>
      </c>
      <c r="AI8" s="8">
        <v>0.7020833333333333</v>
      </c>
      <c r="AJ8" s="8">
        <v>0.7111111111111111</v>
      </c>
      <c r="AK8" s="8">
        <v>0.7208333333333333</v>
      </c>
      <c r="AL8" s="8">
        <v>0.7298611111111111</v>
      </c>
      <c r="AM8" s="8">
        <v>0.7402777777777778</v>
      </c>
      <c r="AN8" s="8">
        <v>0.7506944444444444</v>
      </c>
      <c r="AO8" s="8">
        <v>0.7597222222222222</v>
      </c>
      <c r="AP8" s="8">
        <v>0.7694444444444445</v>
      </c>
      <c r="AQ8" s="8">
        <v>0.7784722222222222</v>
      </c>
      <c r="AR8" s="8">
        <v>0.7888888888888889</v>
      </c>
      <c r="AS8" s="8">
        <v>0.7986111111111112</v>
      </c>
      <c r="AT8" s="8">
        <v>0.8152777777777778</v>
      </c>
    </row>
    <row r="9">
      <c r="A9" s="1" t="s">
        <v>363</v>
      </c>
      <c r="B9" s="7" t="s">
        <v>364</v>
      </c>
      <c r="C9" s="8">
        <v>0.2263888888888889</v>
      </c>
      <c r="D9" s="8">
        <v>0.2361111111111111</v>
      </c>
      <c r="E9" s="8">
        <v>0.24513888888888888</v>
      </c>
      <c r="F9" s="8">
        <v>0.25555555555555554</v>
      </c>
      <c r="G9" s="8">
        <v>0.2659722222222222</v>
      </c>
      <c r="H9" s="8">
        <v>0.275</v>
      </c>
      <c r="I9" s="8">
        <v>0.2847222222222222</v>
      </c>
      <c r="J9" s="8">
        <v>0.29375</v>
      </c>
      <c r="K9" s="8">
        <v>0.30416666666666664</v>
      </c>
      <c r="L9" s="8">
        <v>0.3145833333333333</v>
      </c>
      <c r="M9" s="8">
        <v>0.3236111111111111</v>
      </c>
      <c r="N9" s="8">
        <v>0.3333333333333333</v>
      </c>
      <c r="O9" s="8">
        <v>0.3423611111111111</v>
      </c>
      <c r="P9" s="8">
        <v>0.3527777777777778</v>
      </c>
      <c r="Q9" s="8">
        <v>0.36319444444444443</v>
      </c>
      <c r="R9" s="8">
        <v>0.3909722222222222</v>
      </c>
      <c r="S9" s="8">
        <v>0.41597222222222224</v>
      </c>
      <c r="T9" s="8">
        <v>0.4395833333333333</v>
      </c>
      <c r="U9" s="8">
        <v>0.46458333333333335</v>
      </c>
      <c r="V9" s="8">
        <v>0.48819444444444443</v>
      </c>
      <c r="W9" s="8">
        <v>0.5131944444444444</v>
      </c>
      <c r="X9" s="8">
        <v>0.5368055555555555</v>
      </c>
      <c r="Y9" s="8">
        <v>0.5618055555555556</v>
      </c>
      <c r="Z9" s="8">
        <v>0.5854166666666667</v>
      </c>
      <c r="AA9" s="8">
        <v>0.6104166666666667</v>
      </c>
      <c r="AB9" s="8">
        <v>0.6340277777777777</v>
      </c>
      <c r="AC9" s="8">
        <v>0.6444444444444445</v>
      </c>
      <c r="AD9" s="8">
        <v>0.6548611111111111</v>
      </c>
      <c r="AE9" s="8">
        <v>0.6638888888888889</v>
      </c>
      <c r="AF9" s="8">
        <v>0.6736111111111112</v>
      </c>
      <c r="AG9" s="8">
        <v>0.6826388888888889</v>
      </c>
      <c r="AH9" s="8">
        <v>0.6930555555555555</v>
      </c>
      <c r="AI9" s="8">
        <v>0.7034722222222223</v>
      </c>
      <c r="AJ9" s="8">
        <v>0.7125</v>
      </c>
      <c r="AK9" s="8">
        <v>0.7222222222222222</v>
      </c>
      <c r="AL9" s="8">
        <v>0.73125</v>
      </c>
      <c r="AM9" s="8">
        <v>0.7416666666666667</v>
      </c>
      <c r="AN9" s="8">
        <v>0.7520833333333333</v>
      </c>
      <c r="AO9" s="8">
        <v>0.7611111111111111</v>
      </c>
      <c r="AP9" s="8">
        <v>0.7708333333333334</v>
      </c>
      <c r="AQ9" s="8">
        <v>0.7798611111111111</v>
      </c>
      <c r="AR9" s="8">
        <v>0.7902777777777777</v>
      </c>
      <c r="AS9" s="8">
        <v>0.8</v>
      </c>
      <c r="AT9" s="8">
        <v>0.8166666666666667</v>
      </c>
    </row>
    <row r="10">
      <c r="A10" s="1" t="s">
        <v>365</v>
      </c>
      <c r="B10" s="7" t="s">
        <v>366</v>
      </c>
      <c r="C10" s="8">
        <v>0.22847222222222222</v>
      </c>
      <c r="D10" s="8">
        <v>0.23819444444444443</v>
      </c>
      <c r="E10" s="8">
        <v>0.24722222222222223</v>
      </c>
      <c r="F10" s="8">
        <v>0.25763888888888886</v>
      </c>
      <c r="G10" s="8">
        <v>0.26805555555555555</v>
      </c>
      <c r="H10" s="8">
        <v>0.27708333333333335</v>
      </c>
      <c r="I10" s="8">
        <v>0.28680555555555554</v>
      </c>
      <c r="J10" s="8">
        <v>0.29583333333333334</v>
      </c>
      <c r="K10" s="8">
        <v>0.30625</v>
      </c>
      <c r="L10" s="8">
        <v>0.31666666666666665</v>
      </c>
      <c r="M10" s="8">
        <v>0.32569444444444445</v>
      </c>
      <c r="N10" s="8">
        <v>0.33541666666666664</v>
      </c>
      <c r="O10" s="8">
        <v>0.34444444444444444</v>
      </c>
      <c r="P10" s="8">
        <v>0.3548611111111111</v>
      </c>
      <c r="Q10" s="8">
        <v>0.36527777777777776</v>
      </c>
      <c r="R10" s="8">
        <v>0.39305555555555555</v>
      </c>
      <c r="S10" s="8">
        <v>0.41805555555555557</v>
      </c>
      <c r="T10" s="8">
        <v>0.44166666666666665</v>
      </c>
      <c r="U10" s="8">
        <v>0.4666666666666667</v>
      </c>
      <c r="V10" s="8">
        <v>0.49027777777777776</v>
      </c>
      <c r="W10" s="8">
        <v>0.5152777777777777</v>
      </c>
      <c r="X10" s="8">
        <v>0.5388888888888889</v>
      </c>
      <c r="Y10" s="8">
        <v>0.5638888888888889</v>
      </c>
      <c r="Z10" s="8">
        <v>0.5875</v>
      </c>
      <c r="AA10" s="8">
        <v>0.6125</v>
      </c>
      <c r="AB10" s="8">
        <v>0.6361111111111111</v>
      </c>
      <c r="AC10" s="8">
        <v>0.6465277777777778</v>
      </c>
      <c r="AD10" s="8">
        <v>0.6569444444444444</v>
      </c>
      <c r="AE10" s="8">
        <v>0.6659722222222222</v>
      </c>
      <c r="AF10" s="8">
        <v>0.6756944444444445</v>
      </c>
      <c r="AG10" s="8">
        <v>0.6847222222222222</v>
      </c>
      <c r="AH10" s="8">
        <v>0.6951388888888889</v>
      </c>
      <c r="AI10" s="8">
        <v>0.7055555555555556</v>
      </c>
      <c r="AJ10" s="8">
        <v>0.7145833333333333</v>
      </c>
      <c r="AK10" s="8">
        <v>0.7243055555555555</v>
      </c>
      <c r="AL10" s="8">
        <v>0.7333333333333333</v>
      </c>
      <c r="AM10" s="8">
        <v>0.74375</v>
      </c>
      <c r="AN10" s="8">
        <v>0.7541666666666667</v>
      </c>
      <c r="AO10" s="8">
        <v>0.7631944444444444</v>
      </c>
      <c r="AP10" s="8">
        <v>0.7729166666666667</v>
      </c>
      <c r="AQ10" s="8">
        <v>0.7819444444444444</v>
      </c>
      <c r="AR10" s="8">
        <v>0.7923611111111111</v>
      </c>
      <c r="AS10" s="8">
        <v>0.8020833333333334</v>
      </c>
      <c r="AT10" s="8">
        <v>0.81875</v>
      </c>
    </row>
    <row r="11">
      <c r="A11" s="7" t="s">
        <v>367</v>
      </c>
      <c r="B11" s="7" t="s">
        <v>368</v>
      </c>
      <c r="C11" s="8">
        <v>0.2326388888888889</v>
      </c>
      <c r="D11" s="8">
        <v>0.2423611111111111</v>
      </c>
      <c r="E11" s="8">
        <v>0.2513888888888889</v>
      </c>
      <c r="F11" s="8">
        <v>0.26180555555555557</v>
      </c>
      <c r="G11" s="8">
        <v>0.2722222222222222</v>
      </c>
      <c r="H11" s="8">
        <v>0.28125</v>
      </c>
      <c r="I11" s="8">
        <v>0.29097222222222224</v>
      </c>
      <c r="J11" s="8">
        <v>0.3</v>
      </c>
      <c r="K11" s="8">
        <v>0.3104166666666667</v>
      </c>
      <c r="L11" s="8">
        <v>0.32083333333333336</v>
      </c>
      <c r="M11" s="8">
        <v>0.3298611111111111</v>
      </c>
      <c r="N11" s="8">
        <v>0.33958333333333335</v>
      </c>
      <c r="O11" s="8">
        <v>0.3486111111111111</v>
      </c>
      <c r="P11" s="8">
        <v>0.3590277777777778</v>
      </c>
      <c r="Q11" s="8">
        <v>0.36944444444444446</v>
      </c>
      <c r="R11" s="8">
        <v>0.3972222222222222</v>
      </c>
      <c r="S11" s="8">
        <v>0.4222222222222222</v>
      </c>
      <c r="T11" s="8">
        <v>0.44583333333333336</v>
      </c>
      <c r="U11" s="8">
        <v>0.4708333333333333</v>
      </c>
      <c r="V11" s="8">
        <v>0.49444444444444446</v>
      </c>
      <c r="W11" s="8">
        <v>0.5194444444444445</v>
      </c>
      <c r="X11" s="8">
        <v>0.5430555555555555</v>
      </c>
      <c r="Y11" s="8">
        <v>0.5680555555555555</v>
      </c>
      <c r="Z11" s="8">
        <v>0.5916666666666667</v>
      </c>
      <c r="AA11" s="8">
        <v>0.6166666666666667</v>
      </c>
      <c r="AB11" s="8">
        <v>0.6402777777777777</v>
      </c>
      <c r="AC11" s="8">
        <v>0.6506944444444445</v>
      </c>
      <c r="AD11" s="8">
        <v>0.6611111111111111</v>
      </c>
      <c r="AE11" s="8">
        <v>0.6701388888888888</v>
      </c>
      <c r="AF11" s="8">
        <v>0.6798611111111111</v>
      </c>
      <c r="AG11" s="8">
        <v>0.6888888888888889</v>
      </c>
      <c r="AH11" s="8">
        <v>0.6993055555555555</v>
      </c>
      <c r="AI11" s="8">
        <v>0.7097222222222223</v>
      </c>
      <c r="AJ11" s="8">
        <v>0.71875</v>
      </c>
      <c r="AK11" s="8">
        <v>0.7284722222222222</v>
      </c>
      <c r="AL11" s="8">
        <v>0.7375</v>
      </c>
      <c r="AM11" s="8">
        <v>0.7479166666666667</v>
      </c>
      <c r="AN11" s="8">
        <v>0.7583333333333333</v>
      </c>
      <c r="AO11" s="8">
        <v>0.7673611111111112</v>
      </c>
      <c r="AP11" s="8">
        <v>0.7770833333333333</v>
      </c>
      <c r="AQ11" s="8">
        <v>0.7861111111111111</v>
      </c>
      <c r="AR11" s="8">
        <v>0.7965277777777777</v>
      </c>
      <c r="AS11" s="8">
        <v>0.80625</v>
      </c>
      <c r="AT11" s="8">
        <v>0.8229166666666666</v>
      </c>
    </row>
    <row r="12">
      <c r="A12" s="7" t="s">
        <v>369</v>
      </c>
      <c r="B12" s="7" t="s">
        <v>370</v>
      </c>
      <c r="C12" s="8">
        <v>0.23402777777777778</v>
      </c>
      <c r="D12" s="8">
        <v>0.24375</v>
      </c>
      <c r="E12" s="8">
        <v>0.25277777777777777</v>
      </c>
      <c r="F12" s="8">
        <v>0.26319444444444445</v>
      </c>
      <c r="G12" s="8">
        <v>0.27361111111111114</v>
      </c>
      <c r="H12" s="8">
        <v>0.2826388888888889</v>
      </c>
      <c r="I12" s="8">
        <v>0.2923611111111111</v>
      </c>
      <c r="J12" s="8">
        <v>0.3013888888888889</v>
      </c>
      <c r="K12" s="8">
        <v>0.31180555555555556</v>
      </c>
      <c r="L12" s="8">
        <v>0.32222222222222224</v>
      </c>
      <c r="M12" s="8">
        <v>0.33125</v>
      </c>
      <c r="N12" s="8">
        <v>0.34097222222222223</v>
      </c>
      <c r="O12" s="8">
        <v>0.35</v>
      </c>
      <c r="P12" s="8">
        <v>0.36041666666666666</v>
      </c>
      <c r="Q12" s="8">
        <v>0.37083333333333335</v>
      </c>
      <c r="R12" s="8">
        <v>0.39861111111111114</v>
      </c>
      <c r="S12" s="8">
        <v>0.4236111111111111</v>
      </c>
      <c r="T12" s="8">
        <v>0.44722222222222224</v>
      </c>
      <c r="U12" s="8">
        <v>0.4722222222222222</v>
      </c>
      <c r="V12" s="8">
        <v>0.49583333333333335</v>
      </c>
      <c r="W12" s="8">
        <v>0.5208333333333334</v>
      </c>
      <c r="X12" s="8">
        <v>0.5444444444444444</v>
      </c>
      <c r="Y12" s="8">
        <v>0.5694444444444444</v>
      </c>
      <c r="Z12" s="8">
        <v>0.5930555555555556</v>
      </c>
      <c r="AA12" s="8">
        <v>0.6180555555555556</v>
      </c>
      <c r="AB12" s="8">
        <v>0.6416666666666667</v>
      </c>
      <c r="AC12" s="8">
        <v>0.6520833333333333</v>
      </c>
      <c r="AD12" s="8">
        <v>0.6625</v>
      </c>
      <c r="AE12" s="8">
        <v>0.6715277777777777</v>
      </c>
      <c r="AF12" s="8">
        <v>0.68125</v>
      </c>
      <c r="AG12" s="8">
        <v>0.6902777777777778</v>
      </c>
      <c r="AH12" s="8">
        <v>0.7006944444444444</v>
      </c>
      <c r="AI12" s="8">
        <v>0.7111111111111111</v>
      </c>
      <c r="AJ12" s="8">
        <v>0.7201388888888889</v>
      </c>
      <c r="AK12" s="8">
        <v>0.7298611111111111</v>
      </c>
      <c r="AL12" s="8">
        <v>0.7388888888888889</v>
      </c>
      <c r="AM12" s="8">
        <v>0.7493055555555556</v>
      </c>
      <c r="AN12" s="8">
        <v>0.7597222222222222</v>
      </c>
      <c r="AO12" s="8">
        <v>0.76875</v>
      </c>
      <c r="AP12" s="8">
        <v>0.7784722222222222</v>
      </c>
      <c r="AQ12" s="8">
        <v>0.7875</v>
      </c>
      <c r="AR12" s="8">
        <v>0.7979166666666667</v>
      </c>
      <c r="AS12" s="8">
        <v>0.8076388888888889</v>
      </c>
      <c r="AT12" s="8">
        <v>0.8243055555555555</v>
      </c>
    </row>
    <row r="13">
      <c r="A13" s="1" t="s">
        <v>371</v>
      </c>
      <c r="B13" s="7" t="s">
        <v>372</v>
      </c>
      <c r="C13" s="8">
        <v>0.2361111111111111</v>
      </c>
      <c r="D13" s="8">
        <v>0.24583333333333332</v>
      </c>
      <c r="E13" s="8">
        <v>0.2548611111111111</v>
      </c>
      <c r="F13" s="8">
        <v>0.2652777777777778</v>
      </c>
      <c r="G13" s="8">
        <v>0.27569444444444446</v>
      </c>
      <c r="H13" s="8">
        <v>0.2847222222222222</v>
      </c>
      <c r="I13" s="8">
        <v>0.29444444444444445</v>
      </c>
      <c r="J13" s="8">
        <v>0.3034722222222222</v>
      </c>
      <c r="K13" s="8">
        <v>0.3138888888888889</v>
      </c>
      <c r="L13" s="8">
        <v>0.32430555555555557</v>
      </c>
      <c r="M13" s="8">
        <v>0.3333333333333333</v>
      </c>
      <c r="N13" s="8">
        <v>0.34305555555555556</v>
      </c>
      <c r="O13" s="8">
        <v>0.35208333333333336</v>
      </c>
      <c r="P13" s="8">
        <v>0.3625</v>
      </c>
      <c r="Q13" s="8">
        <v>0.3729166666666667</v>
      </c>
      <c r="R13" s="8">
        <v>0.40069444444444446</v>
      </c>
      <c r="S13" s="8">
        <v>0.42569444444444443</v>
      </c>
      <c r="T13" s="8">
        <v>0.44930555555555557</v>
      </c>
      <c r="U13" s="8">
        <v>0.47430555555555554</v>
      </c>
      <c r="V13" s="8">
        <v>0.4979166666666667</v>
      </c>
      <c r="W13" s="8">
        <v>0.5229166666666667</v>
      </c>
      <c r="X13" s="8">
        <v>0.5465277777777777</v>
      </c>
      <c r="Y13" s="8">
        <v>0.5715277777777777</v>
      </c>
      <c r="Z13" s="8">
        <v>0.5951388888888889</v>
      </c>
      <c r="AA13" s="8">
        <v>0.6201388888888889</v>
      </c>
      <c r="AB13" s="8">
        <v>0.64375</v>
      </c>
      <c r="AC13" s="8">
        <v>0.6541666666666667</v>
      </c>
      <c r="AD13" s="8">
        <v>0.6645833333333333</v>
      </c>
      <c r="AE13" s="8">
        <v>0.6736111111111112</v>
      </c>
      <c r="AF13" s="8">
        <v>0.6833333333333333</v>
      </c>
      <c r="AG13" s="8">
        <v>0.6923611111111111</v>
      </c>
      <c r="AH13" s="8">
        <v>0.7027777777777777</v>
      </c>
      <c r="AI13" s="8">
        <v>0.7131944444444445</v>
      </c>
      <c r="AJ13" s="8">
        <v>0.7222222222222222</v>
      </c>
      <c r="AK13" s="8">
        <v>0.7319444444444444</v>
      </c>
      <c r="AL13" s="8">
        <v>0.7409722222222223</v>
      </c>
      <c r="AM13" s="8">
        <v>0.7513888888888889</v>
      </c>
      <c r="AN13" s="8">
        <v>0.7618055555555555</v>
      </c>
      <c r="AO13" s="8">
        <v>0.7708333333333334</v>
      </c>
      <c r="AP13" s="8">
        <v>0.7805555555555556</v>
      </c>
      <c r="AQ13" s="8">
        <v>0.7895833333333333</v>
      </c>
      <c r="AR13" s="8">
        <v>0.8</v>
      </c>
      <c r="AS13" s="8">
        <v>0.8097222222222222</v>
      </c>
      <c r="AT13" s="8">
        <v>0.8263888888888888</v>
      </c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</row>
    <row r="18">
      <c r="A18" s="13"/>
      <c r="B18" s="162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>
      <c r="A19" s="13"/>
      <c r="B19" s="163"/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</row>
    <row r="20">
      <c r="A20" s="13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</row>
    <row r="21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</row>
    <row r="22">
      <c r="A22" s="13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</row>
    <row r="23">
      <c r="A23" s="13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>
      <c r="A25" s="13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</row>
    <row r="26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</row>
    <row r="28">
      <c r="A28" s="1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</row>
    <row r="29">
      <c r="A29" s="1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</row>
    <row r="30">
      <c r="A30" s="1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</row>
    <row r="31">
      <c r="A31" s="1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</row>
    <row r="32">
      <c r="A32" s="13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</row>
    <row r="33">
      <c r="A33" s="13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</row>
    <row r="34">
      <c r="A34" s="13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</row>
    <row r="35">
      <c r="A35" s="13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</row>
    <row r="36">
      <c r="A36" s="14"/>
      <c r="B36" s="14"/>
      <c r="C36" s="14"/>
      <c r="D36" s="14"/>
      <c r="E36" s="11"/>
      <c r="F36" s="11"/>
      <c r="G36" s="11"/>
      <c r="H36" s="11"/>
      <c r="I36" s="11"/>
      <c r="J36" s="11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>
      <c r="B40" s="10"/>
      <c r="C40" s="11"/>
      <c r="D40" s="11"/>
      <c r="E40" s="11"/>
      <c r="F40" s="11"/>
      <c r="G40" s="11"/>
      <c r="H40" s="11"/>
      <c r="I40" s="11"/>
      <c r="J40" s="11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'PTA-to-SAUL_Weekday'!B1</f>
        <v>46055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>
      <c r="A2" s="1" t="s">
        <v>2</v>
      </c>
      <c r="B2" s="1" t="s">
        <v>3</v>
      </c>
      <c r="C2" s="160" t="s">
        <v>373</v>
      </c>
      <c r="D2" s="160" t="s">
        <v>374</v>
      </c>
      <c r="E2" s="160" t="s">
        <v>375</v>
      </c>
      <c r="F2" s="160" t="s">
        <v>376</v>
      </c>
      <c r="G2" s="160" t="s">
        <v>377</v>
      </c>
      <c r="H2" s="160" t="s">
        <v>378</v>
      </c>
      <c r="I2" s="160" t="s">
        <v>379</v>
      </c>
      <c r="J2" s="160" t="s">
        <v>380</v>
      </c>
      <c r="K2" s="160" t="s">
        <v>381</v>
      </c>
      <c r="L2" s="160" t="s">
        <v>382</v>
      </c>
      <c r="M2" s="160" t="s">
        <v>383</v>
      </c>
      <c r="N2" s="160" t="s">
        <v>384</v>
      </c>
      <c r="O2" s="160" t="s">
        <v>385</v>
      </c>
      <c r="P2" s="160" t="s">
        <v>386</v>
      </c>
      <c r="Q2" s="160" t="s">
        <v>387</v>
      </c>
      <c r="R2" s="160" t="s">
        <v>388</v>
      </c>
      <c r="S2" s="160" t="s">
        <v>389</v>
      </c>
      <c r="T2" s="160" t="s">
        <v>390</v>
      </c>
      <c r="U2" s="160" t="s">
        <v>391</v>
      </c>
      <c r="V2" s="160" t="s">
        <v>392</v>
      </c>
      <c r="W2" s="160" t="s">
        <v>393</v>
      </c>
      <c r="X2" s="160" t="s">
        <v>394</v>
      </c>
      <c r="Y2" s="160" t="s">
        <v>395</v>
      </c>
      <c r="Z2" s="160" t="s">
        <v>396</v>
      </c>
      <c r="AA2" s="160" t="s">
        <v>397</v>
      </c>
      <c r="AB2" s="160" t="s">
        <v>398</v>
      </c>
      <c r="AC2" s="160" t="s">
        <v>399</v>
      </c>
      <c r="AD2" s="160" t="s">
        <v>400</v>
      </c>
      <c r="AE2" s="160" t="s">
        <v>401</v>
      </c>
      <c r="AF2" s="160" t="s">
        <v>402</v>
      </c>
      <c r="AG2" s="160" t="s">
        <v>403</v>
      </c>
      <c r="AH2" s="160" t="s">
        <v>404</v>
      </c>
      <c r="AI2" s="160" t="s">
        <v>405</v>
      </c>
      <c r="AJ2" s="160" t="s">
        <v>406</v>
      </c>
      <c r="AK2" s="160" t="s">
        <v>407</v>
      </c>
      <c r="AL2" s="160" t="s">
        <v>408</v>
      </c>
      <c r="AM2" s="160" t="s">
        <v>409</v>
      </c>
      <c r="AN2" s="160" t="s">
        <v>410</v>
      </c>
      <c r="AO2" s="160" t="s">
        <v>411</v>
      </c>
      <c r="AP2" s="160" t="s">
        <v>412</v>
      </c>
      <c r="AQ2" s="160" t="s">
        <v>413</v>
      </c>
      <c r="AR2" s="160" t="s">
        <v>414</v>
      </c>
      <c r="AS2" s="160" t="s">
        <v>415</v>
      </c>
      <c r="AT2" s="160" t="s">
        <v>416</v>
      </c>
      <c r="AU2" s="3"/>
    </row>
    <row r="3">
      <c r="A3" s="4" t="s">
        <v>371</v>
      </c>
      <c r="B3" s="5" t="s">
        <v>372</v>
      </c>
      <c r="C3" s="6">
        <v>0.19444444444444445</v>
      </c>
      <c r="D3" s="6">
        <v>0.20416666666666666</v>
      </c>
      <c r="E3" s="6">
        <v>0.21319444444444444</v>
      </c>
      <c r="F3" s="6">
        <v>0.22361111111111112</v>
      </c>
      <c r="G3" s="6">
        <v>0.23402777777777778</v>
      </c>
      <c r="H3" s="6">
        <v>0.24305555555555555</v>
      </c>
      <c r="I3" s="6">
        <v>0.25277777777777777</v>
      </c>
      <c r="J3" s="6">
        <v>0.26180555555555557</v>
      </c>
      <c r="K3" s="6">
        <v>0.2722222222222222</v>
      </c>
      <c r="L3" s="6">
        <v>0.2826388888888889</v>
      </c>
      <c r="M3" s="6">
        <v>0.2916666666666667</v>
      </c>
      <c r="N3" s="6">
        <v>0.3013888888888889</v>
      </c>
      <c r="O3" s="6">
        <v>0.3104166666666667</v>
      </c>
      <c r="P3" s="6">
        <v>0.32083333333333336</v>
      </c>
      <c r="Q3" s="6">
        <v>0.33125</v>
      </c>
      <c r="R3" s="6">
        <v>0.3402777777777778</v>
      </c>
      <c r="S3" s="6">
        <v>0.35</v>
      </c>
      <c r="T3" s="6">
        <v>0.3590277777777778</v>
      </c>
      <c r="U3" s="6">
        <v>0.36944444444444446</v>
      </c>
      <c r="V3" s="6">
        <v>0.3798611111111111</v>
      </c>
      <c r="W3" s="6">
        <v>0.4076388888888889</v>
      </c>
      <c r="X3" s="6">
        <v>0.4326388888888889</v>
      </c>
      <c r="Y3" s="6">
        <v>0.45625</v>
      </c>
      <c r="Z3" s="6">
        <v>0.48125</v>
      </c>
      <c r="AA3" s="6">
        <v>0.5048611111111111</v>
      </c>
      <c r="AB3" s="6">
        <v>0.5298611111111111</v>
      </c>
      <c r="AC3" s="6">
        <v>0.5534722222222223</v>
      </c>
      <c r="AD3" s="6">
        <v>0.5784722222222223</v>
      </c>
      <c r="AE3" s="6">
        <v>0.6020833333333333</v>
      </c>
      <c r="AF3" s="6">
        <v>0.6319444444444444</v>
      </c>
      <c r="AG3" s="6">
        <v>0.6506944444444445</v>
      </c>
      <c r="AH3" s="6">
        <v>0.6611111111111111</v>
      </c>
      <c r="AI3" s="6">
        <v>0.6715277777777777</v>
      </c>
      <c r="AJ3" s="6">
        <v>0.6805555555555556</v>
      </c>
      <c r="AK3" s="6">
        <v>0.6902777777777778</v>
      </c>
      <c r="AL3" s="6">
        <v>0.6993055555555555</v>
      </c>
      <c r="AM3" s="6">
        <v>0.7097222222222223</v>
      </c>
      <c r="AN3" s="6">
        <v>0.7201388888888889</v>
      </c>
      <c r="AO3" s="6">
        <v>0.7291666666666666</v>
      </c>
      <c r="AP3" s="6">
        <v>0.7388888888888889</v>
      </c>
      <c r="AQ3" s="6">
        <v>0.7479166666666667</v>
      </c>
      <c r="AR3" s="6">
        <v>0.7583333333333333</v>
      </c>
      <c r="AS3" s="6">
        <v>0.76875</v>
      </c>
      <c r="AT3" s="6">
        <v>0.7777777777777778</v>
      </c>
    </row>
    <row r="4">
      <c r="A4" s="1" t="s">
        <v>369</v>
      </c>
      <c r="B4" s="8" t="s">
        <v>370</v>
      </c>
      <c r="C4" s="8">
        <v>0.19652777777777777</v>
      </c>
      <c r="D4" s="8">
        <v>0.20625</v>
      </c>
      <c r="E4" s="8">
        <v>0.2152777777777778</v>
      </c>
      <c r="F4" s="8">
        <v>0.22569444444444445</v>
      </c>
      <c r="G4" s="8">
        <v>0.2361111111111111</v>
      </c>
      <c r="H4" s="8">
        <v>0.24513888888888888</v>
      </c>
      <c r="I4" s="8">
        <v>0.2548611111111111</v>
      </c>
      <c r="J4" s="8">
        <v>0.2638888888888889</v>
      </c>
      <c r="K4" s="8">
        <v>0.2743055555555556</v>
      </c>
      <c r="L4" s="8">
        <v>0.2847222222222222</v>
      </c>
      <c r="M4" s="8">
        <v>0.29375</v>
      </c>
      <c r="N4" s="8">
        <v>0.3034722222222222</v>
      </c>
      <c r="O4" s="8">
        <v>0.3125</v>
      </c>
      <c r="P4" s="8">
        <v>0.3229166666666667</v>
      </c>
      <c r="Q4" s="8">
        <v>0.3333333333333333</v>
      </c>
      <c r="R4" s="8">
        <v>0.3423611111111111</v>
      </c>
      <c r="S4" s="8">
        <v>0.35208333333333336</v>
      </c>
      <c r="T4" s="8">
        <v>0.3611111111111111</v>
      </c>
      <c r="U4" s="8">
        <v>0.3715277777777778</v>
      </c>
      <c r="V4" s="8">
        <v>0.3819444444444444</v>
      </c>
      <c r="W4" s="8">
        <v>0.4097222222222222</v>
      </c>
      <c r="X4" s="8">
        <v>0.43472222222222223</v>
      </c>
      <c r="Y4" s="8">
        <v>0.4583333333333333</v>
      </c>
      <c r="Z4" s="8">
        <v>0.48333333333333334</v>
      </c>
      <c r="AA4" s="8">
        <v>0.5069444444444444</v>
      </c>
      <c r="AB4" s="8">
        <v>0.5319444444444444</v>
      </c>
      <c r="AC4" s="8">
        <v>0.5555555555555556</v>
      </c>
      <c r="AD4" s="8">
        <v>0.5805555555555556</v>
      </c>
      <c r="AE4" s="8">
        <v>0.6041666666666666</v>
      </c>
      <c r="AF4" s="8">
        <v>0.6340277777777777</v>
      </c>
      <c r="AG4" s="8">
        <v>0.6527777777777778</v>
      </c>
      <c r="AH4" s="8">
        <v>0.6631944444444444</v>
      </c>
      <c r="AI4" s="8">
        <v>0.6736111111111112</v>
      </c>
      <c r="AJ4" s="8">
        <v>0.6826388888888889</v>
      </c>
      <c r="AK4" s="8">
        <v>0.6923611111111111</v>
      </c>
      <c r="AL4" s="8">
        <v>0.7013888888888888</v>
      </c>
      <c r="AM4" s="8">
        <v>0.7118055555555556</v>
      </c>
      <c r="AN4" s="8">
        <v>0.7222222222222222</v>
      </c>
      <c r="AO4" s="8">
        <v>0.73125</v>
      </c>
      <c r="AP4" s="8">
        <v>0.7409722222222223</v>
      </c>
      <c r="AQ4" s="8">
        <v>0.75</v>
      </c>
      <c r="AR4" s="8">
        <v>0.7604166666666666</v>
      </c>
      <c r="AS4" s="8">
        <v>0.7708333333333334</v>
      </c>
      <c r="AT4" s="8">
        <v>0.7798611111111111</v>
      </c>
    </row>
    <row r="5">
      <c r="A5" s="1" t="s">
        <v>367</v>
      </c>
      <c r="B5" s="8" t="s">
        <v>368</v>
      </c>
      <c r="C5" s="8">
        <v>0.19791666666666666</v>
      </c>
      <c r="D5" s="8">
        <v>0.2076388888888889</v>
      </c>
      <c r="E5" s="8">
        <v>0.21666666666666667</v>
      </c>
      <c r="F5" s="8">
        <v>0.22708333333333333</v>
      </c>
      <c r="G5" s="8">
        <v>0.2375</v>
      </c>
      <c r="H5" s="8">
        <v>0.2465277777777778</v>
      </c>
      <c r="I5" s="8">
        <v>0.25625</v>
      </c>
      <c r="J5" s="8">
        <v>0.2652777777777778</v>
      </c>
      <c r="K5" s="8">
        <v>0.27569444444444446</v>
      </c>
      <c r="L5" s="8">
        <v>0.2861111111111111</v>
      </c>
      <c r="M5" s="8">
        <v>0.2951388888888889</v>
      </c>
      <c r="N5" s="8">
        <v>0.30486111111111114</v>
      </c>
      <c r="O5" s="8">
        <v>0.3138888888888889</v>
      </c>
      <c r="P5" s="8">
        <v>0.32430555555555557</v>
      </c>
      <c r="Q5" s="8">
        <v>0.3347222222222222</v>
      </c>
      <c r="R5" s="8">
        <v>0.34375</v>
      </c>
      <c r="S5" s="8">
        <v>0.35347222222222224</v>
      </c>
      <c r="T5" s="8">
        <v>0.3625</v>
      </c>
      <c r="U5" s="8">
        <v>0.3729166666666667</v>
      </c>
      <c r="V5" s="8">
        <v>0.38333333333333336</v>
      </c>
      <c r="W5" s="8">
        <v>0.4111111111111111</v>
      </c>
      <c r="X5" s="8">
        <v>0.4361111111111111</v>
      </c>
      <c r="Y5" s="8">
        <v>0.4597222222222222</v>
      </c>
      <c r="Z5" s="8">
        <v>0.4847222222222222</v>
      </c>
      <c r="AA5" s="8">
        <v>0.5083333333333333</v>
      </c>
      <c r="AB5" s="8">
        <v>0.5333333333333333</v>
      </c>
      <c r="AC5" s="8">
        <v>0.5569444444444445</v>
      </c>
      <c r="AD5" s="8">
        <v>0.5819444444444445</v>
      </c>
      <c r="AE5" s="8">
        <v>0.6055555555555555</v>
      </c>
      <c r="AF5" s="8">
        <v>0.6354166666666666</v>
      </c>
      <c r="AG5" s="8">
        <v>0.6541666666666667</v>
      </c>
      <c r="AH5" s="8">
        <v>0.6645833333333333</v>
      </c>
      <c r="AI5" s="8">
        <v>0.675</v>
      </c>
      <c r="AJ5" s="8">
        <v>0.6840277777777778</v>
      </c>
      <c r="AK5" s="8">
        <v>0.69375</v>
      </c>
      <c r="AL5" s="8">
        <v>0.7027777777777777</v>
      </c>
      <c r="AM5" s="8">
        <v>0.7131944444444445</v>
      </c>
      <c r="AN5" s="8">
        <v>0.7236111111111111</v>
      </c>
      <c r="AO5" s="8">
        <v>0.7326388888888888</v>
      </c>
      <c r="AP5" s="8">
        <v>0.7423611111111111</v>
      </c>
      <c r="AQ5" s="8">
        <v>0.7513888888888889</v>
      </c>
      <c r="AR5" s="8">
        <v>0.7618055555555555</v>
      </c>
      <c r="AS5" s="8">
        <v>0.7722222222222223</v>
      </c>
      <c r="AT5" s="8">
        <v>0.78125</v>
      </c>
    </row>
    <row r="6">
      <c r="A6" s="7" t="s">
        <v>365</v>
      </c>
      <c r="B6" s="8" t="s">
        <v>366</v>
      </c>
      <c r="C6" s="8">
        <v>0.20277777777777778</v>
      </c>
      <c r="D6" s="8">
        <v>0.2125</v>
      </c>
      <c r="E6" s="8">
        <v>0.22152777777777777</v>
      </c>
      <c r="F6" s="8">
        <v>0.23194444444444445</v>
      </c>
      <c r="G6" s="8">
        <v>0.2423611111111111</v>
      </c>
      <c r="H6" s="8">
        <v>0.2513888888888889</v>
      </c>
      <c r="I6" s="8">
        <v>0.2611111111111111</v>
      </c>
      <c r="J6" s="8">
        <v>0.2701388888888889</v>
      </c>
      <c r="K6" s="8">
        <v>0.28055555555555556</v>
      </c>
      <c r="L6" s="8">
        <v>0.29097222222222224</v>
      </c>
      <c r="M6" s="8">
        <v>0.3</v>
      </c>
      <c r="N6" s="8">
        <v>0.30972222222222223</v>
      </c>
      <c r="O6" s="8">
        <v>0.31875</v>
      </c>
      <c r="P6" s="8">
        <v>0.32916666666666666</v>
      </c>
      <c r="Q6" s="8">
        <v>0.33958333333333335</v>
      </c>
      <c r="R6" s="8">
        <v>0.3486111111111111</v>
      </c>
      <c r="S6" s="8">
        <v>0.35833333333333334</v>
      </c>
      <c r="T6" s="8">
        <v>0.36736111111111114</v>
      </c>
      <c r="U6" s="8">
        <v>0.37777777777777777</v>
      </c>
      <c r="V6" s="8">
        <v>0.38819444444444445</v>
      </c>
      <c r="W6" s="8">
        <v>0.41597222222222224</v>
      </c>
      <c r="X6" s="8">
        <v>0.4409722222222222</v>
      </c>
      <c r="Y6" s="8">
        <v>0.46458333333333335</v>
      </c>
      <c r="Z6" s="8">
        <v>0.4895833333333333</v>
      </c>
      <c r="AA6" s="8">
        <v>0.5131944444444444</v>
      </c>
      <c r="AB6" s="8">
        <v>0.5381944444444444</v>
      </c>
      <c r="AC6" s="8">
        <v>0.5618055555555556</v>
      </c>
      <c r="AD6" s="8">
        <v>0.5868055555555556</v>
      </c>
      <c r="AE6" s="8">
        <v>0.6104166666666667</v>
      </c>
      <c r="AF6" s="8">
        <v>0.6402777777777777</v>
      </c>
      <c r="AG6" s="8">
        <v>0.6590277777777778</v>
      </c>
      <c r="AH6" s="8">
        <v>0.6694444444444444</v>
      </c>
      <c r="AI6" s="8">
        <v>0.6798611111111111</v>
      </c>
      <c r="AJ6" s="8">
        <v>0.6888888888888889</v>
      </c>
      <c r="AK6" s="8">
        <v>0.6986111111111111</v>
      </c>
      <c r="AL6" s="8">
        <v>0.7076388888888889</v>
      </c>
      <c r="AM6" s="8">
        <v>0.7180555555555556</v>
      </c>
      <c r="AN6" s="8">
        <v>0.7284722222222222</v>
      </c>
      <c r="AO6" s="8">
        <v>0.7375</v>
      </c>
      <c r="AP6" s="8">
        <v>0.7472222222222222</v>
      </c>
      <c r="AQ6" s="8">
        <v>0.75625</v>
      </c>
      <c r="AR6" s="8">
        <v>0.7666666666666667</v>
      </c>
      <c r="AS6" s="8">
        <v>0.7770833333333333</v>
      </c>
      <c r="AT6" s="8">
        <v>0.7861111111111111</v>
      </c>
    </row>
    <row r="7">
      <c r="A7" s="7" t="s">
        <v>363</v>
      </c>
      <c r="B7" s="8" t="s">
        <v>364</v>
      </c>
      <c r="C7" s="8">
        <v>0.20416666666666666</v>
      </c>
      <c r="D7" s="8">
        <v>0.21388888888888888</v>
      </c>
      <c r="E7" s="8">
        <v>0.22291666666666668</v>
      </c>
      <c r="F7" s="8">
        <v>0.23333333333333334</v>
      </c>
      <c r="G7" s="8">
        <v>0.24375</v>
      </c>
      <c r="H7" s="8">
        <v>0.25277777777777777</v>
      </c>
      <c r="I7" s="8">
        <v>0.2625</v>
      </c>
      <c r="J7" s="8">
        <v>0.27152777777777776</v>
      </c>
      <c r="K7" s="8">
        <v>0.28194444444444444</v>
      </c>
      <c r="L7" s="8">
        <v>0.2923611111111111</v>
      </c>
      <c r="M7" s="8">
        <v>0.3013888888888889</v>
      </c>
      <c r="N7" s="8">
        <v>0.3111111111111111</v>
      </c>
      <c r="O7" s="8">
        <v>0.32013888888888886</v>
      </c>
      <c r="P7" s="8">
        <v>0.33055555555555555</v>
      </c>
      <c r="Q7" s="8">
        <v>0.34097222222222223</v>
      </c>
      <c r="R7" s="8">
        <v>0.35</v>
      </c>
      <c r="S7" s="8">
        <v>0.3597222222222222</v>
      </c>
      <c r="T7" s="8">
        <v>0.36875</v>
      </c>
      <c r="U7" s="8">
        <v>0.37916666666666665</v>
      </c>
      <c r="V7" s="8">
        <v>0.38958333333333334</v>
      </c>
      <c r="W7" s="8">
        <v>0.4173611111111111</v>
      </c>
      <c r="X7" s="8">
        <v>0.4423611111111111</v>
      </c>
      <c r="Y7" s="8">
        <v>0.46597222222222223</v>
      </c>
      <c r="Z7" s="8">
        <v>0.4909722222222222</v>
      </c>
      <c r="AA7" s="8">
        <v>0.5145833333333333</v>
      </c>
      <c r="AB7" s="8">
        <v>0.5395833333333333</v>
      </c>
      <c r="AC7" s="8">
        <v>0.5631944444444444</v>
      </c>
      <c r="AD7" s="8">
        <v>0.5881944444444445</v>
      </c>
      <c r="AE7" s="8">
        <v>0.6118055555555556</v>
      </c>
      <c r="AF7" s="8">
        <v>0.6416666666666667</v>
      </c>
      <c r="AG7" s="8">
        <v>0.6604166666666667</v>
      </c>
      <c r="AH7" s="8">
        <v>0.6708333333333333</v>
      </c>
      <c r="AI7" s="8">
        <v>0.68125</v>
      </c>
      <c r="AJ7" s="8">
        <v>0.6902777777777778</v>
      </c>
      <c r="AK7" s="8">
        <v>0.7</v>
      </c>
      <c r="AL7" s="8">
        <v>0.7090277777777778</v>
      </c>
      <c r="AM7" s="8">
        <v>0.7194444444444444</v>
      </c>
      <c r="AN7" s="8">
        <v>0.7298611111111111</v>
      </c>
      <c r="AO7" s="8">
        <v>0.7388888888888889</v>
      </c>
      <c r="AP7" s="8">
        <v>0.7486111111111111</v>
      </c>
      <c r="AQ7" s="8">
        <v>0.7576388888888889</v>
      </c>
      <c r="AR7" s="8">
        <v>0.7680555555555556</v>
      </c>
      <c r="AS7" s="8">
        <v>0.7784722222222222</v>
      </c>
      <c r="AT7" s="8">
        <v>0.7875</v>
      </c>
    </row>
    <row r="8">
      <c r="A8" s="7" t="s">
        <v>361</v>
      </c>
      <c r="B8" s="8" t="s">
        <v>362</v>
      </c>
      <c r="C8" s="8">
        <v>0.20555555555555555</v>
      </c>
      <c r="D8" s="8">
        <v>0.2152777777777778</v>
      </c>
      <c r="E8" s="8">
        <v>0.22430555555555556</v>
      </c>
      <c r="F8" s="8">
        <v>0.23472222222222222</v>
      </c>
      <c r="G8" s="8">
        <v>0.24513888888888888</v>
      </c>
      <c r="H8" s="8">
        <v>0.25416666666666665</v>
      </c>
      <c r="I8" s="8">
        <v>0.2638888888888889</v>
      </c>
      <c r="J8" s="8">
        <v>0.27291666666666664</v>
      </c>
      <c r="K8" s="8">
        <v>0.2833333333333333</v>
      </c>
      <c r="L8" s="8">
        <v>0.29375</v>
      </c>
      <c r="M8" s="8">
        <v>0.30277777777777776</v>
      </c>
      <c r="N8" s="8">
        <v>0.3125</v>
      </c>
      <c r="O8" s="8">
        <v>0.3215277777777778</v>
      </c>
      <c r="P8" s="8">
        <v>0.33194444444444443</v>
      </c>
      <c r="Q8" s="8">
        <v>0.3423611111111111</v>
      </c>
      <c r="R8" s="8">
        <v>0.35138888888888886</v>
      </c>
      <c r="S8" s="8">
        <v>0.3611111111111111</v>
      </c>
      <c r="T8" s="8">
        <v>0.3701388888888889</v>
      </c>
      <c r="U8" s="8">
        <v>0.38055555555555554</v>
      </c>
      <c r="V8" s="8">
        <v>0.3909722222222222</v>
      </c>
      <c r="W8" s="8">
        <v>0.41875</v>
      </c>
      <c r="X8" s="8">
        <v>0.44375</v>
      </c>
      <c r="Y8" s="8">
        <v>0.4673611111111111</v>
      </c>
      <c r="Z8" s="8">
        <v>0.49236111111111114</v>
      </c>
      <c r="AA8" s="8">
        <v>0.5159722222222223</v>
      </c>
      <c r="AB8" s="8">
        <v>0.5409722222222222</v>
      </c>
      <c r="AC8" s="8">
        <v>0.5645833333333333</v>
      </c>
      <c r="AD8" s="8">
        <v>0.5895833333333333</v>
      </c>
      <c r="AE8" s="8">
        <v>0.6131944444444445</v>
      </c>
      <c r="AF8" s="8">
        <v>0.6430555555555556</v>
      </c>
      <c r="AG8" s="8">
        <v>0.6618055555555555</v>
      </c>
      <c r="AH8" s="8">
        <v>0.6722222222222223</v>
      </c>
      <c r="AI8" s="8">
        <v>0.6826388888888889</v>
      </c>
      <c r="AJ8" s="8">
        <v>0.6916666666666667</v>
      </c>
      <c r="AK8" s="8">
        <v>0.7013888888888888</v>
      </c>
      <c r="AL8" s="8">
        <v>0.7104166666666667</v>
      </c>
      <c r="AM8" s="8">
        <v>0.7208333333333333</v>
      </c>
      <c r="AN8" s="8">
        <v>0.73125</v>
      </c>
      <c r="AO8" s="8">
        <v>0.7402777777777778</v>
      </c>
      <c r="AP8" s="8">
        <v>0.75</v>
      </c>
      <c r="AQ8" s="8">
        <v>0.7590277777777777</v>
      </c>
      <c r="AR8" s="8">
        <v>0.7694444444444445</v>
      </c>
      <c r="AS8" s="8">
        <v>0.7798611111111111</v>
      </c>
      <c r="AT8" s="8">
        <v>0.7888888888888889</v>
      </c>
    </row>
    <row r="9">
      <c r="A9" s="1" t="s">
        <v>95</v>
      </c>
      <c r="B9" s="8" t="s">
        <v>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</row>
    <row r="10">
      <c r="A10" s="1" t="s">
        <v>22</v>
      </c>
      <c r="B10" s="8" t="s">
        <v>23</v>
      </c>
      <c r="C10" s="8">
        <v>0.20833333333333334</v>
      </c>
      <c r="D10" s="8">
        <v>0.21805555555555556</v>
      </c>
      <c r="E10" s="8">
        <v>0.22708333333333333</v>
      </c>
      <c r="F10" s="8">
        <v>0.2375</v>
      </c>
      <c r="G10" s="8">
        <v>0.24791666666666667</v>
      </c>
      <c r="H10" s="8">
        <v>0.2569444444444444</v>
      </c>
      <c r="I10" s="8">
        <v>0.26666666666666666</v>
      </c>
      <c r="J10" s="8">
        <v>0.27569444444444446</v>
      </c>
      <c r="K10" s="8">
        <v>0.2861111111111111</v>
      </c>
      <c r="L10" s="8">
        <v>0.2965277777777778</v>
      </c>
      <c r="M10" s="8">
        <v>0.3055555555555556</v>
      </c>
      <c r="N10" s="8">
        <v>0.31527777777777777</v>
      </c>
      <c r="O10" s="8">
        <v>0.32430555555555557</v>
      </c>
      <c r="P10" s="8">
        <v>0.3347222222222222</v>
      </c>
      <c r="Q10" s="8">
        <v>0.3451388888888889</v>
      </c>
      <c r="R10" s="8">
        <v>0.3541666666666667</v>
      </c>
      <c r="S10" s="8">
        <v>0.3638888888888889</v>
      </c>
      <c r="T10" s="8">
        <v>0.3729166666666667</v>
      </c>
      <c r="U10" s="8">
        <v>0.38333333333333336</v>
      </c>
      <c r="V10" s="8">
        <v>0.39375</v>
      </c>
      <c r="W10" s="8">
        <v>0.4215277777777778</v>
      </c>
      <c r="X10" s="8">
        <v>0.4465277777777778</v>
      </c>
      <c r="Y10" s="8">
        <v>0.4701388888888889</v>
      </c>
      <c r="Z10" s="8">
        <v>0.4951388888888889</v>
      </c>
      <c r="AA10" s="8">
        <v>0.51875</v>
      </c>
      <c r="AB10" s="8">
        <v>0.54375</v>
      </c>
      <c r="AC10" s="8">
        <v>0.5673611111111111</v>
      </c>
      <c r="AD10" s="8">
        <v>0.5923611111111111</v>
      </c>
      <c r="AE10" s="8">
        <v>0.6159722222222223</v>
      </c>
      <c r="AF10" s="8">
        <v>0.6458333333333334</v>
      </c>
      <c r="AG10" s="8">
        <v>0.6645833333333333</v>
      </c>
      <c r="AH10" s="8">
        <v>0.675</v>
      </c>
      <c r="AI10" s="8">
        <v>0.6854166666666667</v>
      </c>
      <c r="AJ10" s="8">
        <v>0.6944444444444444</v>
      </c>
      <c r="AK10" s="8">
        <v>0.7041666666666667</v>
      </c>
      <c r="AL10" s="8">
        <v>0.7131944444444445</v>
      </c>
      <c r="AM10" s="8">
        <v>0.7236111111111111</v>
      </c>
      <c r="AN10" s="8">
        <v>0.7340277777777777</v>
      </c>
      <c r="AO10" s="8">
        <v>0.7430555555555556</v>
      </c>
      <c r="AP10" s="8">
        <v>0.7527777777777778</v>
      </c>
      <c r="AQ10" s="8">
        <v>0.7618055555555555</v>
      </c>
      <c r="AR10" s="8">
        <v>0.7722222222222223</v>
      </c>
      <c r="AS10" s="8">
        <v>0.7826388888888889</v>
      </c>
      <c r="AT10" s="8">
        <v>0.7916666666666666</v>
      </c>
    </row>
    <row r="11">
      <c r="A11" s="7" t="s">
        <v>93</v>
      </c>
      <c r="B11" s="8" t="s">
        <v>94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</row>
    <row r="12">
      <c r="A12" s="7" t="s">
        <v>91</v>
      </c>
      <c r="B12" s="8" t="s">
        <v>92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</row>
    <row r="13">
      <c r="A13" s="1" t="s">
        <v>24</v>
      </c>
      <c r="B13" s="8" t="s">
        <v>25</v>
      </c>
      <c r="C13" s="8">
        <v>0.21180555555555555</v>
      </c>
      <c r="D13" s="8">
        <v>0.22152777777777777</v>
      </c>
      <c r="E13" s="8">
        <v>0.23055555555555557</v>
      </c>
      <c r="F13" s="8">
        <v>0.24097222222222223</v>
      </c>
      <c r="G13" s="8">
        <v>0.2513888888888889</v>
      </c>
      <c r="H13" s="8">
        <v>0.2604166666666667</v>
      </c>
      <c r="I13" s="8">
        <v>0.2701388888888889</v>
      </c>
      <c r="J13" s="8">
        <v>0.2791666666666667</v>
      </c>
      <c r="K13" s="8">
        <v>0.28958333333333336</v>
      </c>
      <c r="L13" s="8">
        <v>0.3</v>
      </c>
      <c r="M13" s="8">
        <v>0.3090277777777778</v>
      </c>
      <c r="N13" s="8">
        <v>0.31875</v>
      </c>
      <c r="O13" s="8">
        <v>0.3277777777777778</v>
      </c>
      <c r="P13" s="8">
        <v>0.33819444444444446</v>
      </c>
      <c r="Q13" s="8">
        <v>0.3486111111111111</v>
      </c>
      <c r="R13" s="8">
        <v>0.3576388888888889</v>
      </c>
      <c r="S13" s="8">
        <v>0.36736111111111114</v>
      </c>
      <c r="T13" s="8">
        <v>0.3763888888888889</v>
      </c>
      <c r="U13" s="8">
        <v>0.38680555555555557</v>
      </c>
      <c r="V13" s="8">
        <v>0.3972222222222222</v>
      </c>
      <c r="W13" s="8">
        <v>0.425</v>
      </c>
      <c r="X13" s="8">
        <v>0.45</v>
      </c>
      <c r="Y13" s="8">
        <v>0.4736111111111111</v>
      </c>
      <c r="Z13" s="8">
        <v>0.4986111111111111</v>
      </c>
      <c r="AA13" s="8">
        <v>0.5222222222222223</v>
      </c>
      <c r="AB13" s="8">
        <v>0.5472222222222223</v>
      </c>
      <c r="AC13" s="8">
        <v>0.5708333333333333</v>
      </c>
      <c r="AD13" s="8">
        <v>0.5958333333333333</v>
      </c>
      <c r="AE13" s="8">
        <v>0.6194444444444445</v>
      </c>
      <c r="AF13" s="8">
        <v>0.6493055555555556</v>
      </c>
      <c r="AG13" s="8">
        <v>0.6680555555555555</v>
      </c>
      <c r="AH13" s="8">
        <v>0.6784722222222223</v>
      </c>
      <c r="AI13" s="8">
        <v>0.6888888888888889</v>
      </c>
      <c r="AJ13" s="8">
        <v>0.6979166666666666</v>
      </c>
      <c r="AK13" s="8">
        <v>0.7076388888888889</v>
      </c>
      <c r="AL13" s="8">
        <v>0.7166666666666667</v>
      </c>
      <c r="AM13" s="8">
        <v>0.7270833333333333</v>
      </c>
      <c r="AN13" s="8">
        <v>0.7375</v>
      </c>
      <c r="AO13" s="8">
        <v>0.7465277777777778</v>
      </c>
      <c r="AP13" s="8">
        <v>0.75625</v>
      </c>
      <c r="AQ13" s="8">
        <v>0.7652777777777777</v>
      </c>
      <c r="AR13" s="8">
        <v>0.7756944444444445</v>
      </c>
      <c r="AS13" s="8">
        <v>0.7861111111111111</v>
      </c>
      <c r="AT13" s="8">
        <v>0.7951388888888888</v>
      </c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</row>
    <row r="19">
      <c r="A19" s="13"/>
      <c r="B19" s="14"/>
      <c r="C19" s="14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</row>
    <row r="20">
      <c r="A20" s="13"/>
      <c r="B20" s="14"/>
      <c r="C20" s="14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</row>
    <row r="21">
      <c r="A21" s="13"/>
      <c r="B21" s="14"/>
      <c r="C21" s="14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</row>
    <row r="22">
      <c r="A22" s="13"/>
      <c r="B22" s="14"/>
      <c r="C22" s="1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</row>
    <row r="23">
      <c r="A23" s="13"/>
      <c r="B23" s="14"/>
      <c r="C23" s="14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</row>
    <row r="24">
      <c r="A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>
      <c r="A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</row>
    <row r="26">
      <c r="A26" s="1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</row>
    <row r="27">
      <c r="A27" s="13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</row>
    <row r="28">
      <c r="A28" s="1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</row>
    <row r="29">
      <c r="A29" s="13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</row>
    <row r="30">
      <c r="A30" s="13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</row>
    <row r="31">
      <c r="A31" s="1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</row>
    <row r="32">
      <c r="A32" s="13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</row>
    <row r="33">
      <c r="A33" s="13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</row>
    <row r="34">
      <c r="A34" s="1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</row>
    <row r="35">
      <c r="A35" s="13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</row>
    <row r="36">
      <c r="A36" s="13"/>
      <c r="B36" s="14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</row>
    <row r="37">
      <c r="A37" s="13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</row>
    <row r="38">
      <c r="A38" s="1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</row>
    <row r="39">
      <c r="A39" s="13"/>
      <c r="C39" s="14"/>
      <c r="D39" s="14"/>
      <c r="E39" s="14"/>
      <c r="F39" s="14"/>
      <c r="G39" s="14"/>
      <c r="H39" s="14"/>
      <c r="I39" s="14"/>
      <c r="J39" s="14"/>
    </row>
    <row r="40">
      <c r="B40" s="10"/>
      <c r="C40" s="11"/>
      <c r="D40" s="11"/>
      <c r="E40" s="11"/>
      <c r="F40" s="11"/>
      <c r="G40" s="11"/>
      <c r="H40" s="11"/>
      <c r="I40" s="11"/>
      <c r="J40" s="11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52" t="s">
        <v>317</v>
      </c>
      <c r="D2" s="152" t="s">
        <v>318</v>
      </c>
      <c r="E2" s="152" t="s">
        <v>319</v>
      </c>
      <c r="F2" s="152" t="s">
        <v>320</v>
      </c>
      <c r="G2" s="161" t="s">
        <v>328</v>
      </c>
      <c r="H2" s="175" t="s">
        <v>329</v>
      </c>
      <c r="I2" s="175" t="s">
        <v>330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0.21875</v>
      </c>
      <c r="D3" s="6">
        <v>0.2673611111111111</v>
      </c>
      <c r="E3" s="6">
        <v>0.3159722222222222</v>
      </c>
      <c r="F3" s="6">
        <v>0.3645833333333333</v>
      </c>
      <c r="G3" s="6">
        <v>0.6270833333333333</v>
      </c>
      <c r="H3" s="6">
        <v>0.6979166666666666</v>
      </c>
      <c r="I3" s="6">
        <v>0.7743055555555556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91</v>
      </c>
      <c r="B4" s="7" t="s">
        <v>92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93</v>
      </c>
      <c r="B5" s="7" t="s">
        <v>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22</v>
      </c>
      <c r="B6" s="9" t="s">
        <v>23</v>
      </c>
      <c r="C6" s="8">
        <v>0.2222222222222222</v>
      </c>
      <c r="D6" s="8">
        <v>0.2708333333333333</v>
      </c>
      <c r="E6" s="8">
        <v>0.3194444444444444</v>
      </c>
      <c r="F6" s="8">
        <v>0.3680555555555555</v>
      </c>
      <c r="G6" s="8">
        <v>0.6305555555555555</v>
      </c>
      <c r="H6" s="8">
        <v>0.7013888888888888</v>
      </c>
      <c r="I6" s="8">
        <v>0.7777777777777778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95</v>
      </c>
      <c r="B7" s="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361</v>
      </c>
      <c r="B8" s="7" t="s">
        <v>362</v>
      </c>
      <c r="C8" s="8">
        <v>0.22499999999999998</v>
      </c>
      <c r="D8" s="8">
        <v>0.2736111111111111</v>
      </c>
      <c r="E8" s="8">
        <v>0.3222222222222222</v>
      </c>
      <c r="F8" s="8">
        <v>0.3708333333333333</v>
      </c>
      <c r="G8" s="8">
        <v>0.6333333333333333</v>
      </c>
      <c r="H8" s="8">
        <v>0.7041666666666666</v>
      </c>
      <c r="I8" s="8">
        <v>0.7805555555555556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363</v>
      </c>
      <c r="B9" s="7" t="s">
        <v>364</v>
      </c>
      <c r="C9" s="8">
        <v>0.22638888888888886</v>
      </c>
      <c r="D9" s="8">
        <v>0.27499999999999997</v>
      </c>
      <c r="E9" s="8">
        <v>0.32361111111111107</v>
      </c>
      <c r="F9" s="8">
        <v>0.3722222222222222</v>
      </c>
      <c r="G9" s="8">
        <v>0.6347222222222222</v>
      </c>
      <c r="H9" s="8">
        <v>0.7055555555555555</v>
      </c>
      <c r="I9" s="8">
        <v>0.7819444444444444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365</v>
      </c>
      <c r="B10" s="7" t="s">
        <v>366</v>
      </c>
      <c r="C10" s="8">
        <v>0.2284722222222222</v>
      </c>
      <c r="D10" s="8">
        <v>0.2770833333333333</v>
      </c>
      <c r="E10" s="8">
        <v>0.3256944444444444</v>
      </c>
      <c r="F10" s="8">
        <v>0.3743055555555555</v>
      </c>
      <c r="G10" s="8">
        <v>0.6368055555555555</v>
      </c>
      <c r="H10" s="8">
        <v>0.7076388888888888</v>
      </c>
      <c r="I10" s="8">
        <v>0.7840277777777778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367</v>
      </c>
      <c r="B11" s="7" t="s">
        <v>368</v>
      </c>
      <c r="C11" s="8">
        <v>0.2326388888888889</v>
      </c>
      <c r="D11" s="8">
        <v>0.28125</v>
      </c>
      <c r="E11" s="8">
        <v>0.3298611111111111</v>
      </c>
      <c r="F11" s="8">
        <v>0.3784722222222222</v>
      </c>
      <c r="G11" s="8">
        <v>0.6409722222222223</v>
      </c>
      <c r="H11" s="8">
        <v>0.7118055555555556</v>
      </c>
      <c r="I11" s="8">
        <v>0.7881944444444444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369</v>
      </c>
      <c r="B12" s="7" t="s">
        <v>370</v>
      </c>
      <c r="C12" s="8">
        <v>0.23402777777777778</v>
      </c>
      <c r="D12" s="8">
        <v>0.2826388888888889</v>
      </c>
      <c r="E12" s="8">
        <v>0.33125</v>
      </c>
      <c r="F12" s="8">
        <v>0.3798611111111111</v>
      </c>
      <c r="G12" s="8">
        <v>0.6423611111111112</v>
      </c>
      <c r="H12" s="8">
        <v>0.7131944444444445</v>
      </c>
      <c r="I12" s="8">
        <v>0.7895833333333333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371</v>
      </c>
      <c r="B13" s="7" t="s">
        <v>372</v>
      </c>
      <c r="C13" s="8">
        <v>0.2361111111111111</v>
      </c>
      <c r="D13" s="8">
        <v>0.2847222222222222</v>
      </c>
      <c r="E13" s="8">
        <v>0.3333333333333333</v>
      </c>
      <c r="F13" s="8">
        <v>0.3819444444444444</v>
      </c>
      <c r="G13" s="8">
        <v>0.6444444444444445</v>
      </c>
      <c r="H13" s="8">
        <v>0.7152777777777778</v>
      </c>
      <c r="I13" s="8">
        <v>0.7916666666666666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8"/>
      <c r="P16" s="8"/>
      <c r="Q16" s="8"/>
      <c r="R16" s="8"/>
      <c r="S16" s="8"/>
      <c r="T16" s="8"/>
    </row>
    <row r="17">
      <c r="A17" s="11"/>
      <c r="B17" s="162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8"/>
      <c r="P17" s="8"/>
      <c r="Q17" s="8"/>
      <c r="R17" s="8"/>
      <c r="S17" s="8"/>
      <c r="T17" s="8"/>
    </row>
    <row r="18">
      <c r="A18" s="11"/>
      <c r="B18" s="162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8"/>
      <c r="P18" s="8"/>
      <c r="Q18" s="8"/>
      <c r="R18" s="8"/>
      <c r="S18" s="8"/>
      <c r="T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8"/>
      <c r="P19" s="8"/>
      <c r="Q19" s="8"/>
      <c r="R19" s="8"/>
      <c r="S19" s="8"/>
      <c r="T19" s="8"/>
    </row>
    <row r="20">
      <c r="A20" s="11"/>
      <c r="B20" s="162"/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1"/>
      <c r="P20" s="11"/>
      <c r="Q20" s="11"/>
      <c r="R20" s="11"/>
      <c r="S20" s="11"/>
      <c r="T20" s="11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'PTA-to-SAUL_Sat'!B1</f>
        <v>46055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52" t="s">
        <v>373</v>
      </c>
      <c r="D2" s="152" t="s">
        <v>374</v>
      </c>
      <c r="E2" s="152" t="s">
        <v>375</v>
      </c>
      <c r="F2" s="152" t="s">
        <v>376</v>
      </c>
      <c r="G2" s="152" t="s">
        <v>377</v>
      </c>
      <c r="H2" s="1" t="s">
        <v>385</v>
      </c>
      <c r="I2" s="161" t="s">
        <v>386</v>
      </c>
      <c r="J2" s="1"/>
      <c r="K2" s="152"/>
      <c r="L2" s="152"/>
      <c r="M2" s="152"/>
      <c r="N2" s="152"/>
      <c r="O2" s="152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371</v>
      </c>
      <c r="B3" s="5" t="s">
        <v>372</v>
      </c>
      <c r="C3" s="6">
        <v>0.19444444444444445</v>
      </c>
      <c r="D3" s="6">
        <v>0.24305555555555555</v>
      </c>
      <c r="E3" s="6">
        <v>0.2916666666666667</v>
      </c>
      <c r="F3" s="6">
        <v>0.3402777777777778</v>
      </c>
      <c r="G3" s="6">
        <v>0.3888888888888889</v>
      </c>
      <c r="H3" s="6">
        <v>0.6527777777777778</v>
      </c>
      <c r="I3" s="6">
        <v>0.7222222222222222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369</v>
      </c>
      <c r="B4" s="8" t="s">
        <v>370</v>
      </c>
      <c r="C4" s="8">
        <v>0.19652777777777777</v>
      </c>
      <c r="D4" s="8">
        <v>0.24513888888888888</v>
      </c>
      <c r="E4" s="8">
        <v>0.29375</v>
      </c>
      <c r="F4" s="8">
        <v>0.3423611111111111</v>
      </c>
      <c r="G4" s="8">
        <v>0.3909722222222222</v>
      </c>
      <c r="H4" s="8">
        <v>0.6548611111111111</v>
      </c>
      <c r="I4" s="8">
        <v>0.7243055555555555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367</v>
      </c>
      <c r="B5" s="8" t="s">
        <v>368</v>
      </c>
      <c r="C5" s="8">
        <v>0.19791666666666666</v>
      </c>
      <c r="D5" s="8">
        <v>0.24652777777777776</v>
      </c>
      <c r="E5" s="8">
        <v>0.2951388888888889</v>
      </c>
      <c r="F5" s="8">
        <v>0.34375</v>
      </c>
      <c r="G5" s="8">
        <v>0.3923611111111111</v>
      </c>
      <c r="H5" s="8">
        <v>0.65625</v>
      </c>
      <c r="I5" s="8">
        <v>0.7256944444444444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365</v>
      </c>
      <c r="B6" s="8" t="s">
        <v>366</v>
      </c>
      <c r="C6" s="8">
        <v>0.20277777777777778</v>
      </c>
      <c r="D6" s="8">
        <v>0.2513888888888889</v>
      </c>
      <c r="E6" s="8">
        <v>0.30000000000000004</v>
      </c>
      <c r="F6" s="8">
        <v>0.3486111111111111</v>
      </c>
      <c r="G6" s="8">
        <v>0.39722222222222225</v>
      </c>
      <c r="H6" s="8">
        <v>0.6611111111111111</v>
      </c>
      <c r="I6" s="8">
        <v>0.7305555555555555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363</v>
      </c>
      <c r="B7" s="8" t="s">
        <v>364</v>
      </c>
      <c r="C7" s="8">
        <v>0.20416666666666666</v>
      </c>
      <c r="D7" s="8">
        <v>0.25277777777777777</v>
      </c>
      <c r="E7" s="8">
        <v>0.30138888888888893</v>
      </c>
      <c r="F7" s="8">
        <v>0.35</v>
      </c>
      <c r="G7" s="8">
        <v>0.39861111111111114</v>
      </c>
      <c r="H7" s="8">
        <v>0.6625</v>
      </c>
      <c r="I7" s="8">
        <v>0.7319444444444444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361</v>
      </c>
      <c r="B8" s="8" t="s">
        <v>362</v>
      </c>
      <c r="C8" s="8">
        <v>0.20555555555555555</v>
      </c>
      <c r="D8" s="8">
        <v>0.25416666666666665</v>
      </c>
      <c r="E8" s="8">
        <v>0.3027777777777778</v>
      </c>
      <c r="F8" s="8">
        <v>0.35138888888888886</v>
      </c>
      <c r="G8" s="8">
        <v>0.4</v>
      </c>
      <c r="H8" s="8">
        <v>0.6638888888888889</v>
      </c>
      <c r="I8" s="8">
        <v>0.7333333333333333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95</v>
      </c>
      <c r="B9" s="8" t="s">
        <v>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</v>
      </c>
      <c r="B10" s="8" t="s">
        <v>23</v>
      </c>
      <c r="C10" s="8">
        <v>0.20833333333333334</v>
      </c>
      <c r="D10" s="8">
        <v>0.2569444444444444</v>
      </c>
      <c r="E10" s="8">
        <v>0.3055555555555556</v>
      </c>
      <c r="F10" s="8">
        <v>0.35416666666666663</v>
      </c>
      <c r="G10" s="8">
        <v>0.4027777777777778</v>
      </c>
      <c r="H10" s="8">
        <v>0.6666666666666666</v>
      </c>
      <c r="I10" s="8">
        <v>0.736111111111111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93</v>
      </c>
      <c r="B11" s="8" t="s">
        <v>94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91</v>
      </c>
      <c r="B12" s="8" t="s">
        <v>92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24</v>
      </c>
      <c r="B13" s="8" t="s">
        <v>25</v>
      </c>
      <c r="C13" s="8">
        <v>0.21180555555555555</v>
      </c>
      <c r="D13" s="8">
        <v>0.26041666666666663</v>
      </c>
      <c r="E13" s="8">
        <v>0.3090277777777778</v>
      </c>
      <c r="F13" s="8">
        <v>0.35763888888888884</v>
      </c>
      <c r="G13" s="8">
        <v>0.40625</v>
      </c>
      <c r="H13" s="8">
        <v>0.6701388888888888</v>
      </c>
      <c r="I13" s="8">
        <v>0.7395833333333333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8"/>
      <c r="P16" s="8"/>
      <c r="Q16" s="8"/>
      <c r="R16" s="8"/>
      <c r="S16" s="8"/>
      <c r="T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8"/>
      <c r="P17" s="8"/>
      <c r="Q17" s="8"/>
      <c r="R17" s="8"/>
      <c r="S17" s="8"/>
      <c r="T17" s="8"/>
    </row>
    <row r="18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8"/>
      <c r="P18" s="8"/>
      <c r="Q18" s="8"/>
      <c r="R18" s="8"/>
      <c r="S18" s="8"/>
      <c r="T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8"/>
      <c r="Q19" s="8"/>
      <c r="R19" s="8"/>
      <c r="S19" s="8"/>
      <c r="T19" s="8"/>
    </row>
    <row r="20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1"/>
      <c r="P20" s="11"/>
      <c r="Q20" s="11"/>
      <c r="R20" s="11"/>
      <c r="S20" s="11"/>
      <c r="T20" s="11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186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3" t="s">
        <v>417</v>
      </c>
      <c r="D2" s="3" t="s">
        <v>418</v>
      </c>
      <c r="E2" s="3" t="s">
        <v>419</v>
      </c>
      <c r="F2" s="3" t="s">
        <v>420</v>
      </c>
      <c r="G2" s="3" t="s">
        <v>421</v>
      </c>
      <c r="H2" s="3" t="s">
        <v>422</v>
      </c>
      <c r="I2" s="3" t="s">
        <v>423</v>
      </c>
      <c r="J2" s="3" t="s">
        <v>424</v>
      </c>
      <c r="K2" s="3" t="s">
        <v>425</v>
      </c>
      <c r="L2" s="3" t="s">
        <v>426</v>
      </c>
      <c r="M2" s="3" t="s">
        <v>427</v>
      </c>
      <c r="N2" s="3" t="s">
        <v>428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115</v>
      </c>
      <c r="B3" s="5" t="s">
        <v>116</v>
      </c>
      <c r="C3" s="6">
        <v>0.17708333333333334</v>
      </c>
      <c r="D3" s="6">
        <v>0.22569444444444445</v>
      </c>
      <c r="E3" s="6">
        <v>0.2743055555555556</v>
      </c>
      <c r="F3" s="6">
        <v>0.3229166666666667</v>
      </c>
      <c r="G3" s="6">
        <v>0.3729166666666667</v>
      </c>
      <c r="H3" s="6">
        <v>0.41875</v>
      </c>
      <c r="I3" s="6">
        <v>0.4701388888888889</v>
      </c>
      <c r="J3" s="6">
        <v>0.5159722222222223</v>
      </c>
      <c r="K3" s="6">
        <v>0.5673611111111111</v>
      </c>
      <c r="L3" s="6">
        <v>0.6131944444444445</v>
      </c>
      <c r="M3" s="6">
        <v>0.66875</v>
      </c>
      <c r="N3" s="6">
        <v>0.7118055555555556</v>
      </c>
    </row>
    <row r="4">
      <c r="A4" s="1" t="s">
        <v>113</v>
      </c>
      <c r="B4" s="7" t="s">
        <v>114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>
      <c r="A5" s="1" t="s">
        <v>109</v>
      </c>
      <c r="B5" s="7" t="s">
        <v>110</v>
      </c>
      <c r="C5" s="8">
        <v>0.18611111111111112</v>
      </c>
      <c r="D5" s="8">
        <v>0.23472222222222222</v>
      </c>
      <c r="E5" s="8">
        <v>0.2833333333333333</v>
      </c>
      <c r="F5" s="8">
        <v>0.33194444444444443</v>
      </c>
      <c r="G5" s="8">
        <v>0.3819444444444444</v>
      </c>
      <c r="H5" s="8">
        <v>0.42777777777777776</v>
      </c>
      <c r="I5" s="8">
        <v>0.4791666666666667</v>
      </c>
      <c r="J5" s="8">
        <v>0.525</v>
      </c>
      <c r="K5" s="8">
        <v>0.5763888888888888</v>
      </c>
      <c r="L5" s="8">
        <v>0.6222222222222222</v>
      </c>
      <c r="M5" s="8">
        <v>0.6777777777777778</v>
      </c>
      <c r="N5" s="8">
        <v>0.7208333333333333</v>
      </c>
    </row>
    <row r="6">
      <c r="A6" s="7" t="s">
        <v>107</v>
      </c>
      <c r="B6" s="7" t="s">
        <v>108</v>
      </c>
      <c r="C6" s="8">
        <v>0.19027777777777777</v>
      </c>
      <c r="D6" s="8">
        <v>0.2388888888888889</v>
      </c>
      <c r="E6" s="8">
        <v>0.2875</v>
      </c>
      <c r="F6" s="8">
        <v>0.33611111111111114</v>
      </c>
      <c r="G6" s="8">
        <v>0.3861111111111111</v>
      </c>
      <c r="H6" s="8">
        <v>0.43194444444444446</v>
      </c>
      <c r="I6" s="8">
        <v>0.48333333333333334</v>
      </c>
      <c r="J6" s="8">
        <v>0.5291666666666667</v>
      </c>
      <c r="K6" s="8">
        <v>0.5805555555555556</v>
      </c>
      <c r="L6" s="8">
        <v>0.6263888888888889</v>
      </c>
      <c r="M6" s="8">
        <v>0.6819444444444445</v>
      </c>
      <c r="N6" s="8">
        <v>0.725</v>
      </c>
    </row>
    <row r="7">
      <c r="A7" s="7" t="s">
        <v>12</v>
      </c>
      <c r="B7" s="7" t="s">
        <v>13</v>
      </c>
      <c r="C7" s="8">
        <v>0.19583333333333333</v>
      </c>
      <c r="D7" s="8">
        <v>0.24444444444444444</v>
      </c>
      <c r="E7" s="8">
        <v>0.29305555555555557</v>
      </c>
      <c r="F7" s="8">
        <v>0.3416666666666667</v>
      </c>
      <c r="G7" s="8">
        <v>0.39166666666666666</v>
      </c>
      <c r="H7" s="8">
        <v>0.4375</v>
      </c>
      <c r="I7" s="8">
        <v>0.4888888888888889</v>
      </c>
      <c r="J7" s="8">
        <v>0.5347222222222222</v>
      </c>
      <c r="K7" s="8">
        <v>0.5861111111111111</v>
      </c>
      <c r="L7" s="8">
        <v>0.6319444444444444</v>
      </c>
      <c r="M7" s="8">
        <v>0.6875</v>
      </c>
      <c r="N7" s="8">
        <v>0.7305555555555555</v>
      </c>
    </row>
    <row r="8">
      <c r="A8" s="7" t="s">
        <v>14</v>
      </c>
      <c r="B8" s="7" t="s">
        <v>15</v>
      </c>
      <c r="C8" s="8">
        <v>0.2</v>
      </c>
      <c r="D8" s="8">
        <v>0.24861111111111112</v>
      </c>
      <c r="E8" s="8">
        <v>0.2972222222222222</v>
      </c>
      <c r="F8" s="8">
        <v>0.3458333333333333</v>
      </c>
      <c r="G8" s="8">
        <v>0.3958333333333333</v>
      </c>
      <c r="H8" s="8">
        <v>0.44166666666666665</v>
      </c>
      <c r="I8" s="8">
        <v>0.4930555555555556</v>
      </c>
      <c r="J8" s="8">
        <v>0.5388888888888889</v>
      </c>
      <c r="K8" s="8">
        <v>0.5902777777777778</v>
      </c>
      <c r="L8" s="8">
        <v>0.6361111111111111</v>
      </c>
      <c r="M8" s="8">
        <v>0.6916666666666667</v>
      </c>
      <c r="N8" s="8">
        <v>0.7347222222222223</v>
      </c>
    </row>
    <row r="9">
      <c r="A9" s="1" t="s">
        <v>16</v>
      </c>
      <c r="B9" s="7" t="s">
        <v>17</v>
      </c>
      <c r="C9" s="8">
        <v>0.20277777777777778</v>
      </c>
      <c r="D9" s="8">
        <v>0.2513888888888889</v>
      </c>
      <c r="E9" s="8">
        <v>0.3</v>
      </c>
      <c r="F9" s="8">
        <v>0.3486111111111111</v>
      </c>
      <c r="G9" s="8">
        <v>0.39861111111111114</v>
      </c>
      <c r="H9" s="8">
        <v>0.4444444444444444</v>
      </c>
      <c r="I9" s="8">
        <v>0.49583333333333335</v>
      </c>
      <c r="J9" s="8">
        <v>0.5416666666666666</v>
      </c>
      <c r="K9" s="8">
        <v>0.5930555555555556</v>
      </c>
      <c r="L9" s="8">
        <v>0.6388888888888888</v>
      </c>
      <c r="M9" s="8">
        <v>0.6944444444444444</v>
      </c>
      <c r="N9" s="8">
        <v>0.7375</v>
      </c>
    </row>
    <row r="10">
      <c r="A10" s="1" t="s">
        <v>105</v>
      </c>
      <c r="B10" s="7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>
      <c r="A11" s="7" t="s">
        <v>18</v>
      </c>
      <c r="B11" s="7" t="s">
        <v>19</v>
      </c>
      <c r="C11" s="8">
        <v>0.20833333333333334</v>
      </c>
      <c r="D11" s="8">
        <v>0.2569444444444444</v>
      </c>
      <c r="E11" s="8">
        <v>0.3055555555555556</v>
      </c>
      <c r="F11" s="8">
        <v>0.3541666666666667</v>
      </c>
      <c r="G11" s="8">
        <v>0.4041666666666667</v>
      </c>
      <c r="H11" s="8">
        <v>0.45</v>
      </c>
      <c r="I11" s="8">
        <v>0.5013888888888889</v>
      </c>
      <c r="J11" s="8">
        <v>0.5472222222222223</v>
      </c>
      <c r="K11" s="8">
        <v>0.5986111111111111</v>
      </c>
      <c r="L11" s="8">
        <v>0.6444444444444445</v>
      </c>
      <c r="M11" s="8">
        <v>0.7</v>
      </c>
      <c r="N11" s="8">
        <v>0.7430555555555556</v>
      </c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>
      <c r="A13" s="1" t="s">
        <v>20</v>
      </c>
      <c r="B13" s="7" t="s">
        <v>21</v>
      </c>
      <c r="C13" s="8">
        <v>0.21180555555555555</v>
      </c>
      <c r="D13" s="8">
        <v>0.2604166666666667</v>
      </c>
      <c r="E13" s="8">
        <v>0.3090277777777778</v>
      </c>
      <c r="F13" s="8">
        <v>0.3576388888888889</v>
      </c>
      <c r="G13" s="8">
        <v>0.4076388888888889</v>
      </c>
      <c r="H13" s="8">
        <v>0.4534722222222222</v>
      </c>
      <c r="I13" s="8">
        <v>0.5048611111111111</v>
      </c>
      <c r="J13" s="8">
        <v>0.5506944444444445</v>
      </c>
      <c r="K13" s="8">
        <v>0.6020833333333333</v>
      </c>
      <c r="L13" s="8">
        <v>0.6479166666666667</v>
      </c>
      <c r="M13" s="8">
        <v>0.7034722222222223</v>
      </c>
      <c r="N13" s="8">
        <v>0.7465277777777778</v>
      </c>
    </row>
    <row r="14">
      <c r="A14" s="7" t="s">
        <v>429</v>
      </c>
      <c r="B14" s="7" t="s">
        <v>430</v>
      </c>
      <c r="C14" s="8">
        <v>0.21875</v>
      </c>
      <c r="D14" s="8">
        <v>0.2673611111111111</v>
      </c>
      <c r="E14" s="8">
        <v>0.3159722222222222</v>
      </c>
      <c r="F14" s="8">
        <v>0.3645833333333333</v>
      </c>
      <c r="G14" s="8">
        <v>0.41458333333333336</v>
      </c>
      <c r="H14" s="8">
        <v>0.46041666666666664</v>
      </c>
      <c r="I14" s="8">
        <v>0.5118055555555555</v>
      </c>
      <c r="J14" s="8">
        <v>0.5576388888888889</v>
      </c>
      <c r="K14" s="8">
        <v>0.6090277777777777</v>
      </c>
      <c r="L14" s="8">
        <v>0.6548611111111111</v>
      </c>
      <c r="M14" s="8">
        <v>0.7104166666666667</v>
      </c>
      <c r="N14" s="8">
        <v>0.7534722222222222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8"/>
      <c r="T16" s="8"/>
    </row>
    <row r="17">
      <c r="A17" s="13"/>
      <c r="B17" s="12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8"/>
      <c r="T17" s="8"/>
    </row>
    <row r="18">
      <c r="A18" s="13"/>
      <c r="B18" s="17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8"/>
      <c r="T18" s="8"/>
    </row>
    <row r="19">
      <c r="A19" s="13"/>
      <c r="B19" s="14"/>
      <c r="C19" s="163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62"/>
      <c r="Q19" s="162"/>
      <c r="R19" s="162"/>
      <c r="S19" s="8"/>
      <c r="T19" s="8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62"/>
      <c r="Q21" s="162"/>
      <c r="R21" s="162"/>
      <c r="S21" s="162"/>
      <c r="T21" s="162"/>
    </row>
    <row r="22">
      <c r="A22" s="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162"/>
      <c r="Q22" s="162"/>
      <c r="R22" s="162"/>
      <c r="S22" s="162"/>
      <c r="T22" s="162"/>
    </row>
    <row r="23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162"/>
      <c r="Q23" s="162"/>
      <c r="R23" s="162"/>
      <c r="S23" s="162"/>
      <c r="T23" s="162"/>
    </row>
    <row r="24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162"/>
      <c r="Q24" s="162"/>
      <c r="R24" s="162"/>
      <c r="S24" s="162"/>
      <c r="T24" s="162"/>
    </row>
    <row r="25"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162"/>
      <c r="Q25" s="162"/>
      <c r="R25" s="162"/>
      <c r="S25" s="162"/>
      <c r="T25" s="162"/>
    </row>
    <row r="26">
      <c r="A26" s="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162"/>
      <c r="Q26" s="162"/>
      <c r="R26" s="162"/>
      <c r="S26" s="162"/>
      <c r="T26" s="162"/>
    </row>
    <row r="27">
      <c r="A27" s="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162"/>
      <c r="Q27" s="162"/>
      <c r="R27" s="162"/>
      <c r="S27" s="162"/>
      <c r="T27" s="162"/>
    </row>
    <row r="28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162"/>
      <c r="Q28" s="162"/>
      <c r="R28" s="162"/>
      <c r="S28" s="162"/>
      <c r="T28" s="162"/>
    </row>
    <row r="29"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162"/>
      <c r="Q29" s="162"/>
      <c r="R29" s="162"/>
      <c r="S29" s="162"/>
      <c r="T29" s="162"/>
    </row>
    <row r="30">
      <c r="A30" s="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162"/>
      <c r="Q30" s="162"/>
      <c r="R30" s="162"/>
      <c r="S30" s="162"/>
      <c r="T30" s="162"/>
    </row>
    <row r="31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12"/>
      <c r="Q31" s="12"/>
      <c r="R31" s="12"/>
      <c r="S31" s="12"/>
      <c r="T31" s="12"/>
    </row>
    <row r="32">
      <c r="C32" s="8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1"/>
      <c r="O36" s="11"/>
      <c r="P36" s="11"/>
      <c r="Q36" s="11"/>
      <c r="R36" s="11"/>
      <c r="S36" s="11"/>
      <c r="T36" s="11"/>
    </row>
    <row r="37">
      <c r="A37" s="13"/>
      <c r="B37" s="145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1"/>
      <c r="O37" s="11"/>
      <c r="P37" s="11"/>
      <c r="Q37" s="11"/>
      <c r="R37" s="11"/>
      <c r="S37" s="11"/>
      <c r="T37" s="11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1"/>
      <c r="Q38" s="11"/>
      <c r="R38" s="11"/>
      <c r="S38" s="11"/>
      <c r="T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1"/>
      <c r="O39" s="11"/>
      <c r="P39" s="11"/>
      <c r="Q39" s="11"/>
      <c r="R39" s="11"/>
      <c r="S39" s="11"/>
      <c r="T39" s="11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1"/>
      <c r="O40" s="11"/>
      <c r="P40" s="11"/>
      <c r="Q40" s="11"/>
      <c r="R40" s="11"/>
      <c r="S40" s="11"/>
      <c r="T40" s="11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1"/>
      <c r="O41" s="11"/>
      <c r="P41" s="11"/>
      <c r="Q41" s="11"/>
      <c r="R41" s="11"/>
      <c r="S41" s="11"/>
      <c r="T41" s="11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1"/>
      <c r="O42" s="11"/>
      <c r="P42" s="11"/>
      <c r="Q42" s="11"/>
      <c r="R42" s="11"/>
      <c r="S42" s="11"/>
      <c r="T42" s="11"/>
    </row>
    <row r="43">
      <c r="A43" s="13"/>
      <c r="B43" s="145"/>
      <c r="C43" s="163"/>
      <c r="D43" s="163"/>
      <c r="E43" s="163"/>
      <c r="F43" s="163"/>
      <c r="G43" s="163"/>
      <c r="H43" s="163"/>
      <c r="I43" s="163"/>
      <c r="J43" s="163"/>
      <c r="K43" s="163"/>
      <c r="L43" s="163"/>
      <c r="M43" s="163"/>
      <c r="N43" s="11"/>
      <c r="O43" s="11"/>
      <c r="P43" s="11"/>
      <c r="Q43" s="11"/>
      <c r="R43" s="11"/>
      <c r="S43" s="11"/>
      <c r="T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1"/>
      <c r="O44" s="11"/>
      <c r="P44" s="11"/>
      <c r="Q44" s="11"/>
      <c r="R44" s="11"/>
      <c r="S44" s="11"/>
      <c r="T44" s="11"/>
    </row>
    <row r="45">
      <c r="A45" s="13"/>
      <c r="B45" s="145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1"/>
      <c r="O45" s="11"/>
      <c r="P45" s="11"/>
      <c r="Q45" s="11"/>
      <c r="R45" s="11"/>
      <c r="S45" s="11"/>
      <c r="T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1"/>
      <c r="O46" s="11"/>
      <c r="P46" s="11"/>
      <c r="Q46" s="11"/>
      <c r="R46" s="11"/>
      <c r="S46" s="11"/>
      <c r="T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'MAB-to-BELLE_Weekday'!B1</f>
        <v>46055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3" t="s">
        <v>431</v>
      </c>
      <c r="D2" s="3" t="s">
        <v>432</v>
      </c>
      <c r="E2" s="3" t="s">
        <v>433</v>
      </c>
      <c r="F2" s="3" t="s">
        <v>434</v>
      </c>
      <c r="G2" s="3" t="s">
        <v>435</v>
      </c>
      <c r="H2" s="3" t="s">
        <v>436</v>
      </c>
      <c r="I2" s="3" t="s">
        <v>437</v>
      </c>
      <c r="J2" s="3" t="s">
        <v>438</v>
      </c>
      <c r="K2" s="3" t="s">
        <v>439</v>
      </c>
      <c r="L2" s="3" t="s">
        <v>440</v>
      </c>
      <c r="M2" s="3" t="s">
        <v>441</v>
      </c>
      <c r="N2" s="3" t="s">
        <v>442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429</v>
      </c>
      <c r="B3" s="5" t="s">
        <v>430</v>
      </c>
      <c r="C3" s="6">
        <v>0.22430555555555556</v>
      </c>
      <c r="D3" s="6">
        <v>0.27291666666666664</v>
      </c>
      <c r="E3" s="6">
        <v>0.3215277777777778</v>
      </c>
      <c r="F3" s="6">
        <v>0.3701388888888889</v>
      </c>
      <c r="G3" s="6">
        <v>0.4215277777777778</v>
      </c>
      <c r="H3" s="6">
        <v>0.4673611111111111</v>
      </c>
      <c r="I3" s="6">
        <v>0.51875</v>
      </c>
      <c r="J3" s="6">
        <v>0.5645833333333333</v>
      </c>
      <c r="K3" s="6">
        <v>0.6159722222222223</v>
      </c>
      <c r="L3" s="6">
        <v>0.6631944444444444</v>
      </c>
      <c r="M3" s="6">
        <v>0.7152777777777778</v>
      </c>
      <c r="N3" s="6">
        <v>0.7638888888888888</v>
      </c>
    </row>
    <row r="4">
      <c r="A4" s="1" t="s">
        <v>20</v>
      </c>
      <c r="B4" s="7" t="s">
        <v>21</v>
      </c>
      <c r="C4" s="8">
        <v>0.22847222222222222</v>
      </c>
      <c r="D4" s="8">
        <v>0.27708333333333335</v>
      </c>
      <c r="E4" s="8">
        <v>0.32569444444444445</v>
      </c>
      <c r="F4" s="8">
        <v>0.37430555555555556</v>
      </c>
      <c r="G4" s="8">
        <v>0.42569444444444443</v>
      </c>
      <c r="H4" s="8">
        <v>0.47152777777777777</v>
      </c>
      <c r="I4" s="8">
        <v>0.5229166666666667</v>
      </c>
      <c r="J4" s="8">
        <v>0.56875</v>
      </c>
      <c r="K4" s="8">
        <v>0.6201388888888889</v>
      </c>
      <c r="L4" s="8">
        <v>0.6673611111111111</v>
      </c>
      <c r="M4" s="8">
        <v>0.7194444444444444</v>
      </c>
      <c r="N4" s="8">
        <v>0.7680555555555556</v>
      </c>
    </row>
    <row r="5">
      <c r="A5" s="1" t="s">
        <v>103</v>
      </c>
      <c r="B5" s="7" t="s">
        <v>104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>
      <c r="A6" s="7" t="s">
        <v>18</v>
      </c>
      <c r="B6" s="7" t="s">
        <v>19</v>
      </c>
      <c r="C6" s="8">
        <v>0.2326388888888889</v>
      </c>
      <c r="D6" s="8">
        <v>0.28125</v>
      </c>
      <c r="E6" s="8">
        <v>0.3298611111111111</v>
      </c>
      <c r="F6" s="8">
        <v>0.3784722222222222</v>
      </c>
      <c r="G6" s="8">
        <v>0.42986111111111114</v>
      </c>
      <c r="H6" s="8">
        <v>0.4756944444444444</v>
      </c>
      <c r="I6" s="8">
        <v>0.5270833333333333</v>
      </c>
      <c r="J6" s="8">
        <v>0.5729166666666666</v>
      </c>
      <c r="K6" s="8">
        <v>0.6243055555555556</v>
      </c>
      <c r="L6" s="8">
        <v>0.6715277777777777</v>
      </c>
      <c r="M6" s="8">
        <v>0.7236111111111111</v>
      </c>
      <c r="N6" s="8">
        <v>0.7722222222222223</v>
      </c>
    </row>
    <row r="7">
      <c r="A7" s="7" t="s">
        <v>105</v>
      </c>
      <c r="B7" s="7" t="s">
        <v>106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>
      <c r="A8" s="7" t="s">
        <v>16</v>
      </c>
      <c r="B8" s="7" t="s">
        <v>17</v>
      </c>
      <c r="C8" s="8">
        <v>0.23819444444444443</v>
      </c>
      <c r="D8" s="8">
        <v>0.28680555555555554</v>
      </c>
      <c r="E8" s="8">
        <v>0.33541666666666664</v>
      </c>
      <c r="F8" s="8">
        <v>0.3840277777777778</v>
      </c>
      <c r="G8" s="8">
        <v>0.4354166666666667</v>
      </c>
      <c r="H8" s="8">
        <v>0.48125</v>
      </c>
      <c r="I8" s="8">
        <v>0.5326388888888889</v>
      </c>
      <c r="J8" s="8">
        <v>0.5784722222222223</v>
      </c>
      <c r="K8" s="8">
        <v>0.6298611111111111</v>
      </c>
      <c r="L8" s="8">
        <v>0.6770833333333334</v>
      </c>
      <c r="M8" s="8">
        <v>0.7291666666666666</v>
      </c>
      <c r="N8" s="8">
        <v>0.7777777777777778</v>
      </c>
    </row>
    <row r="9">
      <c r="A9" s="1" t="s">
        <v>14</v>
      </c>
      <c r="B9" s="7" t="s">
        <v>15</v>
      </c>
      <c r="C9" s="8">
        <v>0.24166666666666667</v>
      </c>
      <c r="D9" s="8">
        <v>0.2902777777777778</v>
      </c>
      <c r="E9" s="8">
        <v>0.3388888888888889</v>
      </c>
      <c r="F9" s="8">
        <v>0.3875</v>
      </c>
      <c r="G9" s="8">
        <v>0.4388888888888889</v>
      </c>
      <c r="H9" s="8">
        <v>0.4847222222222222</v>
      </c>
      <c r="I9" s="8">
        <v>0.5361111111111111</v>
      </c>
      <c r="J9" s="8">
        <v>0.5819444444444445</v>
      </c>
      <c r="K9" s="8">
        <v>0.6333333333333333</v>
      </c>
      <c r="L9" s="8">
        <v>0.6805555555555556</v>
      </c>
      <c r="M9" s="8">
        <v>0.7326388888888888</v>
      </c>
      <c r="N9" s="8">
        <v>0.78125</v>
      </c>
    </row>
    <row r="10">
      <c r="A10" s="1" t="s">
        <v>12</v>
      </c>
      <c r="B10" s="7" t="s">
        <v>13</v>
      </c>
      <c r="C10" s="8">
        <v>0.24583333333333332</v>
      </c>
      <c r="D10" s="8">
        <v>0.29444444444444445</v>
      </c>
      <c r="E10" s="8">
        <v>0.34305555555555556</v>
      </c>
      <c r="F10" s="8">
        <v>0.39166666666666666</v>
      </c>
      <c r="G10" s="8">
        <v>0.44305555555555554</v>
      </c>
      <c r="H10" s="8">
        <v>0.4888888888888889</v>
      </c>
      <c r="I10" s="8">
        <v>0.5402777777777777</v>
      </c>
      <c r="J10" s="8">
        <v>0.5861111111111111</v>
      </c>
      <c r="K10" s="8">
        <v>0.6375</v>
      </c>
      <c r="L10" s="8">
        <v>0.6847222222222222</v>
      </c>
      <c r="M10" s="8">
        <v>0.7368055555555556</v>
      </c>
      <c r="N10" s="8">
        <v>0.7854166666666667</v>
      </c>
    </row>
    <row r="11">
      <c r="A11" s="7" t="s">
        <v>107</v>
      </c>
      <c r="B11" s="7" t="s">
        <v>108</v>
      </c>
      <c r="C11" s="8">
        <v>0.2513888888888889</v>
      </c>
      <c r="D11" s="8">
        <v>0.3</v>
      </c>
      <c r="E11" s="8">
        <v>0.3486111111111111</v>
      </c>
      <c r="F11" s="8">
        <v>0.3972222222222222</v>
      </c>
      <c r="G11" s="8">
        <v>0.4486111111111111</v>
      </c>
      <c r="H11" s="8">
        <v>0.49444444444444446</v>
      </c>
      <c r="I11" s="8">
        <v>0.5458333333333333</v>
      </c>
      <c r="J11" s="8">
        <v>0.5916666666666667</v>
      </c>
      <c r="K11" s="8">
        <v>0.6430555555555556</v>
      </c>
      <c r="L11" s="8">
        <v>0.6902777777777778</v>
      </c>
      <c r="M11" s="8">
        <v>0.7423611111111111</v>
      </c>
      <c r="N11" s="8">
        <v>0.7909722222222222</v>
      </c>
    </row>
    <row r="12">
      <c r="A12" s="7" t="s">
        <v>109</v>
      </c>
      <c r="B12" s="7" t="s">
        <v>110</v>
      </c>
      <c r="C12" s="8">
        <v>0.25555555555555554</v>
      </c>
      <c r="D12" s="8">
        <v>0.30416666666666664</v>
      </c>
      <c r="E12" s="8">
        <v>0.3527777777777778</v>
      </c>
      <c r="F12" s="8">
        <v>0.4013888888888889</v>
      </c>
      <c r="G12" s="8">
        <v>0.4527777777777778</v>
      </c>
      <c r="H12" s="8">
        <v>0.4986111111111111</v>
      </c>
      <c r="I12" s="8">
        <v>0.55</v>
      </c>
      <c r="J12" s="8">
        <v>0.5958333333333333</v>
      </c>
      <c r="K12" s="8">
        <v>0.6472222222222223</v>
      </c>
      <c r="L12" s="8">
        <v>0.6944444444444444</v>
      </c>
      <c r="M12" s="8">
        <v>0.7465277777777778</v>
      </c>
      <c r="N12" s="8">
        <v>0.7951388888888888</v>
      </c>
    </row>
    <row r="13">
      <c r="A13" s="1" t="s">
        <v>113</v>
      </c>
      <c r="B13" s="7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>
      <c r="A14" s="7" t="s">
        <v>115</v>
      </c>
      <c r="B14" s="7" t="s">
        <v>116</v>
      </c>
      <c r="C14" s="8">
        <v>0.2659722222222222</v>
      </c>
      <c r="D14" s="8">
        <v>0.3145833333333333</v>
      </c>
      <c r="E14" s="8">
        <v>0.36319444444444443</v>
      </c>
      <c r="F14" s="8">
        <v>0.41180555555555554</v>
      </c>
      <c r="G14" s="8">
        <v>0.46319444444444446</v>
      </c>
      <c r="H14" s="8">
        <v>0.5090277777777777</v>
      </c>
      <c r="I14" s="8">
        <v>0.5604166666666667</v>
      </c>
      <c r="J14" s="8">
        <v>0.60625</v>
      </c>
      <c r="K14" s="8">
        <v>0.6576388888888889</v>
      </c>
      <c r="L14" s="8">
        <v>0.7048611111111112</v>
      </c>
      <c r="M14" s="8">
        <v>0.7569444444444444</v>
      </c>
      <c r="N14" s="8">
        <v>0.8055555555555556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8"/>
      <c r="T17" s="8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4"/>
    </row>
    <row r="21">
      <c r="A21" s="162"/>
      <c r="B21" s="162"/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</row>
    <row r="22">
      <c r="A22" s="162"/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2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1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8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8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8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8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8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8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8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8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8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8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8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45890.0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52" t="s">
        <v>417</v>
      </c>
      <c r="D2" s="152" t="s">
        <v>418</v>
      </c>
      <c r="E2" s="152" t="s">
        <v>427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115</v>
      </c>
      <c r="B3" s="5" t="s">
        <v>116</v>
      </c>
      <c r="C3" s="6">
        <v>0.2048611111111111</v>
      </c>
      <c r="D3" s="6">
        <v>0.3159722222222222</v>
      </c>
      <c r="E3" s="6">
        <v>0.6944444444444444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113</v>
      </c>
      <c r="B4" s="7" t="s">
        <v>114</v>
      </c>
      <c r="D4" s="10"/>
      <c r="E4" s="10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109</v>
      </c>
      <c r="B5" s="7" t="s">
        <v>110</v>
      </c>
      <c r="C5" s="8">
        <v>0.21388888888888888</v>
      </c>
      <c r="D5" s="8">
        <v>0.325</v>
      </c>
      <c r="E5" s="8">
        <v>0.7034722222222223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107</v>
      </c>
      <c r="B6" s="7" t="s">
        <v>108</v>
      </c>
      <c r="C6" s="8">
        <v>0.21805555555555556</v>
      </c>
      <c r="D6" s="8">
        <v>0.32916666666666666</v>
      </c>
      <c r="E6" s="8">
        <v>0.7076388888888889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12</v>
      </c>
      <c r="B7" s="7" t="s">
        <v>13</v>
      </c>
      <c r="C7" s="8">
        <v>0.22361111111111112</v>
      </c>
      <c r="D7" s="8">
        <v>0.3347222222222222</v>
      </c>
      <c r="E7" s="8">
        <v>0.7131944444444445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14</v>
      </c>
      <c r="B8" s="7" t="s">
        <v>15</v>
      </c>
      <c r="C8" s="8">
        <v>0.22777777777777777</v>
      </c>
      <c r="D8" s="8">
        <v>0.3388888888888889</v>
      </c>
      <c r="E8" s="8">
        <v>0.7173611111111111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16</v>
      </c>
      <c r="B9" s="7" t="s">
        <v>17</v>
      </c>
      <c r="C9" s="8">
        <v>0.23055555555555557</v>
      </c>
      <c r="D9" s="8">
        <v>0.3416666666666667</v>
      </c>
      <c r="E9" s="8">
        <v>0.7201388888888889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105</v>
      </c>
      <c r="B10" s="7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18</v>
      </c>
      <c r="B11" s="7" t="s">
        <v>19</v>
      </c>
      <c r="C11" s="8">
        <v>0.2361111111111111</v>
      </c>
      <c r="D11" s="8">
        <v>0.3472222222222222</v>
      </c>
      <c r="E11" s="8">
        <v>0.7256944444444444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20</v>
      </c>
      <c r="B13" s="7" t="s">
        <v>21</v>
      </c>
      <c r="C13" s="8">
        <v>0.23958333333333334</v>
      </c>
      <c r="D13" s="8">
        <v>0.3506944444444444</v>
      </c>
      <c r="E13" s="8">
        <v>0.7291666666666666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429</v>
      </c>
      <c r="B14" s="7" t="s">
        <v>430</v>
      </c>
      <c r="C14" s="8">
        <v>0.2465277777777778</v>
      </c>
      <c r="D14" s="8">
        <v>0.3576388888888889</v>
      </c>
      <c r="E14" s="8">
        <v>0.7361111111111112</v>
      </c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3"/>
      <c r="B17" s="12"/>
      <c r="C17" s="12"/>
      <c r="D17" s="12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7"/>
      <c r="C18" s="12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4"/>
      <c r="C20" s="14"/>
      <c r="D20" s="14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5"/>
      <c r="C24" s="162"/>
      <c r="D24" s="16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5"/>
      <c r="C26" s="162"/>
      <c r="D26" s="16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'MAB-to-BELLE_Sat'!B1</f>
        <v>45890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52" t="s">
        <v>431</v>
      </c>
      <c r="D2" s="152" t="s">
        <v>432</v>
      </c>
      <c r="E2" s="152" t="s">
        <v>440</v>
      </c>
      <c r="F2" s="152" t="s">
        <v>441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429</v>
      </c>
      <c r="B3" s="5" t="s">
        <v>430</v>
      </c>
      <c r="C3" s="6">
        <v>0.2569444444444444</v>
      </c>
      <c r="D3" s="6">
        <v>0.3680555555555556</v>
      </c>
      <c r="E3" s="6">
        <v>0.625</v>
      </c>
      <c r="F3" s="6">
        <v>0.7569444444444444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20</v>
      </c>
      <c r="B4" s="7" t="s">
        <v>21</v>
      </c>
      <c r="C4" s="8">
        <v>0.2611111111111111</v>
      </c>
      <c r="D4" s="8">
        <v>0.37222222222222223</v>
      </c>
      <c r="E4" s="8">
        <v>0.6291666666666667</v>
      </c>
      <c r="F4" s="8">
        <v>0.7611111111111111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103</v>
      </c>
      <c r="B5" s="7" t="s">
        <v>104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18</v>
      </c>
      <c r="B6" s="7" t="s">
        <v>19</v>
      </c>
      <c r="C6" s="8">
        <v>0.2652777777777778</v>
      </c>
      <c r="D6" s="8">
        <v>0.3763888888888889</v>
      </c>
      <c r="E6" s="8">
        <v>0.6333333333333333</v>
      </c>
      <c r="F6" s="8">
        <v>0.7652777777777777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105</v>
      </c>
      <c r="B7" s="7" t="s">
        <v>106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16</v>
      </c>
      <c r="B8" s="7" t="s">
        <v>17</v>
      </c>
      <c r="C8" s="8">
        <v>0.2708333333333333</v>
      </c>
      <c r="D8" s="8">
        <v>0.3819444444444444</v>
      </c>
      <c r="E8" s="8">
        <v>0.6388888888888888</v>
      </c>
      <c r="F8" s="8">
        <v>0.7708333333333334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14</v>
      </c>
      <c r="B9" s="7" t="s">
        <v>15</v>
      </c>
      <c r="C9" s="8">
        <v>0.2743055555555556</v>
      </c>
      <c r="D9" s="8">
        <v>0.3854166666666667</v>
      </c>
      <c r="E9" s="8">
        <v>0.6423611111111112</v>
      </c>
      <c r="F9" s="8">
        <v>0.7743055555555556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12</v>
      </c>
      <c r="B10" s="7" t="s">
        <v>13</v>
      </c>
      <c r="C10" s="8">
        <v>0.27847222222222223</v>
      </c>
      <c r="D10" s="8">
        <v>0.38958333333333334</v>
      </c>
      <c r="E10" s="8">
        <v>0.6465277777777778</v>
      </c>
      <c r="F10" s="8">
        <v>0.7784722222222222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107</v>
      </c>
      <c r="B11" s="7" t="s">
        <v>108</v>
      </c>
      <c r="C11" s="8">
        <v>0.28402777777777777</v>
      </c>
      <c r="D11" s="8">
        <v>0.3951388888888889</v>
      </c>
      <c r="E11" s="8">
        <v>0.6520833333333333</v>
      </c>
      <c r="F11" s="8">
        <v>0.7840277777777778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109</v>
      </c>
      <c r="B12" s="7" t="s">
        <v>110</v>
      </c>
      <c r="C12" s="8">
        <v>0.2881944444444444</v>
      </c>
      <c r="D12" s="8">
        <v>0.3993055555555556</v>
      </c>
      <c r="E12" s="8">
        <v>0.65625</v>
      </c>
      <c r="F12" s="8">
        <v>0.7881944444444444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113</v>
      </c>
      <c r="B13" s="7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115</v>
      </c>
      <c r="B14" s="7" t="s">
        <v>116</v>
      </c>
      <c r="C14" s="8">
        <v>0.2986111111111111</v>
      </c>
      <c r="D14" s="8">
        <v>0.4097222222222222</v>
      </c>
      <c r="E14" s="8">
        <v>0.6666666666666666</v>
      </c>
      <c r="F14" s="8">
        <v>0.7986111111111112</v>
      </c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4"/>
      <c r="C18" s="12"/>
      <c r="D18" s="12"/>
      <c r="E18" s="12"/>
      <c r="F18" s="12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3"/>
      <c r="C20" s="163"/>
      <c r="D20" s="163"/>
      <c r="E20" s="163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5"/>
      <c r="C22" s="162"/>
      <c r="D22" s="162"/>
      <c r="E22" s="16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5"/>
      <c r="C28" s="162"/>
      <c r="D28" s="162"/>
      <c r="E28" s="16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45922.0</v>
      </c>
      <c r="C1" s="96" t="s">
        <v>186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7601.0</v>
      </c>
      <c r="D2" s="1">
        <v>7607.0</v>
      </c>
      <c r="E2" s="1">
        <v>7603.0</v>
      </c>
      <c r="F2" s="1">
        <v>7605.0</v>
      </c>
      <c r="G2" s="1">
        <v>7611.0</v>
      </c>
      <c r="H2" s="1">
        <v>7627.0</v>
      </c>
      <c r="I2" s="1">
        <v>7629.0</v>
      </c>
      <c r="J2" s="1">
        <v>7631.0</v>
      </c>
      <c r="K2" s="1">
        <v>7635.0</v>
      </c>
      <c r="L2" s="1">
        <v>7637.0</v>
      </c>
      <c r="M2" s="1">
        <v>7639.0</v>
      </c>
      <c r="N2" s="1">
        <v>7629.0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213</v>
      </c>
      <c r="C3" s="6">
        <v>0.1875</v>
      </c>
      <c r="D3" s="6">
        <v>0.2326388888888889</v>
      </c>
      <c r="E3" s="6">
        <v>0.2708333333333333</v>
      </c>
      <c r="F3" s="6">
        <v>0.3090277777777778</v>
      </c>
      <c r="G3" s="6">
        <v>0.3506944444444444</v>
      </c>
      <c r="H3" s="6">
        <v>0.4340277777777778</v>
      </c>
      <c r="I3" s="6">
        <v>0.5208333333333334</v>
      </c>
      <c r="J3" s="6">
        <v>0.6041666666666666</v>
      </c>
      <c r="K3" s="6">
        <v>0.6840277777777778</v>
      </c>
      <c r="L3" s="6">
        <v>0.7152777777777778</v>
      </c>
      <c r="M3" s="6">
        <v>0.7638888888888888</v>
      </c>
      <c r="N3" s="6">
        <v>0.8194444444444444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" t="s">
        <v>443</v>
      </c>
      <c r="B4" s="7" t="s">
        <v>444</v>
      </c>
      <c r="C4" s="8">
        <v>0.19930555555555554</v>
      </c>
      <c r="D4" s="8">
        <v>0.24444444444444444</v>
      </c>
      <c r="E4" s="8">
        <v>0.2826388888888889</v>
      </c>
      <c r="F4" s="8">
        <v>0.3208333333333333</v>
      </c>
      <c r="G4" s="8">
        <v>0.36249999999999993</v>
      </c>
      <c r="H4" s="8">
        <v>0.4458333333333333</v>
      </c>
      <c r="I4" s="8">
        <v>0.5326388888888889</v>
      </c>
      <c r="J4" s="8">
        <v>0.6159722222222221</v>
      </c>
      <c r="K4" s="8">
        <v>0.6958333333333333</v>
      </c>
      <c r="L4" s="8">
        <v>0.7270833333333333</v>
      </c>
      <c r="M4" s="8">
        <v>0.7756944444444444</v>
      </c>
      <c r="N4" s="8">
        <v>0.8312499999999999</v>
      </c>
      <c r="O4" s="8"/>
      <c r="P4" s="8"/>
      <c r="Q4" s="8"/>
      <c r="R4" s="8"/>
      <c r="S4" s="8"/>
      <c r="T4" s="8"/>
    </row>
    <row r="5">
      <c r="A5" s="1" t="s">
        <v>445</v>
      </c>
      <c r="B5" s="7" t="s">
        <v>446</v>
      </c>
      <c r="C5" s="8">
        <v>0.21041666666666667</v>
      </c>
      <c r="D5" s="8">
        <v>0.25555555555555554</v>
      </c>
      <c r="E5" s="8">
        <v>0.29375</v>
      </c>
      <c r="F5" s="8">
        <v>0.33194444444444443</v>
      </c>
      <c r="G5" s="8">
        <v>0.37361111111111106</v>
      </c>
      <c r="H5" s="8">
        <v>0.45694444444444443</v>
      </c>
      <c r="I5" s="8">
        <v>0.54375</v>
      </c>
      <c r="J5" s="8">
        <v>0.6270833333333332</v>
      </c>
      <c r="K5" s="8">
        <v>0.7069444444444444</v>
      </c>
      <c r="L5" s="8">
        <v>0.7381944444444444</v>
      </c>
      <c r="M5" s="8">
        <v>0.7868055555555555</v>
      </c>
      <c r="N5" s="8">
        <v>0.8423611111111111</v>
      </c>
      <c r="O5" s="8"/>
      <c r="P5" s="8"/>
      <c r="Q5" s="8"/>
      <c r="R5" s="8"/>
      <c r="S5" s="8"/>
      <c r="T5" s="8"/>
    </row>
    <row r="6">
      <c r="A6" s="7" t="s">
        <v>447</v>
      </c>
      <c r="B6" s="7" t="s">
        <v>448</v>
      </c>
      <c r="C6" s="8">
        <v>0.21388888888888888</v>
      </c>
      <c r="D6" s="8">
        <v>0.25902777777777775</v>
      </c>
      <c r="E6" s="8">
        <v>0.2972222222222222</v>
      </c>
      <c r="F6" s="8">
        <v>0.33541666666666664</v>
      </c>
      <c r="G6" s="8">
        <v>0.37708333333333327</v>
      </c>
      <c r="H6" s="8">
        <v>0.46041666666666664</v>
      </c>
      <c r="I6" s="8">
        <v>0.5472222222222222</v>
      </c>
      <c r="J6" s="8">
        <v>0.6305555555555554</v>
      </c>
      <c r="K6" s="8">
        <v>0.7104166666666666</v>
      </c>
      <c r="L6" s="8">
        <v>0.7416666666666666</v>
      </c>
      <c r="M6" s="8">
        <v>0.7902777777777777</v>
      </c>
      <c r="N6" s="8">
        <v>0.8458333333333333</v>
      </c>
      <c r="O6" s="8"/>
      <c r="P6" s="8"/>
      <c r="Q6" s="8"/>
      <c r="R6" s="8"/>
      <c r="S6" s="8"/>
      <c r="T6" s="8"/>
    </row>
    <row r="7">
      <c r="A7" s="7" t="s">
        <v>449</v>
      </c>
      <c r="B7" s="7" t="s">
        <v>450</v>
      </c>
      <c r="C7" s="8">
        <v>0.21666666666666665</v>
      </c>
      <c r="D7" s="8">
        <v>0.2618055555555555</v>
      </c>
      <c r="E7" s="8">
        <v>0.3</v>
      </c>
      <c r="F7" s="8">
        <v>0.3381944444444444</v>
      </c>
      <c r="G7" s="8">
        <v>0.37986111111111104</v>
      </c>
      <c r="H7" s="8">
        <v>0.4631944444444444</v>
      </c>
      <c r="I7" s="8">
        <v>0.5499999999999999</v>
      </c>
      <c r="J7" s="8">
        <v>0.6333333333333332</v>
      </c>
      <c r="K7" s="8">
        <v>0.7131944444444444</v>
      </c>
      <c r="L7" s="8">
        <v>0.7444444444444444</v>
      </c>
      <c r="M7" s="8">
        <v>0.7930555555555555</v>
      </c>
      <c r="N7" s="8">
        <v>0.8486111111111111</v>
      </c>
      <c r="O7" s="8"/>
      <c r="P7" s="8"/>
      <c r="Q7" s="8"/>
      <c r="R7" s="8"/>
      <c r="S7" s="8"/>
      <c r="T7" s="8"/>
    </row>
    <row r="8">
      <c r="A8" s="7" t="s">
        <v>451</v>
      </c>
      <c r="B8" s="7" t="s">
        <v>452</v>
      </c>
      <c r="C8" s="8">
        <v>0.22083333333333335</v>
      </c>
      <c r="D8" s="8">
        <v>0.2659722222222222</v>
      </c>
      <c r="E8" s="8">
        <v>0.3041666666666667</v>
      </c>
      <c r="F8" s="8">
        <v>0.3423611111111111</v>
      </c>
      <c r="G8" s="8">
        <v>0.38402777777777775</v>
      </c>
      <c r="H8" s="8">
        <v>0.4673611111111111</v>
      </c>
      <c r="I8" s="8">
        <v>0.5541666666666667</v>
      </c>
      <c r="J8" s="8">
        <v>0.6375</v>
      </c>
      <c r="K8" s="8">
        <v>0.7173611111111111</v>
      </c>
      <c r="L8" s="8">
        <v>0.7486111111111111</v>
      </c>
      <c r="M8" s="8">
        <v>0.7972222222222223</v>
      </c>
      <c r="N8" s="8">
        <v>0.8527777777777779</v>
      </c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1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1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"/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>
      <c r="A16" s="1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"/>
      <c r="B17" s="8"/>
      <c r="C17" s="8"/>
      <c r="D17" s="11"/>
      <c r="E17" s="11"/>
      <c r="F17" s="11"/>
      <c r="G17" s="11"/>
      <c r="H17" s="11"/>
      <c r="I17" s="11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8"/>
      <c r="C18" s="12"/>
      <c r="D18" s="12"/>
      <c r="E18" s="12"/>
      <c r="F18" s="12"/>
      <c r="G18" s="12"/>
      <c r="H18" s="12"/>
      <c r="I18" s="12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B19" s="8"/>
      <c r="C19" s="12"/>
      <c r="D19" s="12"/>
      <c r="E19" s="12"/>
      <c r="F19" s="12"/>
      <c r="G19" s="12"/>
      <c r="H19" s="12"/>
      <c r="I19" s="12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8"/>
      <c r="C20" s="14"/>
      <c r="D20" s="14"/>
      <c r="E20" s="14"/>
      <c r="F20" s="14"/>
      <c r="G20" s="14"/>
      <c r="H20" s="14"/>
      <c r="I20" s="14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2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'GERM-to-KWESI_Weekday'!B1</f>
        <v>45922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7600.0</v>
      </c>
      <c r="D2" s="1">
        <v>7602.0</v>
      </c>
      <c r="E2" s="1">
        <v>7604.0</v>
      </c>
      <c r="F2" s="1">
        <v>7606.0</v>
      </c>
      <c r="G2" s="1">
        <v>7608.0</v>
      </c>
      <c r="H2" s="1">
        <v>7610.0</v>
      </c>
      <c r="I2" s="1">
        <v>7622.0</v>
      </c>
      <c r="J2" s="1">
        <v>7628.0</v>
      </c>
      <c r="K2" s="1">
        <v>7630.0</v>
      </c>
      <c r="L2" s="1">
        <v>7634.0</v>
      </c>
      <c r="M2" s="1">
        <v>7636.0</v>
      </c>
      <c r="N2" s="1">
        <v>7638.0</v>
      </c>
      <c r="O2" s="1">
        <v>7640.0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451</v>
      </c>
      <c r="B3" s="5" t="s">
        <v>452</v>
      </c>
      <c r="C3" s="6">
        <v>0.14583333333333334</v>
      </c>
      <c r="D3" s="6">
        <v>0.1909722222222222</v>
      </c>
      <c r="E3" s="6">
        <v>0.22569444444444445</v>
      </c>
      <c r="F3" s="6">
        <v>0.2708333333333333</v>
      </c>
      <c r="G3" s="6">
        <v>0.3104166666666667</v>
      </c>
      <c r="H3" s="6">
        <v>0.35208333333333336</v>
      </c>
      <c r="I3" s="6">
        <v>0.3888888888888889</v>
      </c>
      <c r="J3" s="6">
        <v>0.47708333333333336</v>
      </c>
      <c r="K3" s="6">
        <v>0.5604166666666667</v>
      </c>
      <c r="L3" s="6">
        <v>0.6458333333333334</v>
      </c>
      <c r="M3" s="6">
        <v>0.7222222222222222</v>
      </c>
      <c r="N3" s="6">
        <v>0.76875</v>
      </c>
      <c r="O3" s="6">
        <v>0.8173611111111111</v>
      </c>
      <c r="P3" s="6"/>
      <c r="Q3" s="6"/>
      <c r="R3" s="6"/>
      <c r="S3" s="6"/>
      <c r="T3" s="6"/>
    </row>
    <row r="4">
      <c r="A4" s="1" t="s">
        <v>449</v>
      </c>
      <c r="B4" s="9" t="s">
        <v>450</v>
      </c>
      <c r="C4" s="8">
        <v>0.14930555555555555</v>
      </c>
      <c r="D4" s="8">
        <v>0.19444444444444442</v>
      </c>
      <c r="E4" s="8">
        <v>0.22916666666666666</v>
      </c>
      <c r="F4" s="8">
        <v>0.2743055555555555</v>
      </c>
      <c r="G4" s="8">
        <v>0.3138888888888889</v>
      </c>
      <c r="H4" s="8">
        <v>0.35555555555555557</v>
      </c>
      <c r="I4" s="8">
        <v>0.3923611111111111</v>
      </c>
      <c r="J4" s="8">
        <v>0.48055555555555557</v>
      </c>
      <c r="K4" s="8">
        <v>0.5638888888888889</v>
      </c>
      <c r="L4" s="8">
        <v>0.6493055555555556</v>
      </c>
      <c r="M4" s="8">
        <v>0.7256944444444444</v>
      </c>
      <c r="N4" s="8">
        <v>0.7722222222222223</v>
      </c>
      <c r="O4" s="8">
        <v>0.8208333333333333</v>
      </c>
      <c r="P4" s="8"/>
      <c r="Q4" s="8"/>
      <c r="R4" s="8"/>
      <c r="S4" s="8"/>
      <c r="T4" s="8"/>
    </row>
    <row r="5">
      <c r="A5" s="1" t="s">
        <v>447</v>
      </c>
      <c r="B5" s="9" t="s">
        <v>448</v>
      </c>
      <c r="C5" s="8">
        <v>0.15208333333333338</v>
      </c>
      <c r="D5" s="8">
        <v>0.19722222222222224</v>
      </c>
      <c r="E5" s="8">
        <v>0.23194444444444448</v>
      </c>
      <c r="F5" s="8">
        <v>0.27708333333333335</v>
      </c>
      <c r="G5" s="8">
        <v>0.3166666666666667</v>
      </c>
      <c r="H5" s="8">
        <v>0.3583333333333334</v>
      </c>
      <c r="I5" s="8">
        <v>0.39513888888888893</v>
      </c>
      <c r="J5" s="8">
        <v>0.4833333333333334</v>
      </c>
      <c r="K5" s="8">
        <v>0.5666666666666667</v>
      </c>
      <c r="L5" s="8">
        <v>0.6520833333333333</v>
      </c>
      <c r="M5" s="8">
        <v>0.7284722222222222</v>
      </c>
      <c r="N5" s="8">
        <v>0.7750000000000001</v>
      </c>
      <c r="O5" s="8">
        <v>0.8236111111111111</v>
      </c>
      <c r="P5" s="8"/>
      <c r="Q5" s="8"/>
      <c r="R5" s="8"/>
      <c r="S5" s="8"/>
      <c r="T5" s="8"/>
    </row>
    <row r="6">
      <c r="A6" s="7" t="s">
        <v>445</v>
      </c>
      <c r="B6" s="9" t="s">
        <v>446</v>
      </c>
      <c r="C6" s="8">
        <v>0.15486111111111114</v>
      </c>
      <c r="D6" s="8">
        <v>0.2</v>
      </c>
      <c r="E6" s="8">
        <v>0.23472222222222225</v>
      </c>
      <c r="F6" s="8">
        <v>0.2798611111111111</v>
      </c>
      <c r="G6" s="8">
        <v>0.3194444444444445</v>
      </c>
      <c r="H6" s="8">
        <v>0.36111111111111116</v>
      </c>
      <c r="I6" s="8">
        <v>0.3979166666666667</v>
      </c>
      <c r="J6" s="8">
        <v>0.48611111111111116</v>
      </c>
      <c r="K6" s="8">
        <v>0.5694444444444444</v>
      </c>
      <c r="L6" s="8">
        <v>0.6548611111111111</v>
      </c>
      <c r="M6" s="8">
        <v>0.73125</v>
      </c>
      <c r="N6" s="8">
        <v>0.7777777777777779</v>
      </c>
      <c r="O6" s="8">
        <v>0.8263888888888888</v>
      </c>
      <c r="P6" s="8"/>
      <c r="Q6" s="8"/>
      <c r="R6" s="8"/>
      <c r="S6" s="8"/>
      <c r="T6" s="8"/>
    </row>
    <row r="7">
      <c r="A7" s="7" t="s">
        <v>443</v>
      </c>
      <c r="B7" s="7" t="s">
        <v>444</v>
      </c>
      <c r="C7" s="8">
        <v>0.1666666666666667</v>
      </c>
      <c r="D7" s="8">
        <v>0.21180555555555558</v>
      </c>
      <c r="E7" s="8">
        <v>0.24652777777777782</v>
      </c>
      <c r="F7" s="8">
        <v>0.2916666666666667</v>
      </c>
      <c r="G7" s="8">
        <v>0.33125000000000004</v>
      </c>
      <c r="H7" s="8">
        <v>0.37291666666666673</v>
      </c>
      <c r="I7" s="8">
        <v>0.40972222222222227</v>
      </c>
      <c r="J7" s="8">
        <v>0.49791666666666673</v>
      </c>
      <c r="K7" s="8">
        <v>0.58125</v>
      </c>
      <c r="L7" s="8">
        <v>0.6666666666666667</v>
      </c>
      <c r="M7" s="8">
        <v>0.7430555555555556</v>
      </c>
      <c r="N7" s="8">
        <v>0.7895833333333335</v>
      </c>
      <c r="O7" s="8">
        <v>0.8381944444444445</v>
      </c>
      <c r="P7" s="8"/>
      <c r="Q7" s="8"/>
      <c r="R7" s="8"/>
      <c r="S7" s="8"/>
      <c r="T7" s="8"/>
    </row>
    <row r="8">
      <c r="A8" s="7" t="s">
        <v>49</v>
      </c>
      <c r="B8" s="7" t="s">
        <v>213</v>
      </c>
      <c r="C8" s="8">
        <v>0.17916666666666667</v>
      </c>
      <c r="D8" s="8">
        <v>0.22430555555555554</v>
      </c>
      <c r="E8" s="8">
        <v>0.25902777777777775</v>
      </c>
      <c r="F8" s="8">
        <v>0.30416666666666664</v>
      </c>
      <c r="G8" s="8">
        <v>0.34375</v>
      </c>
      <c r="H8" s="8">
        <v>0.3854166666666667</v>
      </c>
      <c r="I8" s="8">
        <v>0.4222222222222222</v>
      </c>
      <c r="J8" s="8">
        <v>0.5104166666666667</v>
      </c>
      <c r="K8" s="8">
        <v>0.59375</v>
      </c>
      <c r="L8" s="8">
        <v>0.6791666666666667</v>
      </c>
      <c r="M8" s="8">
        <v>0.7555555555555555</v>
      </c>
      <c r="N8" s="8">
        <v>0.8020833333333335</v>
      </c>
      <c r="O8" s="8">
        <v>0.8506944444444444</v>
      </c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4"/>
      <c r="B14" s="152"/>
      <c r="C14" s="8"/>
      <c r="D14" s="8"/>
      <c r="E14" s="8"/>
      <c r="F14" s="8"/>
      <c r="G14" s="8"/>
      <c r="H14" s="8"/>
      <c r="K14" s="8"/>
    </row>
    <row r="15">
      <c r="A15" s="1"/>
      <c r="B15" s="152"/>
      <c r="C15" s="8"/>
      <c r="D15" s="8"/>
      <c r="E15" s="8"/>
      <c r="F15" s="8"/>
      <c r="G15" s="8"/>
      <c r="H15" s="8"/>
      <c r="K15" s="8"/>
    </row>
    <row r="16">
      <c r="A16" s="1"/>
      <c r="B16" s="152"/>
      <c r="C16" s="8"/>
      <c r="D16" s="8"/>
      <c r="E16" s="8"/>
      <c r="F16" s="8"/>
      <c r="G16" s="8"/>
      <c r="H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152"/>
      <c r="C17" s="8"/>
      <c r="D17" s="8"/>
      <c r="E17" s="8"/>
      <c r="F17" s="8"/>
      <c r="G17" s="8"/>
      <c r="H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152"/>
      <c r="C18" s="8"/>
      <c r="D18" s="8"/>
      <c r="E18" s="8"/>
      <c r="F18" s="8"/>
      <c r="G18" s="8"/>
      <c r="H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B19" s="152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1" t="s">
        <v>196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7603.0</v>
      </c>
      <c r="D2" s="1">
        <v>7605.0</v>
      </c>
      <c r="E2" s="1">
        <v>7641.0</v>
      </c>
      <c r="F2" s="1">
        <v>7643.0</v>
      </c>
      <c r="G2" s="1">
        <v>7645.0</v>
      </c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213</v>
      </c>
      <c r="C3" s="6">
        <v>0.24305555555555555</v>
      </c>
      <c r="D3" s="6">
        <v>0.3229166666666667</v>
      </c>
      <c r="E3" s="6">
        <v>0.6041666666666666</v>
      </c>
      <c r="F3" s="6">
        <v>0.6875</v>
      </c>
      <c r="G3" s="6">
        <v>0.7708333333333334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443</v>
      </c>
      <c r="B4" s="7" t="s">
        <v>444</v>
      </c>
      <c r="C4" s="8">
        <v>0.2548611111111111</v>
      </c>
      <c r="D4" s="8">
        <v>0.33472222222222225</v>
      </c>
      <c r="E4" s="8">
        <v>0.6159722222222221</v>
      </c>
      <c r="F4" s="8">
        <v>0.6993055555555555</v>
      </c>
      <c r="G4" s="8">
        <v>0.7826388888888889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445</v>
      </c>
      <c r="B5" s="7" t="s">
        <v>446</v>
      </c>
      <c r="C5" s="8">
        <v>0.2659722222222222</v>
      </c>
      <c r="D5" s="8">
        <v>0.3458333333333334</v>
      </c>
      <c r="E5" s="8">
        <v>0.6270833333333332</v>
      </c>
      <c r="F5" s="8">
        <v>0.7104166666666667</v>
      </c>
      <c r="G5" s="8">
        <v>0.79375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447</v>
      </c>
      <c r="B6" s="7" t="s">
        <v>448</v>
      </c>
      <c r="C6" s="8">
        <v>0.26944444444444443</v>
      </c>
      <c r="D6" s="8">
        <v>0.3493055555555556</v>
      </c>
      <c r="E6" s="8">
        <v>0.6305555555555554</v>
      </c>
      <c r="F6" s="8">
        <v>0.7138888888888889</v>
      </c>
      <c r="G6" s="8">
        <v>0.7972222222222222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449</v>
      </c>
      <c r="B7" s="7" t="s">
        <v>450</v>
      </c>
      <c r="C7" s="8">
        <v>0.2722222222222222</v>
      </c>
      <c r="D7" s="8">
        <v>0.35208333333333336</v>
      </c>
      <c r="E7" s="8">
        <v>0.6333333333333332</v>
      </c>
      <c r="F7" s="8">
        <v>0.7166666666666667</v>
      </c>
      <c r="G7" s="8">
        <v>0.7999999999999999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451</v>
      </c>
      <c r="B8" s="7" t="s">
        <v>452</v>
      </c>
      <c r="C8" s="8">
        <v>0.2763888888888889</v>
      </c>
      <c r="D8" s="8">
        <v>0.35625000000000007</v>
      </c>
      <c r="E8" s="8">
        <v>0.6375</v>
      </c>
      <c r="F8" s="8">
        <v>0.7208333333333334</v>
      </c>
      <c r="G8" s="8">
        <v>0.8041666666666667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6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11"/>
      <c r="O20" s="11"/>
      <c r="P20" s="11"/>
      <c r="Q20" s="11"/>
      <c r="R20" s="11"/>
      <c r="S20" s="11"/>
      <c r="T20" s="11"/>
    </row>
    <row r="21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'GERM-to-KWESI_Sat'!B1</f>
        <v>Unspecified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7602.0</v>
      </c>
      <c r="D2" s="1">
        <v>7604.0</v>
      </c>
      <c r="E2" s="1">
        <v>7606.0</v>
      </c>
      <c r="F2" s="1">
        <v>7642.0</v>
      </c>
      <c r="G2" s="1">
        <v>7644.0</v>
      </c>
      <c r="H2" s="1">
        <v>7648.0</v>
      </c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451</v>
      </c>
      <c r="B3" s="5" t="s">
        <v>452</v>
      </c>
      <c r="C3" s="6">
        <v>0.2048611111111111</v>
      </c>
      <c r="D3" s="6">
        <v>0.2847222222222222</v>
      </c>
      <c r="E3" s="6">
        <v>0.3611111111111111</v>
      </c>
      <c r="F3" s="6">
        <v>0.6423611111111112</v>
      </c>
      <c r="G3" s="6">
        <v>0.7256944444444444</v>
      </c>
      <c r="H3" s="6">
        <v>0.8125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449</v>
      </c>
      <c r="B4" s="9" t="s">
        <v>450</v>
      </c>
      <c r="C4" s="8">
        <v>0.20833333333333331</v>
      </c>
      <c r="D4" s="8">
        <v>0.2881944444444444</v>
      </c>
      <c r="E4" s="8">
        <v>0.3645833333333333</v>
      </c>
      <c r="F4" s="8">
        <v>0.6458333333333334</v>
      </c>
      <c r="G4" s="8">
        <v>0.7291666666666666</v>
      </c>
      <c r="H4" s="8">
        <v>0.8159722222222222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447</v>
      </c>
      <c r="B5" s="9" t="s">
        <v>448</v>
      </c>
      <c r="C5" s="8">
        <v>0.21111111111111114</v>
      </c>
      <c r="D5" s="8">
        <v>0.29097222222222224</v>
      </c>
      <c r="E5" s="8">
        <v>0.36736111111111114</v>
      </c>
      <c r="F5" s="8">
        <v>0.6486111111111112</v>
      </c>
      <c r="G5" s="8">
        <v>0.7319444444444445</v>
      </c>
      <c r="H5" s="8">
        <v>0.8187500000000001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445</v>
      </c>
      <c r="B6" s="9" t="s">
        <v>446</v>
      </c>
      <c r="C6" s="8">
        <v>0.2138888888888889</v>
      </c>
      <c r="D6" s="8">
        <v>0.29375</v>
      </c>
      <c r="E6" s="8">
        <v>0.3701388888888889</v>
      </c>
      <c r="F6" s="8">
        <v>0.651388888888889</v>
      </c>
      <c r="G6" s="8">
        <v>0.7347222222222223</v>
      </c>
      <c r="H6" s="8">
        <v>0.8215277777777779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443</v>
      </c>
      <c r="B7" s="7" t="s">
        <v>444</v>
      </c>
      <c r="C7" s="8">
        <v>0.22569444444444448</v>
      </c>
      <c r="D7" s="8">
        <v>0.3055555555555556</v>
      </c>
      <c r="E7" s="8">
        <v>0.3819444444444445</v>
      </c>
      <c r="F7" s="8">
        <v>0.6631944444444446</v>
      </c>
      <c r="G7" s="8">
        <v>0.7465277777777779</v>
      </c>
      <c r="H7" s="8">
        <v>0.8333333333333335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49</v>
      </c>
      <c r="B8" s="7" t="s">
        <v>213</v>
      </c>
      <c r="C8" s="8">
        <v>0.23819444444444443</v>
      </c>
      <c r="D8" s="8">
        <v>0.31805555555555554</v>
      </c>
      <c r="E8" s="8">
        <v>0.39444444444444443</v>
      </c>
      <c r="F8" s="8">
        <v>0.6756944444444446</v>
      </c>
      <c r="G8" s="8">
        <v>0.7590277777777779</v>
      </c>
      <c r="H8" s="8">
        <v>0.8458333333333334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4"/>
      <c r="B14" s="152"/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B15" s="152"/>
      <c r="C15" s="8"/>
      <c r="D15" s="8"/>
      <c r="E15" s="8"/>
      <c r="F15" s="8"/>
      <c r="G15" s="8"/>
      <c r="H15" s="8"/>
      <c r="I15" s="8"/>
      <c r="J15" s="8"/>
      <c r="K15" s="8"/>
    </row>
    <row r="16">
      <c r="A16" s="1"/>
      <c r="B16" s="152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15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152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B19" s="152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1"/>
      <c r="C20" s="8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46008.0</v>
      </c>
      <c r="C1" s="96" t="s">
        <v>292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52" t="s">
        <v>453</v>
      </c>
      <c r="D2" s="152" t="s">
        <v>454</v>
      </c>
      <c r="E2" s="152" t="s">
        <v>455</v>
      </c>
      <c r="F2" s="152" t="s">
        <v>456</v>
      </c>
      <c r="G2" s="152" t="s">
        <v>457</v>
      </c>
      <c r="H2" s="152" t="s">
        <v>458</v>
      </c>
      <c r="I2" s="152" t="s">
        <v>459</v>
      </c>
      <c r="J2" s="152" t="s">
        <v>460</v>
      </c>
      <c r="K2" s="152" t="s">
        <v>461</v>
      </c>
      <c r="L2" s="152" t="s">
        <v>462</v>
      </c>
      <c r="M2" s="152" t="s">
        <v>463</v>
      </c>
      <c r="N2" s="152" t="s">
        <v>464</v>
      </c>
      <c r="O2" s="152" t="s">
        <v>465</v>
      </c>
      <c r="P2" s="152" t="s">
        <v>466</v>
      </c>
      <c r="Q2" s="152" t="s">
        <v>467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270</v>
      </c>
      <c r="B3" s="5" t="s">
        <v>468</v>
      </c>
      <c r="C3" s="6"/>
      <c r="D3" s="6">
        <v>0.25</v>
      </c>
      <c r="E3" s="6"/>
      <c r="F3" s="6">
        <v>0.3333333333333333</v>
      </c>
      <c r="G3" s="6"/>
      <c r="H3" s="6">
        <v>0.4166666666666667</v>
      </c>
      <c r="I3" s="6"/>
      <c r="J3" s="6">
        <v>0.5</v>
      </c>
      <c r="K3" s="6"/>
      <c r="L3" s="6">
        <v>0.6041666666666666</v>
      </c>
      <c r="M3" s="6"/>
      <c r="N3" s="6">
        <v>0.6875</v>
      </c>
      <c r="O3" s="6"/>
      <c r="P3" s="6">
        <v>0.7708333333333334</v>
      </c>
      <c r="Q3" s="6"/>
      <c r="R3" s="6"/>
      <c r="S3" s="6"/>
      <c r="T3" s="6"/>
    </row>
    <row r="4">
      <c r="A4" s="1" t="s">
        <v>469</v>
      </c>
      <c r="B4" s="9" t="s">
        <v>470</v>
      </c>
      <c r="C4" s="176"/>
      <c r="D4" s="176">
        <f>D3+TIME(0,7,0)</f>
        <v>0.2548611111</v>
      </c>
      <c r="E4" s="176"/>
      <c r="F4" s="176">
        <v>0.3381944444444444</v>
      </c>
      <c r="G4" s="176"/>
      <c r="H4" s="176">
        <f>H3+TIME(0,7,0)</f>
        <v>0.4215277778</v>
      </c>
      <c r="I4" s="176"/>
      <c r="J4" s="176">
        <f>J3+TIME(0,7,0)</f>
        <v>0.5048611111</v>
      </c>
      <c r="K4" s="176"/>
      <c r="L4" s="176">
        <f>L3+TIME(0,7,0)</f>
        <v>0.6090277778</v>
      </c>
      <c r="M4" s="176"/>
      <c r="N4" s="176">
        <f>N3+TIME(0,7,0)</f>
        <v>0.6923611111</v>
      </c>
      <c r="O4" s="176"/>
      <c r="P4" s="176">
        <f>P3+TIME(0,7,0)</f>
        <v>0.7756944444</v>
      </c>
      <c r="Q4" s="176"/>
      <c r="R4" s="8"/>
      <c r="S4" s="8"/>
      <c r="T4" s="8"/>
    </row>
    <row r="5">
      <c r="A5" s="1" t="s">
        <v>471</v>
      </c>
      <c r="B5" s="9" t="s">
        <v>472</v>
      </c>
      <c r="C5" s="8"/>
      <c r="D5" s="8">
        <v>0.25833333333333336</v>
      </c>
      <c r="E5" s="8"/>
      <c r="F5" s="8">
        <v>0.3416666666666666</v>
      </c>
      <c r="G5" s="8"/>
      <c r="H5" s="8">
        <v>0.425</v>
      </c>
      <c r="I5" s="8"/>
      <c r="J5" s="8">
        <v>0.5083333333333333</v>
      </c>
      <c r="K5" s="8"/>
      <c r="L5" s="8">
        <v>0.6125</v>
      </c>
      <c r="M5" s="8"/>
      <c r="N5" s="8">
        <v>0.6958333333333333</v>
      </c>
      <c r="O5" s="8"/>
      <c r="P5" s="8">
        <v>0.7791666666666667</v>
      </c>
      <c r="Q5" s="8"/>
      <c r="R5" s="8"/>
      <c r="S5" s="8"/>
      <c r="T5" s="8"/>
    </row>
    <row r="6">
      <c r="A6" s="7" t="s">
        <v>473</v>
      </c>
      <c r="B6" s="9" t="s">
        <v>474</v>
      </c>
      <c r="C6" s="8"/>
      <c r="D6" s="8">
        <v>0.2611111111111111</v>
      </c>
      <c r="E6" s="8"/>
      <c r="F6" s="8">
        <v>0.3444444444444444</v>
      </c>
      <c r="G6" s="8"/>
      <c r="H6" s="8">
        <v>0.42777777777777776</v>
      </c>
      <c r="I6" s="8"/>
      <c r="J6" s="8">
        <v>0.5111111111111111</v>
      </c>
      <c r="K6" s="8"/>
      <c r="L6" s="8">
        <v>0.6152777777777778</v>
      </c>
      <c r="M6" s="8"/>
      <c r="N6" s="8">
        <v>0.6986111111111111</v>
      </c>
      <c r="O6" s="8"/>
      <c r="P6" s="8">
        <v>0.7819444444444444</v>
      </c>
      <c r="Q6" s="8"/>
      <c r="R6" s="8"/>
      <c r="S6" s="8"/>
      <c r="T6" s="8"/>
    </row>
    <row r="7">
      <c r="A7" s="7" t="s">
        <v>475</v>
      </c>
      <c r="B7" s="9" t="s">
        <v>476</v>
      </c>
      <c r="C7" s="8"/>
      <c r="D7" s="8">
        <v>0.26319444444444445</v>
      </c>
      <c r="E7" s="8"/>
      <c r="F7" s="8">
        <v>0.34652777777777777</v>
      </c>
      <c r="G7" s="8"/>
      <c r="H7" s="8">
        <v>0.42986111111111114</v>
      </c>
      <c r="I7" s="8"/>
      <c r="J7" s="8">
        <v>0.5131944444444444</v>
      </c>
      <c r="K7" s="8"/>
      <c r="L7" s="8">
        <v>0.6173611111111111</v>
      </c>
      <c r="M7" s="8"/>
      <c r="N7" s="8">
        <v>0.7006944444444444</v>
      </c>
      <c r="O7" s="8"/>
      <c r="P7" s="8">
        <v>0.7840277777777778</v>
      </c>
      <c r="Q7" s="8"/>
      <c r="R7" s="8"/>
      <c r="S7" s="8"/>
      <c r="T7" s="8"/>
    </row>
    <row r="8">
      <c r="A8" s="7" t="s">
        <v>477</v>
      </c>
      <c r="B8" s="7" t="s">
        <v>478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479</v>
      </c>
      <c r="B9" s="7" t="s">
        <v>480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481</v>
      </c>
      <c r="B10" s="7" t="s">
        <v>482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483</v>
      </c>
      <c r="B11" s="7" t="s">
        <v>484</v>
      </c>
      <c r="C11" s="8"/>
      <c r="D11" s="8">
        <v>0.2701388888888889</v>
      </c>
      <c r="E11" s="8"/>
      <c r="F11" s="8">
        <v>0.3534722222222222</v>
      </c>
      <c r="G11" s="8"/>
      <c r="H11" s="8">
        <v>0.43680555555555556</v>
      </c>
      <c r="I11" s="8"/>
      <c r="J11" s="8">
        <v>0.5201388888888889</v>
      </c>
      <c r="K11" s="8"/>
      <c r="L11" s="8">
        <v>0.6243055555555556</v>
      </c>
      <c r="M11" s="8"/>
      <c r="N11" s="8">
        <v>0.7076388888888889</v>
      </c>
      <c r="O11" s="8"/>
      <c r="P11" s="8">
        <v>0.7909722222222222</v>
      </c>
      <c r="Q11" s="8"/>
      <c r="R11" s="8"/>
      <c r="S11" s="8"/>
      <c r="T11" s="8"/>
    </row>
    <row r="12">
      <c r="A12" s="7" t="s">
        <v>485</v>
      </c>
      <c r="B12" s="7" t="s">
        <v>486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487</v>
      </c>
      <c r="B13" s="7" t="s">
        <v>488</v>
      </c>
      <c r="C13" s="8"/>
      <c r="D13" s="8">
        <v>0.275</v>
      </c>
      <c r="E13" s="8"/>
      <c r="F13" s="8">
        <v>0.3583333333333333</v>
      </c>
      <c r="G13" s="8"/>
      <c r="H13" s="8">
        <v>0.44166666666666665</v>
      </c>
      <c r="I13" s="8"/>
      <c r="J13" s="8">
        <v>0.525</v>
      </c>
      <c r="K13" s="8"/>
      <c r="L13" s="8">
        <v>0.6291666666666667</v>
      </c>
      <c r="M13" s="8"/>
      <c r="N13" s="8">
        <v>0.7125</v>
      </c>
      <c r="O13" s="8"/>
      <c r="P13" s="8">
        <v>0.7958333333333333</v>
      </c>
      <c r="Q13" s="8"/>
      <c r="R13" s="8"/>
      <c r="S13" s="8"/>
      <c r="T13" s="8"/>
    </row>
    <row r="14">
      <c r="A14" s="7" t="s">
        <v>489</v>
      </c>
      <c r="B14" s="7" t="s">
        <v>490</v>
      </c>
      <c r="C14" s="8"/>
      <c r="D14" s="8">
        <v>0.2777777777777778</v>
      </c>
      <c r="E14" s="8"/>
      <c r="F14" s="8">
        <v>0.36111111111111105</v>
      </c>
      <c r="G14" s="8"/>
      <c r="H14" s="8">
        <v>0.4444444444444444</v>
      </c>
      <c r="I14" s="8"/>
      <c r="J14" s="8">
        <v>0.5277777777777778</v>
      </c>
      <c r="K14" s="8"/>
      <c r="L14" s="8">
        <v>0.6319444444444444</v>
      </c>
      <c r="M14" s="8"/>
      <c r="N14" s="8">
        <v>0.7152777777777778</v>
      </c>
      <c r="O14" s="8"/>
      <c r="P14" s="8">
        <v>0.7986111111111112</v>
      </c>
      <c r="Q14" s="8"/>
    </row>
    <row r="15">
      <c r="A15" s="1" t="s">
        <v>491</v>
      </c>
      <c r="B15" s="7" t="s">
        <v>492</v>
      </c>
      <c r="C15" s="8"/>
      <c r="D15" s="8">
        <v>0.28125</v>
      </c>
      <c r="E15" s="8"/>
      <c r="F15" s="8">
        <v>0.3645833333333333</v>
      </c>
      <c r="G15" s="8"/>
      <c r="H15" s="8">
        <v>0.4479166666666667</v>
      </c>
      <c r="I15" s="8"/>
      <c r="J15" s="8">
        <v>0.53125</v>
      </c>
      <c r="K15" s="8"/>
      <c r="L15" s="8">
        <v>0.6354166666666666</v>
      </c>
      <c r="M15" s="8"/>
      <c r="N15" s="8">
        <v>0.71875</v>
      </c>
      <c r="O15" s="8"/>
      <c r="P15" s="8">
        <v>0.8020833333333334</v>
      </c>
      <c r="Q15" s="8"/>
    </row>
    <row r="16">
      <c r="A16" s="7" t="s">
        <v>493</v>
      </c>
      <c r="B16" s="7" t="s">
        <v>494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77" t="s">
        <v>495</v>
      </c>
      <c r="B17" s="177" t="s">
        <v>496</v>
      </c>
      <c r="C17" s="178">
        <v>0.20833333333333334</v>
      </c>
      <c r="D17" s="178">
        <v>0.2847222222222222</v>
      </c>
      <c r="E17" s="178">
        <v>0.2916666666666667</v>
      </c>
      <c r="F17" s="178">
        <v>0.3680555555555555</v>
      </c>
      <c r="G17" s="178">
        <v>0.375</v>
      </c>
      <c r="H17" s="178">
        <v>0.4513888888888889</v>
      </c>
      <c r="I17" s="178">
        <v>0.4583333333333333</v>
      </c>
      <c r="J17" s="178">
        <v>0.5347222222222222</v>
      </c>
      <c r="K17" s="178">
        <v>0.5416666666666666</v>
      </c>
      <c r="L17" s="178">
        <v>0.6388888888888888</v>
      </c>
      <c r="M17" s="178">
        <v>0.6458333333333334</v>
      </c>
      <c r="N17" s="178">
        <v>0.7222222222222222</v>
      </c>
      <c r="O17" s="178">
        <v>0.7291666666666666</v>
      </c>
      <c r="P17" s="178">
        <v>0.8055555555555556</v>
      </c>
      <c r="Q17" s="178">
        <v>0.8125</v>
      </c>
      <c r="R17" s="178"/>
      <c r="S17" s="178"/>
      <c r="T17" s="178"/>
      <c r="U17" s="179"/>
      <c r="V17" s="179"/>
      <c r="W17" s="179"/>
      <c r="X17" s="179"/>
      <c r="Y17" s="179"/>
      <c r="Z17" s="179"/>
      <c r="AA17" s="179"/>
    </row>
    <row r="18">
      <c r="A18" s="7" t="s">
        <v>497</v>
      </c>
      <c r="B18" s="7" t="s">
        <v>498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499</v>
      </c>
      <c r="B19" s="7" t="s">
        <v>500</v>
      </c>
      <c r="C19" s="8">
        <v>0.21319444444444444</v>
      </c>
      <c r="D19" s="8"/>
      <c r="E19" s="8">
        <v>0.2965277777777778</v>
      </c>
      <c r="F19" s="8"/>
      <c r="G19" s="8">
        <v>0.3798611111111111</v>
      </c>
      <c r="H19" s="8"/>
      <c r="I19" s="8">
        <v>0.46319444444444446</v>
      </c>
      <c r="J19" s="8"/>
      <c r="K19" s="8">
        <v>0.5465277777777777</v>
      </c>
      <c r="L19" s="8"/>
      <c r="M19" s="8">
        <v>0.6506944444444445</v>
      </c>
      <c r="N19" s="8"/>
      <c r="O19" s="8">
        <v>0.7340277777777777</v>
      </c>
      <c r="P19" s="8"/>
      <c r="Q19" s="8">
        <v>0.8173611111111111</v>
      </c>
      <c r="R19" s="8"/>
      <c r="S19" s="8"/>
      <c r="T19" s="8"/>
    </row>
    <row r="20">
      <c r="A20" s="7" t="s">
        <v>501</v>
      </c>
      <c r="B20" s="11" t="s">
        <v>502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1"/>
      <c r="S20" s="11"/>
      <c r="T20" s="11"/>
    </row>
    <row r="21">
      <c r="A21" s="11" t="s">
        <v>503</v>
      </c>
      <c r="B21" s="11" t="s">
        <v>504</v>
      </c>
      <c r="C21" s="8">
        <v>0.21944444444444444</v>
      </c>
      <c r="D21" s="8"/>
      <c r="E21" s="8">
        <v>0.30277777777777776</v>
      </c>
      <c r="F21" s="8"/>
      <c r="G21" s="8">
        <v>0.3861111111111111</v>
      </c>
      <c r="H21" s="8"/>
      <c r="I21" s="8">
        <v>0.46944444444444444</v>
      </c>
      <c r="J21" s="8"/>
      <c r="K21" s="8">
        <v>0.5527777777777778</v>
      </c>
      <c r="L21" s="8"/>
      <c r="M21" s="8">
        <v>0.6569444444444444</v>
      </c>
      <c r="N21" s="8"/>
      <c r="O21" s="8">
        <v>0.7402777777777778</v>
      </c>
      <c r="P21" s="8"/>
      <c r="Q21" s="8">
        <v>0.8236111111111111</v>
      </c>
      <c r="R21" s="12"/>
      <c r="S21" s="12"/>
      <c r="T21" s="12"/>
    </row>
    <row r="22">
      <c r="A22" s="13" t="s">
        <v>505</v>
      </c>
      <c r="B22" s="11" t="s">
        <v>506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2"/>
      <c r="S22" s="12"/>
      <c r="T22" s="12"/>
    </row>
    <row r="23">
      <c r="A23" s="13" t="s">
        <v>507</v>
      </c>
      <c r="B23" s="11" t="s">
        <v>508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2"/>
      <c r="S23" s="12"/>
      <c r="T23" s="12"/>
    </row>
    <row r="24">
      <c r="A24" s="13" t="s">
        <v>509</v>
      </c>
      <c r="B24" s="11" t="s">
        <v>510</v>
      </c>
      <c r="C24" s="8">
        <v>0.22777777777777777</v>
      </c>
      <c r="D24" s="8"/>
      <c r="E24" s="8">
        <v>0.3111111111111111</v>
      </c>
      <c r="F24" s="8"/>
      <c r="G24" s="8">
        <v>0.39444444444444443</v>
      </c>
      <c r="H24" s="8"/>
      <c r="I24" s="8">
        <v>0.4777777777777778</v>
      </c>
      <c r="J24" s="8"/>
      <c r="K24" s="8">
        <v>0.5611111111111111</v>
      </c>
      <c r="L24" s="8"/>
      <c r="M24" s="8">
        <v>0.6652777777777777</v>
      </c>
      <c r="N24" s="8"/>
      <c r="O24" s="8">
        <v>0.7486111111111111</v>
      </c>
      <c r="P24" s="8"/>
      <c r="Q24" s="8">
        <v>0.8319444444444445</v>
      </c>
      <c r="R24" s="12"/>
      <c r="S24" s="12"/>
      <c r="T24" s="12"/>
    </row>
    <row r="25">
      <c r="A25" s="13" t="s">
        <v>511</v>
      </c>
      <c r="B25" s="11" t="s">
        <v>512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2"/>
      <c r="S25" s="12"/>
      <c r="T25" s="12"/>
    </row>
    <row r="26">
      <c r="A26" s="13" t="s">
        <v>513</v>
      </c>
      <c r="B26" s="11" t="s">
        <v>514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2"/>
      <c r="S26" s="12"/>
      <c r="T26" s="12"/>
    </row>
    <row r="27">
      <c r="A27" s="13" t="s">
        <v>515</v>
      </c>
      <c r="B27" s="11" t="s">
        <v>516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2"/>
      <c r="S27" s="12"/>
      <c r="T27" s="12"/>
    </row>
    <row r="28">
      <c r="A28" s="13" t="s">
        <v>517</v>
      </c>
      <c r="B28" s="11" t="s">
        <v>518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2"/>
      <c r="S28" s="12"/>
      <c r="T28" s="12"/>
    </row>
    <row r="29">
      <c r="A29" s="13" t="s">
        <v>519</v>
      </c>
      <c r="B29" s="11" t="s">
        <v>520</v>
      </c>
      <c r="C29" s="8">
        <v>0.24305555555555555</v>
      </c>
      <c r="D29" s="8"/>
      <c r="E29" s="8">
        <v>0.3263888888888889</v>
      </c>
      <c r="F29" s="8"/>
      <c r="G29" s="8">
        <v>0.4097222222222222</v>
      </c>
      <c r="H29" s="8"/>
      <c r="I29" s="8">
        <v>0.4930555555555556</v>
      </c>
      <c r="J29" s="8"/>
      <c r="K29" s="8">
        <v>0.5763888888888888</v>
      </c>
      <c r="L29" s="8"/>
      <c r="M29" s="8">
        <v>0.6805555555555556</v>
      </c>
      <c r="N29" s="8"/>
      <c r="O29" s="8">
        <v>0.7638888888888888</v>
      </c>
      <c r="P29" s="8"/>
      <c r="Q29" s="8">
        <v>0.8472222222222222</v>
      </c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>
      <c r="A36" s="13"/>
      <c r="B36" s="162"/>
      <c r="C36" s="14"/>
      <c r="D36" s="163"/>
      <c r="E36" s="14"/>
      <c r="F36" s="163"/>
      <c r="G36" s="14"/>
      <c r="H36" s="163"/>
      <c r="I36" s="14"/>
      <c r="J36" s="163"/>
      <c r="K36" s="14"/>
      <c r="L36" s="17"/>
      <c r="M36" s="14"/>
      <c r="N36" s="17"/>
      <c r="O36" s="14"/>
      <c r="P36" s="17"/>
    </row>
    <row r="37">
      <c r="A37" s="13"/>
      <c r="B37" s="163"/>
      <c r="C37" s="163"/>
      <c r="D37" s="163"/>
      <c r="E37" s="163"/>
      <c r="F37" s="163"/>
      <c r="G37" s="163"/>
      <c r="H37" s="163"/>
      <c r="I37" s="163"/>
      <c r="J37" s="163"/>
      <c r="K37" s="17"/>
      <c r="L37" s="17"/>
      <c r="M37" s="17"/>
      <c r="N37" s="17"/>
      <c r="O37" s="17"/>
      <c r="P37" s="17"/>
    </row>
    <row r="38">
      <c r="A38" s="13"/>
      <c r="B38" s="163"/>
      <c r="C38" s="14"/>
      <c r="D38" s="163"/>
      <c r="E38" s="14"/>
      <c r="F38" s="163"/>
      <c r="G38" s="14"/>
      <c r="H38" s="163"/>
      <c r="I38" s="14"/>
      <c r="J38" s="163"/>
      <c r="K38" s="14"/>
      <c r="L38" s="17"/>
      <c r="M38" s="14"/>
      <c r="N38" s="17"/>
      <c r="O38" s="14"/>
      <c r="P38" s="17"/>
    </row>
    <row r="39">
      <c r="A39" s="13"/>
      <c r="B39" s="145"/>
      <c r="C39" s="14"/>
      <c r="D39" s="145"/>
      <c r="E39" s="14"/>
      <c r="F39" s="145"/>
      <c r="G39" s="14"/>
      <c r="H39" s="145"/>
      <c r="I39" s="14"/>
      <c r="J39" s="145"/>
      <c r="K39" s="14"/>
      <c r="L39" s="17"/>
      <c r="M39" s="14"/>
      <c r="N39" s="17"/>
      <c r="O39" s="14"/>
      <c r="P39" s="17"/>
    </row>
    <row r="40">
      <c r="A40" s="13"/>
      <c r="B40" s="145"/>
      <c r="C40" s="14"/>
      <c r="D40" s="145"/>
      <c r="E40" s="14"/>
      <c r="F40" s="145"/>
      <c r="G40" s="14"/>
      <c r="H40" s="145"/>
      <c r="I40" s="14"/>
      <c r="J40" s="145"/>
      <c r="K40" s="14"/>
      <c r="L40" s="17"/>
      <c r="M40" s="14"/>
      <c r="N40" s="17"/>
      <c r="O40" s="14"/>
      <c r="P40" s="17"/>
    </row>
    <row r="41">
      <c r="A41" s="13"/>
      <c r="B41" s="163"/>
      <c r="C41" s="163"/>
      <c r="D41" s="163"/>
      <c r="E41" s="163"/>
      <c r="F41" s="163"/>
      <c r="G41" s="163"/>
      <c r="H41" s="163"/>
      <c r="I41" s="163"/>
      <c r="J41" s="163"/>
      <c r="K41" s="17"/>
      <c r="L41" s="17"/>
      <c r="M41" s="17"/>
      <c r="N41" s="17"/>
      <c r="O41" s="17"/>
      <c r="P41" s="17"/>
    </row>
    <row r="42">
      <c r="A42" s="13"/>
      <c r="B42" s="163"/>
      <c r="C42" s="163"/>
      <c r="D42" s="163"/>
      <c r="E42" s="163"/>
      <c r="F42" s="163"/>
      <c r="G42" s="163"/>
      <c r="H42" s="163"/>
      <c r="I42" s="163"/>
      <c r="J42" s="163"/>
      <c r="K42" s="17"/>
      <c r="L42" s="17"/>
      <c r="M42" s="17"/>
      <c r="N42" s="17"/>
      <c r="O42" s="17"/>
      <c r="P42" s="17"/>
    </row>
    <row r="43">
      <c r="A43" s="13"/>
      <c r="B43" s="145"/>
      <c r="C43" s="145"/>
      <c r="D43" s="145"/>
      <c r="E43" s="145"/>
      <c r="F43" s="145"/>
      <c r="G43" s="145"/>
      <c r="H43" s="145"/>
      <c r="I43" s="145"/>
      <c r="J43" s="145"/>
      <c r="K43" s="17"/>
      <c r="L43" s="17"/>
      <c r="M43" s="17"/>
      <c r="N43" s="17"/>
      <c r="O43" s="17"/>
      <c r="P43" s="17"/>
    </row>
    <row r="44">
      <c r="A44" s="13"/>
      <c r="B44" s="163"/>
      <c r="C44" s="14"/>
      <c r="D44" s="163"/>
      <c r="E44" s="14"/>
      <c r="F44" s="163"/>
      <c r="G44" s="14"/>
      <c r="H44" s="163"/>
      <c r="I44" s="14"/>
      <c r="J44" s="163"/>
      <c r="K44" s="14"/>
      <c r="L44" s="17"/>
      <c r="M44" s="14"/>
      <c r="N44" s="17"/>
      <c r="O44" s="14"/>
      <c r="P44" s="17"/>
    </row>
    <row r="45">
      <c r="A45" s="13"/>
      <c r="B45" s="145"/>
      <c r="C45" s="145"/>
      <c r="D45" s="145"/>
      <c r="E45" s="145"/>
      <c r="F45" s="145"/>
      <c r="G45" s="145"/>
      <c r="H45" s="145"/>
      <c r="I45" s="145"/>
      <c r="J45" s="145"/>
      <c r="K45" s="17"/>
      <c r="L45" s="17"/>
      <c r="M45" s="17"/>
      <c r="N45" s="17"/>
      <c r="O45" s="17"/>
      <c r="P45" s="17"/>
    </row>
    <row r="46">
      <c r="A46" s="13"/>
      <c r="B46" s="17"/>
      <c r="C46" s="14"/>
      <c r="D46" s="17"/>
      <c r="E46" s="14"/>
      <c r="F46" s="17"/>
      <c r="G46" s="14"/>
      <c r="H46" s="17"/>
      <c r="I46" s="14"/>
      <c r="J46" s="17"/>
      <c r="K46" s="14"/>
      <c r="L46" s="17"/>
      <c r="M46" s="14"/>
      <c r="N46" s="17"/>
      <c r="O46" s="14"/>
      <c r="P46" s="17"/>
    </row>
    <row r="47">
      <c r="A47" s="13"/>
      <c r="B47" s="17"/>
      <c r="C47" s="14"/>
      <c r="D47" s="17"/>
      <c r="E47" s="14"/>
      <c r="F47" s="17"/>
      <c r="G47" s="14"/>
      <c r="H47" s="17"/>
      <c r="I47" s="14"/>
      <c r="J47" s="17"/>
      <c r="K47" s="14"/>
      <c r="L47" s="17"/>
      <c r="M47" s="14"/>
      <c r="N47" s="17"/>
      <c r="O47" s="14"/>
      <c r="P47" s="17"/>
    </row>
    <row r="48">
      <c r="A48" s="13"/>
      <c r="B48" s="17"/>
      <c r="C48" s="14"/>
      <c r="D48" s="17"/>
      <c r="E48" s="14"/>
      <c r="F48" s="17"/>
      <c r="G48" s="14"/>
      <c r="H48" s="17"/>
      <c r="I48" s="14"/>
      <c r="J48" s="17"/>
      <c r="K48" s="14"/>
      <c r="L48" s="17"/>
      <c r="M48" s="14"/>
      <c r="N48" s="17"/>
      <c r="O48" s="14"/>
      <c r="P48" s="17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>
      <c r="A52" s="13"/>
      <c r="B52" s="14"/>
      <c r="C52" s="17"/>
      <c r="D52" s="14"/>
      <c r="E52" s="17"/>
      <c r="F52" s="14"/>
      <c r="G52" s="17"/>
      <c r="H52" s="14"/>
      <c r="I52" s="17"/>
      <c r="J52" s="14"/>
      <c r="K52" s="17"/>
      <c r="L52" s="14"/>
      <c r="M52" s="17"/>
      <c r="N52" s="14"/>
      <c r="O52" s="17"/>
      <c r="P52" s="14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>
      <c r="A54" s="13"/>
      <c r="B54" s="14"/>
      <c r="C54" s="17"/>
      <c r="D54" s="14"/>
      <c r="E54" s="17"/>
      <c r="F54" s="14"/>
      <c r="G54" s="17"/>
      <c r="H54" s="14"/>
      <c r="I54" s="17"/>
      <c r="J54" s="14"/>
      <c r="K54" s="17"/>
      <c r="L54" s="14"/>
      <c r="M54" s="17"/>
      <c r="N54" s="14"/>
      <c r="O54" s="17"/>
      <c r="P54" s="14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7">
      <c r="A57" s="13"/>
      <c r="B57" s="14"/>
      <c r="C57" s="17"/>
      <c r="D57" s="14"/>
      <c r="E57" s="17"/>
      <c r="F57" s="14"/>
      <c r="G57" s="17"/>
      <c r="H57" s="14"/>
      <c r="I57" s="17"/>
      <c r="J57" s="14"/>
      <c r="K57" s="17"/>
      <c r="L57" s="14"/>
      <c r="M57" s="17"/>
      <c r="N57" s="14"/>
      <c r="O57" s="17"/>
      <c r="P57" s="14"/>
    </row>
    <row r="58">
      <c r="A58" s="13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</row>
    <row r="59">
      <c r="A59" s="13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</row>
    <row r="60">
      <c r="A60" s="13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</row>
    <row r="61">
      <c r="A61" s="13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>
      <c r="A62" s="13"/>
      <c r="B62" s="14"/>
      <c r="C62" s="17"/>
      <c r="D62" s="14"/>
      <c r="E62" s="17"/>
      <c r="F62" s="14"/>
      <c r="G62" s="17"/>
      <c r="H62" s="14"/>
      <c r="I62" s="17"/>
      <c r="J62" s="14"/>
      <c r="K62" s="17"/>
      <c r="L62" s="14"/>
      <c r="M62" s="17"/>
      <c r="N62" s="14"/>
      <c r="O62" s="17"/>
      <c r="P62" s="14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'JHB-to-RAND_Weekday'!B1</f>
        <v>46008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52" t="s">
        <v>521</v>
      </c>
      <c r="D2" s="152" t="s">
        <v>522</v>
      </c>
      <c r="E2" s="152" t="s">
        <v>523</v>
      </c>
      <c r="F2" s="152" t="s">
        <v>524</v>
      </c>
      <c r="G2" s="152" t="s">
        <v>525</v>
      </c>
      <c r="H2" s="152" t="s">
        <v>526</v>
      </c>
      <c r="I2" s="152" t="s">
        <v>527</v>
      </c>
      <c r="J2" s="152" t="s">
        <v>528</v>
      </c>
      <c r="K2" s="152" t="s">
        <v>529</v>
      </c>
      <c r="L2" s="152" t="s">
        <v>530</v>
      </c>
      <c r="M2" s="152" t="s">
        <v>531</v>
      </c>
      <c r="N2" s="152" t="s">
        <v>532</v>
      </c>
      <c r="O2" s="152" t="s">
        <v>533</v>
      </c>
      <c r="P2" s="152" t="s">
        <v>534</v>
      </c>
      <c r="Q2" s="152" t="s">
        <v>535</v>
      </c>
      <c r="R2" s="152" t="s">
        <v>536</v>
      </c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519</v>
      </c>
      <c r="B3" s="5" t="s">
        <v>520</v>
      </c>
      <c r="C3" s="6">
        <v>0.16666666666666666</v>
      </c>
      <c r="D3" s="6"/>
      <c r="E3" s="6">
        <v>0.25</v>
      </c>
      <c r="F3" s="6"/>
      <c r="G3" s="6">
        <v>0.3333333333333333</v>
      </c>
      <c r="H3" s="6"/>
      <c r="I3" s="6">
        <v>0.4166666666666667</v>
      </c>
      <c r="J3" s="6"/>
      <c r="K3" s="6">
        <v>0.5</v>
      </c>
      <c r="L3" s="6"/>
      <c r="M3" s="6">
        <v>0.5972222222222222</v>
      </c>
      <c r="N3" s="6"/>
      <c r="O3" s="6">
        <v>0.6875</v>
      </c>
      <c r="P3" s="6"/>
      <c r="Q3" s="6">
        <v>0.7708333333333334</v>
      </c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517</v>
      </c>
      <c r="B4" s="7" t="s">
        <v>518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515</v>
      </c>
      <c r="B5" s="7" t="s">
        <v>516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513</v>
      </c>
      <c r="B6" s="7" t="s">
        <v>514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511</v>
      </c>
      <c r="B7" s="7" t="s">
        <v>512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509</v>
      </c>
      <c r="B8" s="7" t="s">
        <v>510</v>
      </c>
      <c r="C8" s="8">
        <v>0.1840277777777778</v>
      </c>
      <c r="D8" s="8"/>
      <c r="E8" s="8">
        <v>0.2673611111111111</v>
      </c>
      <c r="F8" s="8"/>
      <c r="G8" s="8">
        <v>0.3506944444444444</v>
      </c>
      <c r="H8" s="8"/>
      <c r="I8" s="8">
        <v>0.4340277777777778</v>
      </c>
      <c r="J8" s="8"/>
      <c r="K8" s="8">
        <v>0.5173611111111112</v>
      </c>
      <c r="L8" s="8"/>
      <c r="M8" s="8">
        <v>0.6145833333333334</v>
      </c>
      <c r="N8" s="8"/>
      <c r="O8" s="8">
        <v>0.7048611111111112</v>
      </c>
      <c r="P8" s="8"/>
      <c r="Q8" s="8">
        <v>0.7881944444444444</v>
      </c>
      <c r="R8" s="8"/>
      <c r="S8" s="8"/>
      <c r="T8" s="8"/>
      <c r="U8" s="8"/>
      <c r="V8" s="8"/>
      <c r="W8" s="8"/>
      <c r="X8" s="8"/>
      <c r="Y8" s="8"/>
      <c r="Z8" s="8"/>
    </row>
    <row r="9">
      <c r="A9" s="1" t="s">
        <v>507</v>
      </c>
      <c r="B9" s="7" t="s">
        <v>508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" t="s">
        <v>505</v>
      </c>
      <c r="B10" s="7" t="s">
        <v>506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503</v>
      </c>
      <c r="B11" s="7" t="s">
        <v>504</v>
      </c>
      <c r="C11" s="8">
        <v>0.18888888888888888</v>
      </c>
      <c r="D11" s="8"/>
      <c r="E11" s="8">
        <v>0.2722222222222222</v>
      </c>
      <c r="F11" s="8"/>
      <c r="G11" s="8">
        <v>0.35555555555555557</v>
      </c>
      <c r="H11" s="8"/>
      <c r="I11" s="8">
        <v>0.4388888888888889</v>
      </c>
      <c r="J11" s="8"/>
      <c r="K11" s="8">
        <v>0.5222222222222223</v>
      </c>
      <c r="L11" s="8"/>
      <c r="M11" s="8">
        <v>0.6194444444444445</v>
      </c>
      <c r="N11" s="8"/>
      <c r="O11" s="8">
        <v>0.7097222222222223</v>
      </c>
      <c r="P11" s="8"/>
      <c r="Q11" s="8">
        <v>0.7930555555555555</v>
      </c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501</v>
      </c>
      <c r="B12" s="7" t="s">
        <v>502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" t="s">
        <v>499</v>
      </c>
      <c r="B13" s="7" t="s">
        <v>500</v>
      </c>
      <c r="C13" s="8">
        <v>0.19583333333333333</v>
      </c>
      <c r="D13" s="8"/>
      <c r="E13" s="8">
        <v>0.2791666666666667</v>
      </c>
      <c r="F13" s="8"/>
      <c r="G13" s="8">
        <v>0.3625</v>
      </c>
      <c r="H13" s="8"/>
      <c r="I13" s="8">
        <v>0.44583333333333336</v>
      </c>
      <c r="J13" s="8"/>
      <c r="K13" s="8">
        <v>0.5291666666666667</v>
      </c>
      <c r="L13" s="8"/>
      <c r="M13" s="8">
        <v>0.6263888888888889</v>
      </c>
      <c r="N13" s="8"/>
      <c r="O13" s="8">
        <v>0.7166666666666667</v>
      </c>
      <c r="P13" s="8"/>
      <c r="Q13" s="8">
        <v>0.8</v>
      </c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497</v>
      </c>
      <c r="B14" s="7" t="s">
        <v>498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1" t="s">
        <v>495</v>
      </c>
      <c r="B15" s="7" t="s">
        <v>496</v>
      </c>
      <c r="C15" s="8">
        <v>0.2013888888888889</v>
      </c>
      <c r="D15" s="8">
        <v>0.20833333333333334</v>
      </c>
      <c r="E15" s="8">
        <v>0.2847222222222222</v>
      </c>
      <c r="F15" s="8">
        <v>0.2916666666666667</v>
      </c>
      <c r="G15" s="8">
        <v>0.3680555555555556</v>
      </c>
      <c r="H15" s="8">
        <v>0.375</v>
      </c>
      <c r="I15" s="8">
        <v>0.4513888888888889</v>
      </c>
      <c r="J15" s="8">
        <v>0.4583333333333333</v>
      </c>
      <c r="K15" s="8">
        <v>0.5347222222222222</v>
      </c>
      <c r="L15" s="8">
        <v>0.5416666666666666</v>
      </c>
      <c r="M15" s="8">
        <v>0.6319444444444444</v>
      </c>
      <c r="N15" s="8">
        <v>0.6458333333333334</v>
      </c>
      <c r="O15" s="8">
        <v>0.7222222222222222</v>
      </c>
      <c r="P15" s="8">
        <v>0.7291666666666666</v>
      </c>
      <c r="Q15" s="8">
        <v>0.8055555555555556</v>
      </c>
      <c r="R15" s="8">
        <v>0.8125</v>
      </c>
    </row>
    <row r="16">
      <c r="A16" s="7" t="s">
        <v>493</v>
      </c>
      <c r="B16" s="7" t="s">
        <v>494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491</v>
      </c>
      <c r="B17" s="7" t="s">
        <v>492</v>
      </c>
      <c r="C17" s="8"/>
      <c r="D17" s="8">
        <v>0.21180555555555555</v>
      </c>
      <c r="E17" s="8"/>
      <c r="F17" s="8">
        <v>0.2951388888888889</v>
      </c>
      <c r="G17" s="8"/>
      <c r="H17" s="8">
        <v>0.3784722222222222</v>
      </c>
      <c r="I17" s="8"/>
      <c r="J17" s="8">
        <v>0.4618055555555556</v>
      </c>
      <c r="K17" s="8"/>
      <c r="L17" s="8">
        <v>0.5451388888888888</v>
      </c>
      <c r="M17" s="8"/>
      <c r="N17" s="8">
        <v>0.6493055555555556</v>
      </c>
      <c r="O17" s="8"/>
      <c r="P17" s="8">
        <v>0.7326388888888888</v>
      </c>
      <c r="Q17" s="8"/>
      <c r="R17" s="8">
        <v>0.8159722222222222</v>
      </c>
      <c r="S17" s="8"/>
      <c r="T17" s="8"/>
      <c r="U17" s="8"/>
      <c r="V17" s="8"/>
      <c r="W17" s="8"/>
      <c r="X17" s="8"/>
      <c r="Y17" s="8"/>
      <c r="Z17" s="8"/>
    </row>
    <row r="18">
      <c r="A18" s="7" t="s">
        <v>489</v>
      </c>
      <c r="B18" s="7" t="s">
        <v>490</v>
      </c>
      <c r="C18" s="8"/>
      <c r="D18" s="8">
        <v>0.21458333333333332</v>
      </c>
      <c r="E18" s="8"/>
      <c r="F18" s="8">
        <v>0.29791666666666666</v>
      </c>
      <c r="G18" s="8"/>
      <c r="H18" s="8">
        <v>0.38125</v>
      </c>
      <c r="I18" s="8"/>
      <c r="J18" s="8">
        <v>0.46458333333333335</v>
      </c>
      <c r="K18" s="8"/>
      <c r="L18" s="8">
        <v>0.5479166666666667</v>
      </c>
      <c r="M18" s="8"/>
      <c r="N18" s="8">
        <v>0.6520833333333333</v>
      </c>
      <c r="O18" s="8"/>
      <c r="P18" s="8">
        <v>0.7354166666666667</v>
      </c>
      <c r="Q18" s="8"/>
      <c r="R18" s="8">
        <v>0.81875</v>
      </c>
      <c r="S18" s="8"/>
      <c r="T18" s="8"/>
      <c r="U18" s="8"/>
      <c r="V18" s="8"/>
      <c r="W18" s="8"/>
      <c r="X18" s="8"/>
      <c r="Y18" s="8"/>
      <c r="Z18" s="8"/>
    </row>
    <row r="19">
      <c r="A19" s="7" t="s">
        <v>487</v>
      </c>
      <c r="B19" s="7" t="s">
        <v>488</v>
      </c>
      <c r="C19" s="8"/>
      <c r="D19" s="8">
        <v>0.21736111111111112</v>
      </c>
      <c r="E19" s="8"/>
      <c r="F19" s="8">
        <v>0.30069444444444443</v>
      </c>
      <c r="G19" s="8"/>
      <c r="H19" s="8">
        <v>0.3840277777777778</v>
      </c>
      <c r="I19" s="8"/>
      <c r="J19" s="8">
        <v>0.4673611111111111</v>
      </c>
      <c r="K19" s="8"/>
      <c r="L19" s="8">
        <v>0.5506944444444445</v>
      </c>
      <c r="M19" s="8"/>
      <c r="N19" s="8">
        <v>0.6548611111111111</v>
      </c>
      <c r="O19" s="8"/>
      <c r="P19" s="8">
        <v>0.7381944444444445</v>
      </c>
      <c r="Q19" s="8"/>
      <c r="R19" s="8">
        <v>0.8215277777777777</v>
      </c>
      <c r="S19" s="8"/>
      <c r="T19" s="8"/>
      <c r="U19" s="8"/>
      <c r="V19" s="8"/>
      <c r="W19" s="8"/>
      <c r="X19" s="8"/>
      <c r="Y19" s="8"/>
      <c r="Z19" s="8"/>
    </row>
    <row r="20">
      <c r="A20" s="7" t="s">
        <v>485</v>
      </c>
      <c r="B20" s="11" t="s">
        <v>486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1"/>
      <c r="T20" s="11"/>
      <c r="U20" s="11"/>
      <c r="V20" s="11"/>
      <c r="W20" s="11"/>
      <c r="X20" s="11"/>
      <c r="Y20" s="11"/>
      <c r="Z20" s="11"/>
    </row>
    <row r="21">
      <c r="A21" s="11" t="s">
        <v>483</v>
      </c>
      <c r="B21" s="11" t="s">
        <v>484</v>
      </c>
      <c r="C21" s="8"/>
      <c r="D21" s="8">
        <v>0.22083333333333333</v>
      </c>
      <c r="E21" s="8"/>
      <c r="F21" s="8">
        <v>0.30416666666666664</v>
      </c>
      <c r="G21" s="8"/>
      <c r="H21" s="8">
        <v>0.3875</v>
      </c>
      <c r="I21" s="8"/>
      <c r="J21" s="8">
        <v>0.4708333333333333</v>
      </c>
      <c r="K21" s="8"/>
      <c r="L21" s="8">
        <v>0.5541666666666667</v>
      </c>
      <c r="M21" s="8"/>
      <c r="N21" s="8">
        <v>0.6583333333333333</v>
      </c>
      <c r="O21" s="8"/>
      <c r="P21" s="8">
        <v>0.7416666666666667</v>
      </c>
      <c r="Q21" s="8"/>
      <c r="R21" s="8">
        <v>0.825</v>
      </c>
      <c r="S21" s="12"/>
      <c r="T21" s="12"/>
      <c r="U21" s="12"/>
      <c r="V21" s="12"/>
      <c r="W21" s="12"/>
      <c r="X21" s="12"/>
      <c r="Y21" s="12"/>
      <c r="Z21" s="12"/>
    </row>
    <row r="22">
      <c r="A22" s="13" t="s">
        <v>481</v>
      </c>
      <c r="B22" s="11" t="s">
        <v>482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2"/>
      <c r="T22" s="12"/>
      <c r="U22" s="12"/>
      <c r="V22" s="12"/>
      <c r="W22" s="12"/>
      <c r="X22" s="12"/>
      <c r="Y22" s="12"/>
      <c r="Z22" s="12"/>
    </row>
    <row r="23">
      <c r="A23" s="13" t="s">
        <v>479</v>
      </c>
      <c r="B23" s="11" t="s">
        <v>480</v>
      </c>
      <c r="C23" s="8"/>
      <c r="D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12"/>
      <c r="T23" s="12"/>
      <c r="U23" s="12"/>
      <c r="V23" s="12"/>
      <c r="W23" s="12"/>
      <c r="X23" s="12"/>
      <c r="Y23" s="12"/>
      <c r="Z23" s="12"/>
    </row>
    <row r="24">
      <c r="A24" s="13" t="s">
        <v>477</v>
      </c>
      <c r="B24" s="11" t="s">
        <v>478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2"/>
      <c r="T24" s="12"/>
      <c r="U24" s="12"/>
      <c r="V24" s="12"/>
      <c r="W24" s="12"/>
      <c r="X24" s="12"/>
      <c r="Y24" s="12"/>
      <c r="Z24" s="12"/>
    </row>
    <row r="25">
      <c r="A25" s="13" t="s">
        <v>475</v>
      </c>
      <c r="B25" s="7" t="s">
        <v>476</v>
      </c>
      <c r="C25" s="8"/>
      <c r="D25" s="8">
        <v>0.22777777777777777</v>
      </c>
      <c r="E25" s="8"/>
      <c r="F25" s="8">
        <v>0.3111111111111111</v>
      </c>
      <c r="G25" s="8"/>
      <c r="H25" s="8">
        <v>0.39444444444444443</v>
      </c>
      <c r="I25" s="8"/>
      <c r="J25" s="8">
        <v>0.4777777777777778</v>
      </c>
      <c r="K25" s="8"/>
      <c r="L25" s="8">
        <v>0.5611111111111111</v>
      </c>
      <c r="M25" s="8"/>
      <c r="N25" s="8">
        <v>0.6652777777777777</v>
      </c>
      <c r="O25" s="8"/>
      <c r="P25" s="8">
        <v>0.7486111111111111</v>
      </c>
      <c r="Q25" s="8"/>
      <c r="R25" s="8">
        <v>0.8319444444444445</v>
      </c>
      <c r="S25" s="12"/>
      <c r="T25" s="12"/>
      <c r="U25" s="12"/>
      <c r="V25" s="12"/>
      <c r="W25" s="12"/>
      <c r="X25" s="12"/>
      <c r="Y25" s="12"/>
      <c r="Z25" s="12"/>
    </row>
    <row r="26">
      <c r="A26" s="13" t="s">
        <v>473</v>
      </c>
      <c r="B26" s="7" t="s">
        <v>474</v>
      </c>
      <c r="C26" s="8"/>
      <c r="D26" s="8">
        <v>0.23125</v>
      </c>
      <c r="E26" s="8"/>
      <c r="F26" s="8">
        <v>0.3145833333333333</v>
      </c>
      <c r="G26" s="8"/>
      <c r="H26" s="8">
        <v>0.39861111111111114</v>
      </c>
      <c r="I26" s="8"/>
      <c r="J26" s="8">
        <v>0.48125</v>
      </c>
      <c r="K26" s="8"/>
      <c r="L26" s="8">
        <v>0.5645833333333333</v>
      </c>
      <c r="M26" s="8"/>
      <c r="N26" s="8">
        <v>0.66875</v>
      </c>
      <c r="O26" s="8"/>
      <c r="P26" s="8">
        <v>0.7520833333333333</v>
      </c>
      <c r="Q26" s="8"/>
      <c r="R26" s="8">
        <v>0.8354166666666667</v>
      </c>
      <c r="S26" s="12"/>
      <c r="T26" s="12"/>
      <c r="U26" s="12"/>
      <c r="V26" s="12"/>
      <c r="W26" s="12"/>
      <c r="X26" s="12"/>
      <c r="Y26" s="12"/>
      <c r="Z26" s="12"/>
    </row>
    <row r="27">
      <c r="A27" s="13" t="s">
        <v>471</v>
      </c>
      <c r="B27" s="7" t="s">
        <v>472</v>
      </c>
      <c r="C27" s="8"/>
      <c r="D27" s="8">
        <v>0.23402777777777778</v>
      </c>
      <c r="E27" s="8"/>
      <c r="F27" s="8">
        <v>0.3173611111111111</v>
      </c>
      <c r="G27" s="8"/>
      <c r="H27" s="8">
        <v>0.4013888888888889</v>
      </c>
      <c r="I27" s="8"/>
      <c r="J27" s="8">
        <v>0.4840277777777778</v>
      </c>
      <c r="K27" s="8"/>
      <c r="L27" s="8">
        <v>0.5673611111111111</v>
      </c>
      <c r="M27" s="8"/>
      <c r="N27" s="8">
        <v>0.6715277777777777</v>
      </c>
      <c r="O27" s="8"/>
      <c r="P27" s="8">
        <v>0.7548611111111111</v>
      </c>
      <c r="Q27" s="8"/>
      <c r="R27" s="8">
        <v>0.8381944444444445</v>
      </c>
      <c r="S27" s="12"/>
      <c r="T27" s="12"/>
    </row>
    <row r="28">
      <c r="A28" s="13" t="s">
        <v>469</v>
      </c>
      <c r="B28" s="7" t="s">
        <v>470</v>
      </c>
      <c r="C28" s="8"/>
      <c r="D28" s="8">
        <v>0.2375</v>
      </c>
      <c r="E28" s="8"/>
      <c r="F28" s="8">
        <v>0.3208333333333333</v>
      </c>
      <c r="G28" s="8"/>
      <c r="H28" s="8">
        <v>0.4048611111111111</v>
      </c>
      <c r="I28" s="8"/>
      <c r="J28" s="8">
        <v>0.4875</v>
      </c>
      <c r="K28" s="8"/>
      <c r="L28" s="8">
        <v>0.5708333333333333</v>
      </c>
      <c r="M28" s="8"/>
      <c r="N28" s="8">
        <v>0.6749999999999999</v>
      </c>
      <c r="O28" s="8"/>
      <c r="P28" s="8">
        <v>0.7583333333333333</v>
      </c>
      <c r="Q28" s="8"/>
      <c r="R28" s="8">
        <v>0.8416666666666667</v>
      </c>
      <c r="S28" s="12"/>
      <c r="T28" s="12"/>
    </row>
    <row r="29">
      <c r="A29" s="11" t="s">
        <v>270</v>
      </c>
      <c r="B29" s="7" t="s">
        <v>468</v>
      </c>
      <c r="C29" s="8"/>
      <c r="D29" s="8">
        <v>0.24305555555555552</v>
      </c>
      <c r="E29" s="8"/>
      <c r="F29" s="8">
        <v>0.32638888888888884</v>
      </c>
      <c r="G29" s="8"/>
      <c r="H29" s="8">
        <v>0.41041666666666665</v>
      </c>
      <c r="I29" s="8"/>
      <c r="J29" s="8">
        <v>0.4930555555555555</v>
      </c>
      <c r="K29" s="8"/>
      <c r="L29" s="8">
        <v>0.5763888888888888</v>
      </c>
      <c r="M29" s="8"/>
      <c r="N29" s="8">
        <v>0.6805555555555555</v>
      </c>
      <c r="O29" s="8"/>
      <c r="P29" s="8">
        <v>0.7638888888888888</v>
      </c>
      <c r="Q29" s="8"/>
      <c r="R29" s="8">
        <v>0.8472222222222222</v>
      </c>
      <c r="S29" s="12"/>
      <c r="T29" s="12"/>
    </row>
    <row r="30">
      <c r="A30" s="180"/>
      <c r="B30" s="181"/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3"/>
      <c r="V30" s="183"/>
      <c r="W30" s="183"/>
      <c r="X30" s="183"/>
      <c r="Y30" s="183"/>
      <c r="Z30" s="183"/>
      <c r="AA30" s="183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>
      <c r="B36" s="12"/>
      <c r="C36" s="163"/>
      <c r="D36" s="14"/>
      <c r="E36" s="163"/>
      <c r="F36" s="14"/>
      <c r="G36" s="163"/>
      <c r="H36" s="14"/>
      <c r="I36" s="163"/>
      <c r="J36" s="14"/>
      <c r="K36" s="17"/>
      <c r="L36" s="14"/>
      <c r="M36" s="17"/>
      <c r="N36" s="14"/>
      <c r="O36" s="17"/>
      <c r="P36" s="14"/>
      <c r="Q36" s="17"/>
    </row>
    <row r="37">
      <c r="B37" s="163"/>
      <c r="C37" s="163"/>
      <c r="D37" s="163"/>
      <c r="E37" s="163"/>
      <c r="F37" s="163"/>
      <c r="G37" s="163"/>
      <c r="H37" s="163"/>
      <c r="I37" s="163"/>
      <c r="J37" s="163"/>
      <c r="K37" s="17"/>
      <c r="L37" s="17"/>
      <c r="M37" s="17"/>
      <c r="N37" s="17"/>
      <c r="O37" s="17"/>
      <c r="P37" s="17"/>
      <c r="Q37" s="17"/>
    </row>
    <row r="38">
      <c r="A38" s="13"/>
      <c r="B38" s="163"/>
      <c r="C38" s="163"/>
      <c r="D38" s="163"/>
      <c r="E38" s="163"/>
      <c r="F38" s="163"/>
      <c r="G38" s="163"/>
      <c r="H38" s="163"/>
      <c r="I38" s="163"/>
      <c r="J38" s="163"/>
      <c r="K38" s="17"/>
      <c r="L38" s="17"/>
      <c r="M38" s="17"/>
      <c r="N38" s="17"/>
      <c r="O38" s="17"/>
      <c r="P38" s="17"/>
      <c r="Q38" s="17"/>
    </row>
    <row r="39">
      <c r="A39" s="13"/>
      <c r="B39" s="145"/>
      <c r="C39" s="145"/>
      <c r="D39" s="145"/>
      <c r="E39" s="145"/>
      <c r="F39" s="145"/>
      <c r="G39" s="145"/>
      <c r="H39" s="145"/>
      <c r="I39" s="145"/>
      <c r="J39" s="145"/>
      <c r="K39" s="17"/>
      <c r="L39" s="17"/>
      <c r="M39" s="17"/>
      <c r="N39" s="17"/>
      <c r="O39" s="17"/>
      <c r="P39" s="17"/>
      <c r="Q39" s="17"/>
    </row>
    <row r="40">
      <c r="A40" s="13"/>
      <c r="B40" s="145"/>
      <c r="C40" s="145"/>
      <c r="D40" s="145"/>
      <c r="E40" s="145"/>
      <c r="F40" s="145"/>
      <c r="G40" s="145"/>
      <c r="H40" s="145"/>
      <c r="I40" s="145"/>
      <c r="J40" s="145"/>
      <c r="K40" s="17"/>
      <c r="L40" s="17"/>
      <c r="M40" s="17"/>
      <c r="N40" s="17"/>
      <c r="O40" s="17"/>
      <c r="P40" s="17"/>
      <c r="Q40" s="17"/>
    </row>
    <row r="41">
      <c r="A41" s="13"/>
      <c r="B41" s="14"/>
      <c r="C41" s="163"/>
      <c r="D41" s="14"/>
      <c r="E41" s="163"/>
      <c r="F41" s="14"/>
      <c r="G41" s="163"/>
      <c r="H41" s="14"/>
      <c r="I41" s="163"/>
      <c r="J41" s="14"/>
      <c r="K41" s="17"/>
      <c r="L41" s="14"/>
      <c r="M41" s="17"/>
      <c r="N41" s="14"/>
      <c r="O41" s="17"/>
      <c r="P41" s="14"/>
      <c r="Q41" s="17"/>
    </row>
    <row r="42">
      <c r="A42" s="13"/>
      <c r="B42" s="163"/>
      <c r="C42" s="163"/>
      <c r="D42" s="163"/>
      <c r="E42" s="163"/>
      <c r="F42" s="163"/>
      <c r="G42" s="163"/>
      <c r="H42" s="163"/>
      <c r="I42" s="163"/>
      <c r="J42" s="163"/>
      <c r="K42" s="17"/>
      <c r="L42" s="17"/>
      <c r="M42" s="17"/>
      <c r="N42" s="17"/>
      <c r="O42" s="17"/>
      <c r="P42" s="17"/>
      <c r="Q42" s="17"/>
    </row>
    <row r="43">
      <c r="A43" s="13"/>
      <c r="B43" s="145"/>
      <c r="C43" s="145"/>
      <c r="D43" s="145"/>
      <c r="E43" s="145"/>
      <c r="F43" s="145"/>
      <c r="G43" s="145"/>
      <c r="H43" s="145"/>
      <c r="I43" s="145"/>
      <c r="J43" s="145"/>
      <c r="K43" s="17"/>
      <c r="L43" s="17"/>
      <c r="M43" s="17"/>
      <c r="N43" s="17"/>
      <c r="O43" s="17"/>
      <c r="P43" s="17"/>
      <c r="Q43" s="17"/>
    </row>
    <row r="44">
      <c r="A44" s="13"/>
      <c r="B44" s="14"/>
      <c r="C44" s="163"/>
      <c r="D44" s="14"/>
      <c r="E44" s="163"/>
      <c r="F44" s="14"/>
      <c r="G44" s="163"/>
      <c r="H44" s="14"/>
      <c r="I44" s="163"/>
      <c r="J44" s="14"/>
      <c r="K44" s="17"/>
      <c r="L44" s="14"/>
      <c r="M44" s="17"/>
      <c r="N44" s="14"/>
      <c r="O44" s="17"/>
      <c r="P44" s="14"/>
      <c r="Q44" s="17"/>
    </row>
    <row r="45">
      <c r="A45" s="13"/>
      <c r="B45" s="145"/>
      <c r="C45" s="145"/>
      <c r="D45" s="145"/>
      <c r="E45" s="145"/>
      <c r="F45" s="145"/>
      <c r="G45" s="145"/>
      <c r="H45" s="145"/>
      <c r="I45" s="145"/>
      <c r="J45" s="145"/>
      <c r="K45" s="17"/>
      <c r="L45" s="17"/>
      <c r="M45" s="17"/>
      <c r="N45" s="17"/>
      <c r="O45" s="17"/>
      <c r="P45" s="17"/>
      <c r="Q45" s="17"/>
    </row>
    <row r="46">
      <c r="A46" s="13"/>
      <c r="B46" s="14"/>
      <c r="C46" s="17"/>
      <c r="D46" s="14"/>
      <c r="E46" s="17"/>
      <c r="F46" s="14"/>
      <c r="G46" s="17"/>
      <c r="H46" s="14"/>
      <c r="I46" s="17"/>
      <c r="J46" s="14"/>
      <c r="K46" s="17"/>
      <c r="L46" s="14"/>
      <c r="M46" s="17"/>
      <c r="N46" s="14"/>
      <c r="O46" s="17"/>
      <c r="P46" s="14"/>
      <c r="Q46" s="17"/>
    </row>
    <row r="47">
      <c r="A47" s="13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</row>
    <row r="50">
      <c r="A50" s="13"/>
      <c r="B50" s="17"/>
      <c r="C50" s="14"/>
      <c r="D50" s="17"/>
      <c r="E50" s="14"/>
      <c r="F50" s="17"/>
      <c r="G50" s="14"/>
      <c r="H50" s="17"/>
      <c r="I50" s="14"/>
      <c r="J50" s="17"/>
      <c r="K50" s="14"/>
      <c r="L50" s="17"/>
      <c r="M50" s="14"/>
      <c r="N50" s="17"/>
      <c r="O50" s="14"/>
      <c r="P50" s="17"/>
      <c r="Q50" s="14"/>
    </row>
    <row r="51">
      <c r="A51" s="13"/>
      <c r="B51" s="17"/>
      <c r="C51" s="14"/>
      <c r="D51" s="17"/>
      <c r="E51" s="14"/>
      <c r="F51" s="17"/>
      <c r="G51" s="14"/>
      <c r="H51" s="17"/>
      <c r="I51" s="14"/>
      <c r="J51" s="17"/>
      <c r="K51" s="14"/>
      <c r="L51" s="17"/>
      <c r="M51" s="14"/>
      <c r="N51" s="17"/>
      <c r="O51" s="14"/>
      <c r="P51" s="17"/>
      <c r="Q51" s="14"/>
    </row>
    <row r="52">
      <c r="A52" s="13"/>
      <c r="B52" s="17"/>
      <c r="C52" s="14"/>
      <c r="D52" s="17"/>
      <c r="E52" s="14"/>
      <c r="F52" s="17"/>
      <c r="G52" s="14"/>
      <c r="H52" s="17"/>
      <c r="I52" s="14"/>
      <c r="J52" s="17"/>
      <c r="K52" s="14"/>
      <c r="L52" s="17"/>
      <c r="M52" s="14"/>
      <c r="N52" s="17"/>
      <c r="O52" s="14"/>
      <c r="P52" s="17"/>
      <c r="Q52" s="14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</row>
    <row r="54">
      <c r="A54" s="13"/>
      <c r="B54" s="17"/>
      <c r="C54" s="14"/>
      <c r="D54" s="17"/>
      <c r="E54" s="14"/>
      <c r="F54" s="17"/>
      <c r="G54" s="14"/>
      <c r="H54" s="17"/>
      <c r="I54" s="14"/>
      <c r="J54" s="17"/>
      <c r="K54" s="14"/>
      <c r="L54" s="17"/>
      <c r="M54" s="14"/>
      <c r="N54" s="17"/>
      <c r="O54" s="14"/>
      <c r="P54" s="17"/>
      <c r="Q54" s="14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</row>
    <row r="57">
      <c r="A57" s="13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</row>
    <row r="58">
      <c r="A58" s="13"/>
      <c r="B58" s="17"/>
      <c r="C58" s="14"/>
      <c r="D58" s="17"/>
      <c r="E58" s="14"/>
      <c r="F58" s="17"/>
      <c r="G58" s="14"/>
      <c r="H58" s="17"/>
      <c r="I58" s="14"/>
      <c r="J58" s="17"/>
      <c r="K58" s="14"/>
      <c r="L58" s="17"/>
      <c r="M58" s="14"/>
      <c r="N58" s="17"/>
      <c r="O58" s="14"/>
      <c r="P58" s="17"/>
      <c r="Q58" s="14"/>
    </row>
    <row r="59">
      <c r="A59" s="13"/>
      <c r="B59" s="17"/>
      <c r="C59" s="14"/>
      <c r="D59" s="17"/>
      <c r="E59" s="14"/>
      <c r="F59" s="17"/>
      <c r="G59" s="14"/>
      <c r="H59" s="17"/>
      <c r="I59" s="14"/>
      <c r="J59" s="17"/>
      <c r="K59" s="14"/>
      <c r="L59" s="17"/>
      <c r="M59" s="14"/>
      <c r="N59" s="17"/>
      <c r="O59" s="14"/>
      <c r="P59" s="17"/>
      <c r="Q59" s="14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45710.0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52" t="s">
        <v>537</v>
      </c>
      <c r="D2" s="152" t="s">
        <v>538</v>
      </c>
      <c r="E2" s="152" t="s">
        <v>455</v>
      </c>
      <c r="F2" s="152" t="s">
        <v>457</v>
      </c>
      <c r="G2" s="152" t="s">
        <v>465</v>
      </c>
      <c r="H2" s="152" t="s">
        <v>467</v>
      </c>
      <c r="I2" s="152" t="s">
        <v>539</v>
      </c>
      <c r="J2" s="152" t="s">
        <v>454</v>
      </c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270</v>
      </c>
      <c r="B3" s="5" t="s">
        <v>468</v>
      </c>
      <c r="C3" s="6">
        <v>0.20833333333333334</v>
      </c>
      <c r="D3" s="6"/>
      <c r="E3" s="6">
        <v>0.2916666666666667</v>
      </c>
      <c r="F3" s="6"/>
      <c r="G3" s="6">
        <v>0.6666666666666666</v>
      </c>
      <c r="H3" s="6"/>
      <c r="I3" s="6">
        <v>0.75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469</v>
      </c>
      <c r="B4" s="9" t="s">
        <v>470</v>
      </c>
      <c r="C4" s="8">
        <v>0.21319444444444444</v>
      </c>
      <c r="D4" s="8"/>
      <c r="E4" s="8">
        <v>0.2965277777777778</v>
      </c>
      <c r="F4" s="8"/>
      <c r="G4" s="8">
        <v>0.6715277777777777</v>
      </c>
      <c r="H4" s="8"/>
      <c r="I4" s="8">
        <v>0.7548611111111111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471</v>
      </c>
      <c r="B5" s="9" t="s">
        <v>472</v>
      </c>
      <c r="C5" s="8">
        <v>0.21736111111111112</v>
      </c>
      <c r="D5" s="8"/>
      <c r="E5" s="8">
        <v>0.30069444444444443</v>
      </c>
      <c r="F5" s="8"/>
      <c r="G5" s="8">
        <v>0.6756944444444445</v>
      </c>
      <c r="H5" s="8"/>
      <c r="I5" s="8">
        <v>0.7590277777777777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473</v>
      </c>
      <c r="B6" s="9" t="s">
        <v>474</v>
      </c>
      <c r="C6" s="8">
        <v>0.21944444444444444</v>
      </c>
      <c r="D6" s="8"/>
      <c r="E6" s="8">
        <v>0.30277777777777776</v>
      </c>
      <c r="F6" s="8"/>
      <c r="G6" s="8">
        <v>0.6777777777777778</v>
      </c>
      <c r="H6" s="8"/>
      <c r="I6" s="8">
        <v>0.7611111111111111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475</v>
      </c>
      <c r="B7" s="9" t="s">
        <v>476</v>
      </c>
      <c r="C7" s="8">
        <v>0.2222222222222222</v>
      </c>
      <c r="D7" s="8"/>
      <c r="E7" s="8">
        <v>0.3055555555555556</v>
      </c>
      <c r="F7" s="8"/>
      <c r="G7" s="8">
        <v>0.6805555555555556</v>
      </c>
      <c r="H7" s="8"/>
      <c r="I7" s="8">
        <v>0.7638888888888888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477</v>
      </c>
      <c r="B8" s="7" t="s">
        <v>478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479</v>
      </c>
      <c r="B9" s="7" t="s">
        <v>480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481</v>
      </c>
      <c r="B10" s="7" t="s">
        <v>482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483</v>
      </c>
      <c r="B11" s="7" t="s">
        <v>484</v>
      </c>
      <c r="C11" s="8">
        <v>0.22847222222222222</v>
      </c>
      <c r="D11" s="8"/>
      <c r="E11" s="8">
        <v>0.31180555555555556</v>
      </c>
      <c r="F11" s="8"/>
      <c r="G11" s="8">
        <v>0.6868055555555556</v>
      </c>
      <c r="H11" s="8"/>
      <c r="I11" s="8">
        <v>0.7701388888888889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485</v>
      </c>
      <c r="B12" s="7" t="s">
        <v>486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487</v>
      </c>
      <c r="B13" s="7" t="s">
        <v>488</v>
      </c>
      <c r="C13" s="8">
        <v>0.23333333333333334</v>
      </c>
      <c r="D13" s="8"/>
      <c r="E13" s="8">
        <v>0.31666666666666665</v>
      </c>
      <c r="F13" s="8"/>
      <c r="G13" s="8">
        <v>0.6916666666666667</v>
      </c>
      <c r="H13" s="8"/>
      <c r="I13" s="8">
        <v>0.775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489</v>
      </c>
      <c r="B14" s="7" t="s">
        <v>490</v>
      </c>
      <c r="C14" s="8">
        <v>0.2361111111111111</v>
      </c>
      <c r="D14" s="8"/>
      <c r="E14" s="8">
        <v>0.3194444444444444</v>
      </c>
      <c r="F14" s="8"/>
      <c r="G14" s="8">
        <v>0.6944444444444444</v>
      </c>
      <c r="H14" s="8"/>
      <c r="I14" s="8">
        <v>0.7777777777777778</v>
      </c>
      <c r="J14" s="8"/>
      <c r="K14" s="8"/>
      <c r="L14" s="8"/>
      <c r="M14" s="8"/>
      <c r="N14" s="8"/>
      <c r="O14" s="8"/>
      <c r="P14" s="8"/>
      <c r="Q14" s="8"/>
      <c r="R14" s="8"/>
    </row>
    <row r="15">
      <c r="A15" s="1" t="s">
        <v>491</v>
      </c>
      <c r="B15" s="7" t="s">
        <v>492</v>
      </c>
      <c r="C15" s="8">
        <v>0.23958333333333334</v>
      </c>
      <c r="D15" s="8"/>
      <c r="E15" s="8">
        <v>0.3229166666666667</v>
      </c>
      <c r="F15" s="8"/>
      <c r="G15" s="8">
        <v>0.6979166666666666</v>
      </c>
      <c r="H15" s="8"/>
      <c r="I15" s="8">
        <v>0.78125</v>
      </c>
      <c r="J15" s="8"/>
      <c r="K15" s="8"/>
      <c r="L15" s="8"/>
      <c r="M15" s="8"/>
      <c r="N15" s="8"/>
      <c r="O15" s="8"/>
      <c r="P15" s="8"/>
      <c r="Q15" s="8"/>
      <c r="R15" s="8"/>
    </row>
    <row r="16">
      <c r="A16" s="7" t="s">
        <v>493</v>
      </c>
      <c r="B16" s="7" t="s">
        <v>494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495</v>
      </c>
      <c r="B17" s="7" t="s">
        <v>496</v>
      </c>
      <c r="C17" s="8">
        <v>0.24305555555555555</v>
      </c>
      <c r="D17" s="8">
        <v>0.25</v>
      </c>
      <c r="E17" s="8">
        <v>0.3263888888888889</v>
      </c>
      <c r="F17" s="8">
        <v>0.3333333333333333</v>
      </c>
      <c r="G17" s="8">
        <v>0.7013888888888888</v>
      </c>
      <c r="H17" s="8">
        <v>0.7083333333333334</v>
      </c>
      <c r="I17" s="8">
        <v>0.7847222222222222</v>
      </c>
      <c r="J17" s="8">
        <v>0.7916666666666666</v>
      </c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497</v>
      </c>
      <c r="B18" s="7" t="s">
        <v>498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499</v>
      </c>
      <c r="B19" s="7" t="s">
        <v>500</v>
      </c>
      <c r="C19" s="184"/>
      <c r="D19" s="184">
        <f>D17+TIME(0,7,0)</f>
        <v>0.2548611111</v>
      </c>
      <c r="E19" s="184"/>
      <c r="F19" s="184">
        <f>F17+TIME(0,7,0)</f>
        <v>0.3381944444</v>
      </c>
      <c r="G19" s="184"/>
      <c r="H19" s="184">
        <f>H17+TIME(0,7,0)</f>
        <v>0.7131944444</v>
      </c>
      <c r="I19" s="184"/>
      <c r="J19" s="184">
        <f>J17+TIME(0,7,0)</f>
        <v>0.7965277778</v>
      </c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501</v>
      </c>
      <c r="B20" s="11" t="s">
        <v>502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1"/>
      <c r="T20" s="11"/>
    </row>
    <row r="21">
      <c r="A21" s="11" t="s">
        <v>503</v>
      </c>
      <c r="B21" s="11" t="s">
        <v>504</v>
      </c>
      <c r="C21" s="8"/>
      <c r="D21" s="8">
        <v>0.25972222222222224</v>
      </c>
      <c r="E21" s="8"/>
      <c r="F21" s="8">
        <v>0.34305555555555556</v>
      </c>
      <c r="G21" s="8"/>
      <c r="H21" s="8">
        <v>0.7180555555555556</v>
      </c>
      <c r="I21" s="8"/>
      <c r="J21" s="8">
        <v>0.8013888888888889</v>
      </c>
      <c r="K21" s="8"/>
      <c r="L21" s="8"/>
      <c r="M21" s="8"/>
      <c r="N21" s="8"/>
      <c r="O21" s="8"/>
      <c r="P21" s="8"/>
      <c r="Q21" s="8"/>
      <c r="R21" s="8"/>
      <c r="S21" s="12"/>
      <c r="T21" s="12"/>
    </row>
    <row r="22">
      <c r="A22" s="13" t="s">
        <v>505</v>
      </c>
      <c r="B22" s="11" t="s">
        <v>506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2"/>
      <c r="T22" s="12"/>
    </row>
    <row r="23">
      <c r="A23" s="13" t="s">
        <v>507</v>
      </c>
      <c r="B23" s="11" t="s">
        <v>508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12"/>
      <c r="T23" s="12"/>
    </row>
    <row r="24">
      <c r="A24" s="13" t="s">
        <v>509</v>
      </c>
      <c r="B24" s="11" t="s">
        <v>510</v>
      </c>
      <c r="C24" s="8"/>
      <c r="D24" s="8">
        <v>0.26875</v>
      </c>
      <c r="E24" s="8"/>
      <c r="F24" s="8">
        <v>0.35208333333333336</v>
      </c>
      <c r="G24" s="8"/>
      <c r="H24" s="8">
        <v>0.7270833333333333</v>
      </c>
      <c r="I24" s="8"/>
      <c r="J24" s="8">
        <v>0.8104166666666667</v>
      </c>
      <c r="K24" s="8"/>
      <c r="L24" s="8"/>
      <c r="M24" s="8"/>
      <c r="N24" s="8"/>
      <c r="O24" s="8"/>
      <c r="P24" s="8"/>
      <c r="Q24" s="8"/>
      <c r="R24" s="8"/>
      <c r="S24" s="12"/>
      <c r="T24" s="12"/>
    </row>
    <row r="25">
      <c r="A25" s="13" t="s">
        <v>511</v>
      </c>
      <c r="B25" s="11" t="s">
        <v>512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12"/>
      <c r="T25" s="12"/>
    </row>
    <row r="26">
      <c r="A26" s="13" t="s">
        <v>513</v>
      </c>
      <c r="B26" s="11" t="s">
        <v>514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2"/>
      <c r="T26" s="12"/>
    </row>
    <row r="27">
      <c r="A27" s="13" t="s">
        <v>515</v>
      </c>
      <c r="B27" s="11" t="s">
        <v>516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12"/>
      <c r="T27" s="12"/>
    </row>
    <row r="28">
      <c r="A28" s="13" t="s">
        <v>517</v>
      </c>
      <c r="B28" s="11" t="s">
        <v>518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2"/>
      <c r="T28" s="12"/>
    </row>
    <row r="29">
      <c r="A29" s="13" t="s">
        <v>519</v>
      </c>
      <c r="B29" s="11" t="s">
        <v>520</v>
      </c>
      <c r="C29" s="8"/>
      <c r="D29" s="8">
        <v>0.2847222222222222</v>
      </c>
      <c r="E29" s="8"/>
      <c r="F29" s="8">
        <v>0.3680555555555556</v>
      </c>
      <c r="G29" s="8"/>
      <c r="H29" s="8">
        <v>0.7430555555555556</v>
      </c>
      <c r="I29" s="8"/>
      <c r="J29" s="8">
        <v>0.8263888888888888</v>
      </c>
      <c r="K29" s="8"/>
      <c r="L29" s="8"/>
      <c r="M29" s="8"/>
      <c r="N29" s="8"/>
      <c r="O29" s="8"/>
      <c r="P29" s="8"/>
      <c r="Q29" s="8"/>
      <c r="R29" s="8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4"/>
    </row>
    <row r="36">
      <c r="A36" s="13"/>
      <c r="B36" s="12"/>
      <c r="C36" s="163"/>
      <c r="D36" s="14"/>
      <c r="E36" s="163"/>
      <c r="F36" s="14"/>
      <c r="G36" s="163"/>
      <c r="H36" s="14"/>
      <c r="I36" s="163"/>
      <c r="J36" s="11"/>
    </row>
    <row r="37">
      <c r="A37" s="13"/>
      <c r="B37" s="14"/>
      <c r="C37" s="163"/>
      <c r="D37" s="14"/>
      <c r="E37" s="163"/>
      <c r="F37" s="14"/>
      <c r="G37" s="163"/>
      <c r="H37" s="14"/>
      <c r="I37" s="163"/>
      <c r="J37" s="11"/>
    </row>
    <row r="38">
      <c r="A38" s="13"/>
      <c r="B38" s="14"/>
      <c r="C38" s="163"/>
      <c r="D38" s="14"/>
      <c r="E38" s="163"/>
      <c r="F38" s="14"/>
      <c r="G38" s="163"/>
      <c r="H38" s="14"/>
      <c r="I38" s="163"/>
      <c r="J38" s="11"/>
    </row>
    <row r="39">
      <c r="A39" s="13"/>
      <c r="B39" s="14"/>
      <c r="C39" s="145"/>
      <c r="D39" s="14"/>
      <c r="E39" s="145"/>
      <c r="F39" s="14"/>
      <c r="G39" s="145"/>
      <c r="H39" s="14"/>
      <c r="I39" s="145"/>
      <c r="J39" s="14"/>
    </row>
    <row r="40">
      <c r="A40" s="13"/>
      <c r="B40" s="14"/>
      <c r="C40" s="145"/>
      <c r="D40" s="14"/>
      <c r="E40" s="145"/>
      <c r="F40" s="14"/>
      <c r="G40" s="145"/>
      <c r="H40" s="14"/>
      <c r="I40" s="145"/>
      <c r="J40" s="14"/>
    </row>
    <row r="41">
      <c r="A41" s="13"/>
      <c r="B41" s="163"/>
      <c r="C41" s="163"/>
      <c r="D41" s="163"/>
      <c r="E41" s="163"/>
      <c r="F41" s="163"/>
      <c r="G41" s="163"/>
      <c r="H41" s="163"/>
      <c r="I41" s="163"/>
      <c r="J41" s="11"/>
    </row>
    <row r="42">
      <c r="A42" s="13"/>
      <c r="B42" s="163"/>
      <c r="C42" s="163"/>
      <c r="D42" s="163"/>
      <c r="E42" s="163"/>
      <c r="F42" s="163"/>
      <c r="G42" s="163"/>
      <c r="H42" s="163"/>
      <c r="I42" s="163"/>
      <c r="J42" s="11"/>
    </row>
    <row r="43">
      <c r="A43" s="13"/>
      <c r="B43" s="145"/>
      <c r="C43" s="145"/>
      <c r="D43" s="145"/>
      <c r="E43" s="145"/>
      <c r="F43" s="145"/>
      <c r="G43" s="145"/>
      <c r="H43" s="145"/>
      <c r="I43" s="145"/>
      <c r="J43" s="14"/>
    </row>
    <row r="44">
      <c r="A44" s="13"/>
      <c r="B44" s="14"/>
      <c r="C44" s="163"/>
      <c r="D44" s="14"/>
      <c r="E44" s="163"/>
      <c r="F44" s="14"/>
      <c r="G44" s="163"/>
      <c r="H44" s="14"/>
      <c r="I44" s="163"/>
      <c r="J44" s="11"/>
    </row>
    <row r="45">
      <c r="A45" s="13"/>
      <c r="B45" s="145"/>
      <c r="C45" s="145"/>
      <c r="D45" s="145"/>
      <c r="E45" s="145"/>
      <c r="F45" s="145"/>
      <c r="G45" s="145"/>
      <c r="H45" s="145"/>
      <c r="I45" s="145"/>
      <c r="J45" s="14"/>
    </row>
    <row r="46">
      <c r="A46" s="13"/>
      <c r="B46" s="14"/>
      <c r="C46" s="17"/>
      <c r="D46" s="14"/>
      <c r="E46" s="17"/>
      <c r="F46" s="14"/>
      <c r="G46" s="17"/>
      <c r="H46" s="14"/>
      <c r="I46" s="17"/>
    </row>
    <row r="47">
      <c r="A47" s="13"/>
      <c r="B47" s="14"/>
      <c r="C47" s="17"/>
      <c r="D47" s="14"/>
      <c r="E47" s="17"/>
      <c r="F47" s="14"/>
      <c r="G47" s="17"/>
      <c r="H47" s="14"/>
      <c r="I47" s="17"/>
    </row>
    <row r="48">
      <c r="A48" s="13"/>
      <c r="B48" s="14"/>
      <c r="C48" s="17"/>
      <c r="D48" s="14"/>
      <c r="E48" s="17"/>
      <c r="F48" s="14"/>
      <c r="G48" s="17"/>
      <c r="H48" s="14"/>
      <c r="I48" s="17"/>
    </row>
    <row r="49">
      <c r="A49" s="13"/>
      <c r="B49" s="17"/>
      <c r="C49" s="17"/>
      <c r="D49" s="17"/>
      <c r="E49" s="17"/>
      <c r="F49" s="17"/>
      <c r="G49" s="17"/>
      <c r="H49" s="17"/>
      <c r="I49" s="17"/>
    </row>
    <row r="50">
      <c r="A50" s="13"/>
      <c r="B50" s="14"/>
      <c r="C50" s="14"/>
      <c r="D50" s="14"/>
      <c r="E50" s="14"/>
      <c r="F50" s="14"/>
      <c r="G50" s="14"/>
      <c r="H50" s="14"/>
      <c r="I50" s="14"/>
    </row>
    <row r="51">
      <c r="A51" s="13"/>
      <c r="B51" s="17"/>
      <c r="C51" s="17"/>
      <c r="D51" s="17"/>
      <c r="E51" s="17"/>
      <c r="F51" s="17"/>
      <c r="G51" s="17"/>
      <c r="H51" s="17"/>
      <c r="I51" s="17"/>
    </row>
    <row r="52">
      <c r="A52" s="13"/>
      <c r="B52" s="17"/>
      <c r="C52" s="17"/>
      <c r="D52" s="17"/>
      <c r="E52" s="17"/>
      <c r="F52" s="17"/>
      <c r="G52" s="17"/>
      <c r="H52" s="17"/>
      <c r="I52" s="17"/>
    </row>
    <row r="53">
      <c r="A53" s="13"/>
      <c r="B53" s="17"/>
      <c r="C53" s="17"/>
      <c r="D53" s="17"/>
      <c r="E53" s="17"/>
      <c r="F53" s="17"/>
      <c r="G53" s="17"/>
      <c r="H53" s="17"/>
      <c r="I53" s="17"/>
    </row>
    <row r="54">
      <c r="A54" s="13"/>
      <c r="B54" s="17"/>
      <c r="C54" s="14"/>
      <c r="D54" s="17"/>
      <c r="E54" s="14"/>
      <c r="F54" s="17"/>
      <c r="G54" s="14"/>
      <c r="H54" s="17"/>
      <c r="I54" s="14"/>
    </row>
    <row r="55">
      <c r="A55" s="13"/>
      <c r="B55" s="17"/>
      <c r="C55" s="17"/>
      <c r="D55" s="17"/>
      <c r="E55" s="17"/>
      <c r="F55" s="17"/>
      <c r="G55" s="17"/>
      <c r="H55" s="17"/>
      <c r="I55" s="17"/>
    </row>
    <row r="56">
      <c r="A56" s="13"/>
      <c r="B56" s="17"/>
      <c r="C56" s="17"/>
      <c r="D56" s="17"/>
      <c r="E56" s="17"/>
      <c r="F56" s="17"/>
      <c r="G56" s="17"/>
      <c r="H56" s="17"/>
      <c r="I56" s="17"/>
    </row>
    <row r="57">
      <c r="A57" s="13"/>
      <c r="B57" s="17"/>
      <c r="C57" s="14"/>
      <c r="D57" s="17"/>
      <c r="E57" s="14"/>
      <c r="F57" s="17"/>
      <c r="G57" s="14"/>
      <c r="H57" s="17"/>
      <c r="I57" s="14"/>
    </row>
    <row r="58">
      <c r="A58" s="13"/>
      <c r="B58" s="17"/>
      <c r="C58" s="17"/>
      <c r="D58" s="17"/>
      <c r="E58" s="17"/>
      <c r="F58" s="17"/>
      <c r="G58" s="17"/>
      <c r="H58" s="17"/>
      <c r="I58" s="17"/>
    </row>
    <row r="59">
      <c r="A59" s="13"/>
      <c r="B59" s="17"/>
      <c r="C59" s="17"/>
      <c r="D59" s="17"/>
      <c r="E59" s="17"/>
      <c r="F59" s="17"/>
      <c r="G59" s="17"/>
      <c r="H59" s="17"/>
      <c r="I59" s="17"/>
    </row>
    <row r="60">
      <c r="A60" s="13"/>
      <c r="B60" s="17"/>
      <c r="C60" s="17"/>
      <c r="D60" s="17"/>
      <c r="E60" s="17"/>
      <c r="F60" s="17"/>
      <c r="G60" s="17"/>
      <c r="H60" s="17"/>
      <c r="I60" s="17"/>
    </row>
    <row r="61">
      <c r="A61" s="13"/>
      <c r="B61" s="17"/>
      <c r="C61" s="17"/>
      <c r="D61" s="17"/>
      <c r="E61" s="17"/>
      <c r="F61" s="17"/>
      <c r="G61" s="17"/>
      <c r="H61" s="17"/>
      <c r="I61" s="17"/>
    </row>
    <row r="62">
      <c r="A62" s="13"/>
      <c r="B62" s="17"/>
      <c r="C62" s="14"/>
      <c r="D62" s="17"/>
      <c r="E62" s="14"/>
      <c r="F62" s="17"/>
      <c r="G62" s="14"/>
      <c r="H62" s="17"/>
      <c r="I62" s="14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'JHB-to-RAND_Sat'!B1</f>
        <v>45710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52" t="s">
        <v>521</v>
      </c>
      <c r="D2" s="152" t="s">
        <v>523</v>
      </c>
      <c r="E2" s="152" t="s">
        <v>525</v>
      </c>
      <c r="F2" s="152" t="s">
        <v>527</v>
      </c>
      <c r="G2" s="152" t="s">
        <v>535</v>
      </c>
      <c r="H2" s="152" t="s">
        <v>540</v>
      </c>
      <c r="I2" s="152" t="s">
        <v>541</v>
      </c>
      <c r="J2" s="152" t="s">
        <v>522</v>
      </c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519</v>
      </c>
      <c r="B3" s="5" t="s">
        <v>520</v>
      </c>
      <c r="C3" s="6">
        <v>0.20833333333333334</v>
      </c>
      <c r="D3" s="6"/>
      <c r="E3" s="6">
        <v>0.2916666666666667</v>
      </c>
      <c r="F3" s="6"/>
      <c r="G3" s="6">
        <v>0.6666666666666666</v>
      </c>
      <c r="H3" s="6"/>
      <c r="I3" s="6">
        <v>0.75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517</v>
      </c>
      <c r="B4" s="7" t="s">
        <v>518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515</v>
      </c>
      <c r="B5" s="7" t="s">
        <v>516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513</v>
      </c>
      <c r="B6" s="7" t="s">
        <v>514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511</v>
      </c>
      <c r="B7" s="7" t="s">
        <v>512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509</v>
      </c>
      <c r="B8" s="7" t="s">
        <v>510</v>
      </c>
      <c r="C8" s="8">
        <v>0.22569444444444445</v>
      </c>
      <c r="D8" s="8"/>
      <c r="E8" s="8">
        <v>0.3090277777777778</v>
      </c>
      <c r="F8" s="8"/>
      <c r="G8" s="8">
        <v>0.6840277777777778</v>
      </c>
      <c r="H8" s="8"/>
      <c r="I8" s="8">
        <v>0.7673611111111112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507</v>
      </c>
      <c r="B9" s="7" t="s">
        <v>508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505</v>
      </c>
      <c r="B10" s="7" t="s">
        <v>506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503</v>
      </c>
      <c r="B11" s="7" t="s">
        <v>504</v>
      </c>
      <c r="C11" s="8">
        <v>0.23125</v>
      </c>
      <c r="D11" s="8"/>
      <c r="E11" s="8">
        <v>0.3145833333333333</v>
      </c>
      <c r="F11" s="8"/>
      <c r="G11" s="8">
        <v>0.6895833333333333</v>
      </c>
      <c r="H11" s="8"/>
      <c r="I11" s="8">
        <v>0.7729166666666667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501</v>
      </c>
      <c r="B12" s="7" t="s">
        <v>502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499</v>
      </c>
      <c r="B13" s="7" t="s">
        <v>500</v>
      </c>
      <c r="C13" s="184">
        <f>C15-TIME(0,7,0)</f>
        <v>0.2381944444</v>
      </c>
      <c r="D13" s="184"/>
      <c r="E13" s="184">
        <f>E15-TIME(0,7,0)</f>
        <v>0.3215277778</v>
      </c>
      <c r="F13" s="184"/>
      <c r="G13" s="184">
        <f>G15-TIME(0,7,0)</f>
        <v>0.6965277778</v>
      </c>
      <c r="H13" s="184"/>
      <c r="I13" s="184">
        <f>I15-TIME(0,7,0)</f>
        <v>0.7798611111</v>
      </c>
      <c r="J13" s="184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497</v>
      </c>
      <c r="B14" s="7" t="s">
        <v>498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1" t="s">
        <v>495</v>
      </c>
      <c r="B15" s="7" t="s">
        <v>496</v>
      </c>
      <c r="C15" s="8">
        <v>0.24305555555555555</v>
      </c>
      <c r="D15" s="8">
        <v>0.25</v>
      </c>
      <c r="E15" s="8">
        <v>0.3263888888888889</v>
      </c>
      <c r="F15" s="8">
        <v>0.3333333333333333</v>
      </c>
      <c r="G15" s="8">
        <v>0.7013888888888888</v>
      </c>
      <c r="H15" s="8">
        <v>0.7083333333333334</v>
      </c>
      <c r="I15" s="8">
        <v>0.7847222222222222</v>
      </c>
      <c r="J15" s="8">
        <v>0.7916666666666666</v>
      </c>
      <c r="K15" s="8"/>
      <c r="L15" s="8"/>
      <c r="M15" s="8"/>
      <c r="N15" s="8"/>
      <c r="O15" s="8"/>
      <c r="P15" s="8"/>
      <c r="Q15" s="8"/>
      <c r="R15" s="8"/>
    </row>
    <row r="16">
      <c r="A16" s="7" t="s">
        <v>493</v>
      </c>
      <c r="B16" s="7" t="s">
        <v>494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491</v>
      </c>
      <c r="B17" s="7" t="s">
        <v>492</v>
      </c>
      <c r="C17" s="8"/>
      <c r="D17" s="8">
        <v>0.2534722222222222</v>
      </c>
      <c r="E17" s="8"/>
      <c r="F17" s="8">
        <v>0.3368055555555556</v>
      </c>
      <c r="G17" s="8"/>
      <c r="H17" s="8">
        <v>0.7118055555555556</v>
      </c>
      <c r="I17" s="8"/>
      <c r="J17" s="8">
        <v>0.7951388888888888</v>
      </c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489</v>
      </c>
      <c r="B18" s="7" t="s">
        <v>490</v>
      </c>
      <c r="C18" s="8"/>
      <c r="D18" s="8">
        <v>0.25625</v>
      </c>
      <c r="E18" s="8"/>
      <c r="F18" s="8">
        <v>0.33958333333333335</v>
      </c>
      <c r="G18" s="8"/>
      <c r="H18" s="8">
        <v>0.7145833333333333</v>
      </c>
      <c r="I18" s="8"/>
      <c r="J18" s="8">
        <v>0.7979166666666667</v>
      </c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487</v>
      </c>
      <c r="B19" s="7" t="s">
        <v>488</v>
      </c>
      <c r="C19" s="8"/>
      <c r="D19" s="8">
        <v>0.2590277777777778</v>
      </c>
      <c r="E19" s="8"/>
      <c r="F19" s="8">
        <v>0.3423611111111111</v>
      </c>
      <c r="G19" s="8"/>
      <c r="H19" s="8">
        <v>0.7173611111111111</v>
      </c>
      <c r="I19" s="8"/>
      <c r="J19" s="8">
        <v>0.8006944444444445</v>
      </c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485</v>
      </c>
      <c r="B20" s="11" t="s">
        <v>486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1"/>
      <c r="T20" s="11"/>
    </row>
    <row r="21">
      <c r="A21" s="11" t="s">
        <v>483</v>
      </c>
      <c r="B21" s="11" t="s">
        <v>484</v>
      </c>
      <c r="C21" s="8"/>
      <c r="D21" s="8">
        <v>0.2625</v>
      </c>
      <c r="E21" s="8"/>
      <c r="F21" s="8">
        <v>0.3458333333333333</v>
      </c>
      <c r="G21" s="8"/>
      <c r="H21" s="8">
        <v>0.7208333333333333</v>
      </c>
      <c r="I21" s="8"/>
      <c r="J21" s="8">
        <v>0.8041666666666667</v>
      </c>
      <c r="K21" s="8"/>
      <c r="L21" s="8"/>
      <c r="M21" s="8"/>
      <c r="N21" s="8"/>
      <c r="O21" s="8"/>
      <c r="P21" s="8"/>
      <c r="Q21" s="8"/>
      <c r="R21" s="8"/>
      <c r="S21" s="12"/>
      <c r="T21" s="12"/>
    </row>
    <row r="22">
      <c r="A22" s="13" t="s">
        <v>481</v>
      </c>
      <c r="B22" s="11" t="s">
        <v>482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2"/>
      <c r="T22" s="12"/>
    </row>
    <row r="23">
      <c r="A23" s="13" t="s">
        <v>479</v>
      </c>
      <c r="B23" s="11" t="s">
        <v>480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12"/>
      <c r="T23" s="12"/>
    </row>
    <row r="24">
      <c r="A24" s="13" t="s">
        <v>477</v>
      </c>
      <c r="B24" s="11" t="s">
        <v>478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2"/>
      <c r="T24" s="12"/>
    </row>
    <row r="25">
      <c r="A25" s="13" t="s">
        <v>475</v>
      </c>
      <c r="B25" s="11" t="s">
        <v>476</v>
      </c>
      <c r="C25" s="8"/>
      <c r="D25" s="8">
        <v>0.26944444444444443</v>
      </c>
      <c r="E25" s="8"/>
      <c r="F25" s="8">
        <v>0.3527777777777778</v>
      </c>
      <c r="G25" s="8"/>
      <c r="H25" s="8">
        <v>0.7277777777777777</v>
      </c>
      <c r="I25" s="8"/>
      <c r="J25" s="8">
        <v>0.8111111111111111</v>
      </c>
      <c r="K25" s="8"/>
      <c r="L25" s="8"/>
      <c r="M25" s="8"/>
      <c r="N25" s="8"/>
      <c r="O25" s="8"/>
      <c r="S25" s="12"/>
      <c r="T25" s="12"/>
    </row>
    <row r="26">
      <c r="A26" s="13" t="s">
        <v>473</v>
      </c>
      <c r="B26" s="11" t="s">
        <v>474</v>
      </c>
      <c r="C26" s="8"/>
      <c r="D26" s="8">
        <v>0.27291666666666664</v>
      </c>
      <c r="E26" s="8"/>
      <c r="F26" s="8">
        <v>0.35625</v>
      </c>
      <c r="G26" s="8"/>
      <c r="H26" s="8">
        <v>0.73125</v>
      </c>
      <c r="I26" s="8"/>
      <c r="J26" s="8">
        <v>0.8145833333333333</v>
      </c>
      <c r="K26" s="8"/>
      <c r="L26" s="8"/>
      <c r="M26" s="8"/>
      <c r="N26" s="8"/>
      <c r="O26" s="8"/>
      <c r="S26" s="12"/>
      <c r="T26" s="12"/>
    </row>
    <row r="27">
      <c r="A27" s="13" t="s">
        <v>471</v>
      </c>
      <c r="B27" s="11" t="s">
        <v>472</v>
      </c>
      <c r="C27" s="8"/>
      <c r="D27" s="8">
        <v>0.27569444444444446</v>
      </c>
      <c r="E27" s="8"/>
      <c r="F27" s="8">
        <v>0.3590277777777778</v>
      </c>
      <c r="G27" s="8"/>
      <c r="H27" s="8">
        <v>0.7340277777777777</v>
      </c>
      <c r="I27" s="8"/>
      <c r="J27" s="8">
        <v>0.8173611111111111</v>
      </c>
      <c r="K27" s="8"/>
      <c r="L27" s="8"/>
      <c r="M27" s="8"/>
      <c r="N27" s="8"/>
      <c r="O27" s="8"/>
      <c r="S27" s="12"/>
      <c r="T27" s="12"/>
    </row>
    <row r="28">
      <c r="A28" s="13" t="s">
        <v>469</v>
      </c>
      <c r="B28" s="11" t="s">
        <v>470</v>
      </c>
      <c r="C28" s="8"/>
      <c r="D28" s="8">
        <v>0.2791666666666667</v>
      </c>
      <c r="E28" s="8"/>
      <c r="F28" s="8">
        <v>0.3625</v>
      </c>
      <c r="G28" s="8"/>
      <c r="H28" s="8">
        <v>0.7375</v>
      </c>
      <c r="I28" s="8"/>
      <c r="J28" s="8">
        <v>0.8208333333333333</v>
      </c>
      <c r="K28" s="8"/>
      <c r="L28" s="8"/>
      <c r="M28" s="8"/>
      <c r="N28" s="8"/>
      <c r="O28" s="8"/>
      <c r="S28" s="12"/>
      <c r="T28" s="12"/>
    </row>
    <row r="29">
      <c r="A29" s="13" t="s">
        <v>270</v>
      </c>
      <c r="B29" s="11" t="s">
        <v>468</v>
      </c>
      <c r="C29" s="8"/>
      <c r="D29" s="8">
        <v>0.2847222222222222</v>
      </c>
      <c r="E29" s="8"/>
      <c r="F29" s="8">
        <v>0.3680555555555556</v>
      </c>
      <c r="G29" s="8"/>
      <c r="H29" s="8">
        <v>0.7430555555555556</v>
      </c>
      <c r="I29" s="8"/>
      <c r="J29" s="8">
        <v>0.8263888888888888</v>
      </c>
      <c r="K29" s="8"/>
      <c r="L29" s="8"/>
      <c r="M29" s="8"/>
      <c r="N29" s="8"/>
      <c r="O29" s="8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4"/>
      <c r="C38" s="163"/>
      <c r="D38" s="14"/>
      <c r="E38" s="163"/>
      <c r="F38" s="14"/>
      <c r="G38" s="163"/>
      <c r="H38" s="14"/>
      <c r="I38" s="163"/>
      <c r="J38" s="11"/>
    </row>
    <row r="39">
      <c r="A39" s="13"/>
      <c r="B39" s="145"/>
      <c r="C39" s="145"/>
      <c r="D39" s="145"/>
      <c r="E39" s="145"/>
      <c r="F39" s="145"/>
      <c r="G39" s="145"/>
      <c r="H39" s="145"/>
      <c r="I39" s="145"/>
      <c r="J39" s="14"/>
    </row>
    <row r="40">
      <c r="A40" s="13"/>
      <c r="B40" s="145"/>
      <c r="C40" s="145"/>
      <c r="D40" s="145"/>
      <c r="E40" s="145"/>
      <c r="F40" s="145"/>
      <c r="G40" s="145"/>
      <c r="H40" s="145"/>
      <c r="I40" s="145"/>
      <c r="J40" s="14"/>
    </row>
    <row r="41">
      <c r="A41" s="13"/>
      <c r="B41" s="163"/>
      <c r="C41" s="163"/>
      <c r="D41" s="163"/>
      <c r="E41" s="163"/>
      <c r="F41" s="163"/>
      <c r="G41" s="163"/>
      <c r="H41" s="163"/>
      <c r="I41" s="163"/>
      <c r="J41" s="11"/>
    </row>
    <row r="42">
      <c r="A42" s="13"/>
      <c r="B42" s="163"/>
      <c r="C42" s="163"/>
      <c r="D42" s="163"/>
      <c r="E42" s="163"/>
      <c r="F42" s="163"/>
      <c r="G42" s="163"/>
      <c r="H42" s="163"/>
      <c r="I42" s="163"/>
      <c r="J42" s="11"/>
    </row>
    <row r="43">
      <c r="A43" s="13"/>
      <c r="B43" s="14"/>
      <c r="C43" s="145"/>
      <c r="D43" s="14"/>
      <c r="E43" s="145"/>
      <c r="F43" s="14"/>
      <c r="G43" s="145"/>
      <c r="H43" s="14"/>
      <c r="I43" s="145"/>
      <c r="J43" s="14"/>
    </row>
    <row r="44">
      <c r="A44" s="13"/>
      <c r="B44" s="163"/>
      <c r="C44" s="163"/>
      <c r="D44" s="163"/>
      <c r="E44" s="163"/>
      <c r="F44" s="163"/>
      <c r="G44" s="163"/>
      <c r="H44" s="163"/>
      <c r="I44" s="163"/>
      <c r="J44" s="11"/>
    </row>
    <row r="45">
      <c r="A45" s="13"/>
      <c r="B45" s="145"/>
      <c r="C45" s="145"/>
      <c r="D45" s="145"/>
      <c r="E45" s="145"/>
      <c r="F45" s="145"/>
      <c r="G45" s="145"/>
      <c r="H45" s="145"/>
      <c r="I45" s="145"/>
      <c r="J45" s="14"/>
    </row>
    <row r="46">
      <c r="A46" s="13"/>
      <c r="B46" s="14"/>
      <c r="C46" s="17"/>
      <c r="D46" s="14"/>
      <c r="E46" s="17"/>
      <c r="F46" s="14"/>
      <c r="G46" s="17"/>
      <c r="H46" s="14"/>
      <c r="I46" s="17"/>
    </row>
    <row r="47">
      <c r="A47" s="13"/>
      <c r="B47" s="17"/>
      <c r="C47" s="17"/>
      <c r="D47" s="17"/>
      <c r="E47" s="17"/>
      <c r="F47" s="17"/>
      <c r="G47" s="17"/>
      <c r="H47" s="17"/>
      <c r="I47" s="17"/>
    </row>
    <row r="48">
      <c r="A48" s="13"/>
      <c r="B48" s="17"/>
      <c r="C48" s="17"/>
      <c r="D48" s="17"/>
      <c r="E48" s="17"/>
      <c r="F48" s="17"/>
      <c r="G48" s="17"/>
      <c r="H48" s="17"/>
      <c r="I48" s="17"/>
    </row>
    <row r="49">
      <c r="A49" s="13"/>
      <c r="B49" s="17"/>
      <c r="C49" s="17"/>
      <c r="D49" s="17"/>
      <c r="E49" s="17"/>
      <c r="F49" s="17"/>
      <c r="G49" s="17"/>
      <c r="H49" s="17"/>
      <c r="I49" s="17"/>
    </row>
    <row r="50">
      <c r="A50" s="13"/>
      <c r="B50" s="14"/>
      <c r="C50" s="14"/>
      <c r="D50" s="14"/>
      <c r="E50" s="14"/>
      <c r="F50" s="14"/>
      <c r="G50" s="14"/>
      <c r="H50" s="14"/>
      <c r="I50" s="14"/>
    </row>
    <row r="51">
      <c r="A51" s="13"/>
      <c r="B51" s="17"/>
      <c r="C51" s="17"/>
      <c r="D51" s="17"/>
      <c r="E51" s="17"/>
      <c r="F51" s="17"/>
      <c r="G51" s="17"/>
      <c r="H51" s="17"/>
      <c r="I51" s="17"/>
    </row>
    <row r="52">
      <c r="A52" s="13"/>
      <c r="B52" s="17"/>
      <c r="C52" s="14"/>
      <c r="D52" s="17"/>
      <c r="E52" s="14"/>
      <c r="F52" s="17"/>
      <c r="G52" s="14"/>
      <c r="H52" s="17"/>
      <c r="I52" s="14"/>
    </row>
    <row r="53">
      <c r="A53" s="13"/>
      <c r="B53" s="17"/>
      <c r="C53" s="14"/>
      <c r="D53" s="17"/>
      <c r="E53" s="14"/>
      <c r="F53" s="17"/>
      <c r="G53" s="14"/>
      <c r="H53" s="17"/>
      <c r="I53" s="14"/>
    </row>
    <row r="54">
      <c r="A54" s="13"/>
      <c r="B54" s="17"/>
      <c r="C54" s="14"/>
      <c r="D54" s="17"/>
      <c r="E54" s="14"/>
      <c r="F54" s="17"/>
      <c r="G54" s="14"/>
      <c r="H54" s="17"/>
      <c r="I54" s="14"/>
    </row>
    <row r="55">
      <c r="A55" s="13"/>
      <c r="B55" s="17"/>
      <c r="C55" s="17"/>
      <c r="D55" s="17"/>
      <c r="E55" s="17"/>
      <c r="F55" s="17"/>
      <c r="G55" s="17"/>
      <c r="H55" s="17"/>
      <c r="I55" s="17"/>
    </row>
    <row r="56">
      <c r="A56" s="13"/>
      <c r="B56" s="17"/>
      <c r="C56" s="14"/>
      <c r="D56" s="17"/>
      <c r="E56" s="14"/>
      <c r="F56" s="17"/>
      <c r="G56" s="14"/>
      <c r="H56" s="17"/>
      <c r="I56" s="14"/>
    </row>
    <row r="57">
      <c r="A57" s="13"/>
      <c r="B57" s="17"/>
      <c r="C57" s="17"/>
      <c r="D57" s="17"/>
      <c r="E57" s="17"/>
      <c r="F57" s="17"/>
      <c r="G57" s="17"/>
      <c r="H57" s="17"/>
      <c r="I57" s="17"/>
    </row>
    <row r="58">
      <c r="A58" s="13"/>
      <c r="B58" s="17"/>
      <c r="C58" s="17"/>
      <c r="D58" s="17"/>
      <c r="E58" s="17"/>
      <c r="F58" s="17"/>
      <c r="G58" s="17"/>
      <c r="H58" s="17"/>
      <c r="I58" s="17"/>
    </row>
    <row r="59">
      <c r="A59" s="13"/>
      <c r="B59" s="17"/>
      <c r="C59" s="17"/>
      <c r="D59" s="17"/>
      <c r="E59" s="17"/>
      <c r="F59" s="17"/>
      <c r="G59" s="17"/>
      <c r="H59" s="17"/>
      <c r="I59" s="17"/>
    </row>
    <row r="60">
      <c r="A60" s="13"/>
      <c r="B60" s="17"/>
      <c r="C60" s="14"/>
      <c r="D60" s="17"/>
      <c r="E60" s="14"/>
      <c r="F60" s="17"/>
      <c r="G60" s="14"/>
      <c r="H60" s="17"/>
      <c r="I60" s="14"/>
    </row>
    <row r="61">
      <c r="A61" s="13"/>
      <c r="B61" s="17"/>
      <c r="C61" s="14"/>
      <c r="D61" s="17"/>
      <c r="E61" s="14"/>
      <c r="F61" s="17"/>
      <c r="G61" s="14"/>
      <c r="H61" s="17"/>
      <c r="I61" s="14"/>
    </row>
    <row r="62">
      <c r="A62" s="13"/>
      <c r="B62" s="17"/>
      <c r="C62" s="14"/>
      <c r="D62" s="17"/>
      <c r="E62" s="14"/>
      <c r="F62" s="17"/>
      <c r="G62" s="14"/>
      <c r="H62" s="17"/>
      <c r="I62" s="14"/>
    </row>
    <row r="63">
      <c r="A63" s="13"/>
      <c r="B63" s="17"/>
      <c r="C63" s="14"/>
      <c r="D63" s="17"/>
      <c r="E63" s="14"/>
      <c r="F63" s="17"/>
      <c r="G63" s="14"/>
      <c r="H63" s="17"/>
      <c r="I63" s="14"/>
    </row>
    <row r="64">
      <c r="A64" s="13"/>
      <c r="B64" s="17"/>
      <c r="C64" s="14"/>
      <c r="D64" s="17"/>
      <c r="E64" s="14"/>
      <c r="F64" s="17"/>
      <c r="G64" s="14"/>
      <c r="H64" s="17"/>
      <c r="I64" s="14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45813.0</v>
      </c>
      <c r="C1" s="96" t="s">
        <v>186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9306.0</v>
      </c>
      <c r="D2" s="1">
        <v>9308.0</v>
      </c>
      <c r="E2" s="1">
        <v>9310.0</v>
      </c>
      <c r="F2" s="1">
        <v>9312.0</v>
      </c>
      <c r="G2" s="1">
        <v>9314.0</v>
      </c>
      <c r="H2" s="1">
        <v>9316.0</v>
      </c>
      <c r="I2" s="1">
        <v>9318.0</v>
      </c>
      <c r="J2" s="1">
        <v>9322.0</v>
      </c>
      <c r="K2" s="1">
        <v>9324.0</v>
      </c>
      <c r="L2" s="1">
        <v>9326.0</v>
      </c>
      <c r="M2" s="1">
        <v>9328.0</v>
      </c>
      <c r="N2" s="1">
        <v>9332.0</v>
      </c>
      <c r="O2" s="1">
        <v>9334.0</v>
      </c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270</v>
      </c>
      <c r="B3" s="5" t="s">
        <v>468</v>
      </c>
      <c r="C3" s="6">
        <v>0.2708333333333333</v>
      </c>
      <c r="D3" s="6">
        <v>0.3125</v>
      </c>
      <c r="E3" s="6">
        <v>0.3680555555555556</v>
      </c>
      <c r="F3" s="6">
        <v>0.4097222222222222</v>
      </c>
      <c r="G3" s="6">
        <v>0.4513888888888889</v>
      </c>
      <c r="H3" s="6">
        <v>0.4930555555555556</v>
      </c>
      <c r="I3" s="6">
        <v>0.5347222222222222</v>
      </c>
      <c r="J3" s="6">
        <v>0.5763888888888888</v>
      </c>
      <c r="K3" s="6">
        <v>0.6319444444444444</v>
      </c>
      <c r="L3" s="6">
        <v>0.6875</v>
      </c>
      <c r="M3" s="6">
        <v>0.7291666666666666</v>
      </c>
      <c r="N3" s="6">
        <v>0.7708333333333334</v>
      </c>
      <c r="O3" s="6">
        <v>0.8055555555555556</v>
      </c>
      <c r="P3" s="6"/>
      <c r="Q3" s="6"/>
      <c r="R3" s="6"/>
      <c r="S3" s="6"/>
      <c r="T3" s="6"/>
    </row>
    <row r="4">
      <c r="A4" s="1" t="s">
        <v>469</v>
      </c>
      <c r="B4" s="9" t="s">
        <v>470</v>
      </c>
      <c r="C4" s="8">
        <v>0.27361111111111114</v>
      </c>
      <c r="D4" s="8">
        <v>0.31527777777777777</v>
      </c>
      <c r="E4" s="8">
        <v>0.37083333333333335</v>
      </c>
      <c r="F4" s="8">
        <v>0.4125</v>
      </c>
      <c r="G4" s="8">
        <v>0.45416666666666666</v>
      </c>
      <c r="H4" s="8">
        <v>0.49583333333333335</v>
      </c>
      <c r="I4" s="8">
        <v>0.5375</v>
      </c>
      <c r="J4" s="8">
        <v>0.5791666666666667</v>
      </c>
      <c r="K4" s="8">
        <v>0.6347222222222222</v>
      </c>
      <c r="L4" s="8">
        <v>0.6902777777777778</v>
      </c>
      <c r="M4" s="8">
        <v>0.7319444444444444</v>
      </c>
      <c r="N4" s="8">
        <v>0.7736111111111111</v>
      </c>
      <c r="O4" s="8">
        <v>0.8083333333333333</v>
      </c>
      <c r="P4" s="8"/>
      <c r="Q4" s="8"/>
      <c r="R4" s="8"/>
      <c r="S4" s="8"/>
      <c r="T4" s="8"/>
    </row>
    <row r="5">
      <c r="A5" s="1" t="s">
        <v>471</v>
      </c>
      <c r="B5" s="9" t="s">
        <v>472</v>
      </c>
      <c r="C5" s="8">
        <v>0.2763888888888889</v>
      </c>
      <c r="D5" s="8">
        <v>0.31805555555555554</v>
      </c>
      <c r="E5" s="8">
        <v>0.3736111111111111</v>
      </c>
      <c r="F5" s="8">
        <v>0.4152777777777778</v>
      </c>
      <c r="G5" s="8">
        <v>0.45694444444444443</v>
      </c>
      <c r="H5" s="8">
        <v>0.4986111111111111</v>
      </c>
      <c r="I5" s="8">
        <v>0.5402777777777777</v>
      </c>
      <c r="J5" s="8">
        <v>0.5819444444444445</v>
      </c>
      <c r="K5" s="8">
        <v>0.6375</v>
      </c>
      <c r="L5" s="8">
        <v>0.6930555555555555</v>
      </c>
      <c r="M5" s="8">
        <v>0.7347222222222223</v>
      </c>
      <c r="N5" s="8">
        <v>0.7763888888888889</v>
      </c>
      <c r="O5" s="8">
        <v>0.8111111111111111</v>
      </c>
      <c r="P5" s="8"/>
      <c r="Q5" s="8"/>
      <c r="R5" s="8"/>
      <c r="S5" s="8"/>
      <c r="T5" s="8"/>
    </row>
    <row r="6">
      <c r="A6" s="7" t="s">
        <v>473</v>
      </c>
      <c r="B6" s="9" t="s">
        <v>474</v>
      </c>
      <c r="C6" s="8">
        <v>0.2777777777777778</v>
      </c>
      <c r="D6" s="8">
        <v>0.3194444444444444</v>
      </c>
      <c r="E6" s="8">
        <v>0.375</v>
      </c>
      <c r="F6" s="8">
        <v>0.4166666666666667</v>
      </c>
      <c r="G6" s="8">
        <v>0.4583333333333333</v>
      </c>
      <c r="H6" s="8">
        <v>0.5</v>
      </c>
      <c r="I6" s="8">
        <v>0.5416666666666666</v>
      </c>
      <c r="J6" s="8">
        <v>0.5833333333333334</v>
      </c>
      <c r="K6" s="8">
        <v>0.6388888888888888</v>
      </c>
      <c r="L6" s="8">
        <v>0.6944444444444444</v>
      </c>
      <c r="M6" s="8">
        <v>0.7361111111111112</v>
      </c>
      <c r="N6" s="8">
        <v>0.7777777777777778</v>
      </c>
      <c r="O6" s="8">
        <v>0.8125</v>
      </c>
      <c r="P6" s="8"/>
      <c r="Q6" s="8"/>
      <c r="R6" s="8"/>
      <c r="S6" s="8"/>
      <c r="T6" s="8"/>
    </row>
    <row r="7">
      <c r="A7" s="7" t="s">
        <v>475</v>
      </c>
      <c r="B7" s="9" t="s">
        <v>476</v>
      </c>
      <c r="C7" s="8">
        <v>0.2798611111111111</v>
      </c>
      <c r="D7" s="8">
        <v>0.3215277777777778</v>
      </c>
      <c r="E7" s="8">
        <v>0.3770833333333333</v>
      </c>
      <c r="F7" s="8">
        <v>0.41875</v>
      </c>
      <c r="G7" s="8">
        <v>0.46041666666666664</v>
      </c>
      <c r="H7" s="8">
        <v>0.5020833333333333</v>
      </c>
      <c r="I7" s="8">
        <v>0.54375</v>
      </c>
      <c r="J7" s="8">
        <v>0.5854166666666667</v>
      </c>
      <c r="K7" s="8">
        <v>0.6409722222222223</v>
      </c>
      <c r="L7" s="8">
        <v>0.6965277777777777</v>
      </c>
      <c r="M7" s="8">
        <v>0.7381944444444445</v>
      </c>
      <c r="N7" s="8">
        <v>0.7798611111111111</v>
      </c>
      <c r="O7" s="8">
        <v>0.8145833333333333</v>
      </c>
      <c r="P7" s="8"/>
      <c r="Q7" s="8"/>
      <c r="R7" s="8"/>
      <c r="S7" s="8"/>
      <c r="T7" s="8"/>
    </row>
    <row r="8">
      <c r="A8" s="7" t="s">
        <v>542</v>
      </c>
      <c r="B8" s="7" t="s">
        <v>543</v>
      </c>
      <c r="C8" s="8">
        <v>0.28194444444444444</v>
      </c>
      <c r="D8" s="8">
        <v>0.3236111111111111</v>
      </c>
      <c r="E8" s="8">
        <v>0.37916666666666665</v>
      </c>
      <c r="F8" s="8">
        <v>0.42083333333333334</v>
      </c>
      <c r="G8" s="8">
        <v>0.4625</v>
      </c>
      <c r="H8" s="8">
        <v>0.5041666666666667</v>
      </c>
      <c r="I8" s="8">
        <v>0.5458333333333333</v>
      </c>
      <c r="J8" s="8">
        <v>0.5875</v>
      </c>
      <c r="K8" s="8">
        <v>0.6430555555555556</v>
      </c>
      <c r="L8" s="8">
        <v>0.6986111111111111</v>
      </c>
      <c r="M8" s="8">
        <v>0.7402777777777778</v>
      </c>
      <c r="N8" s="8">
        <v>0.7819444444444444</v>
      </c>
      <c r="O8" s="8">
        <v>0.8166666666666667</v>
      </c>
      <c r="P8" s="8"/>
      <c r="Q8" s="8"/>
      <c r="R8" s="8"/>
      <c r="S8" s="8"/>
      <c r="T8" s="8"/>
    </row>
    <row r="9">
      <c r="A9" s="1" t="s">
        <v>544</v>
      </c>
      <c r="B9" s="7" t="s">
        <v>545</v>
      </c>
      <c r="C9" s="8">
        <v>0.2833333333333333</v>
      </c>
      <c r="D9" s="8">
        <v>0.325</v>
      </c>
      <c r="E9" s="8">
        <v>0.38055555555555554</v>
      </c>
      <c r="F9" s="8">
        <v>0.4222222222222222</v>
      </c>
      <c r="G9" s="8">
        <v>0.4638888888888889</v>
      </c>
      <c r="H9" s="8">
        <v>0.5055555555555555</v>
      </c>
      <c r="I9" s="8">
        <v>0.5472222222222223</v>
      </c>
      <c r="J9" s="8">
        <v>0.5888888888888889</v>
      </c>
      <c r="K9" s="8">
        <v>0.6444444444444445</v>
      </c>
      <c r="L9" s="8">
        <v>0.7</v>
      </c>
      <c r="M9" s="8">
        <v>0.7416666666666667</v>
      </c>
      <c r="N9" s="8">
        <v>0.7833333333333333</v>
      </c>
      <c r="O9" s="8">
        <v>0.8180555555555555</v>
      </c>
      <c r="P9" s="8"/>
      <c r="Q9" s="8"/>
      <c r="R9" s="8"/>
      <c r="S9" s="8"/>
      <c r="T9" s="8"/>
    </row>
    <row r="10">
      <c r="A10" s="1" t="s">
        <v>546</v>
      </c>
      <c r="B10" s="7" t="s">
        <v>547</v>
      </c>
      <c r="C10" s="8">
        <v>0.28680555555555554</v>
      </c>
      <c r="D10" s="8">
        <v>0.3284722222222222</v>
      </c>
      <c r="E10" s="8">
        <v>0.3840277777777778</v>
      </c>
      <c r="F10" s="8">
        <v>0.42569444444444443</v>
      </c>
      <c r="G10" s="8">
        <v>0.4673611111111111</v>
      </c>
      <c r="H10" s="8">
        <v>0.5090277777777777</v>
      </c>
      <c r="I10" s="8">
        <v>0.5506944444444445</v>
      </c>
      <c r="J10" s="8">
        <v>0.5923611111111111</v>
      </c>
      <c r="K10" s="8">
        <v>0.6479166666666667</v>
      </c>
      <c r="L10" s="8">
        <v>0.7034722222222223</v>
      </c>
      <c r="M10" s="8">
        <v>0.7451388888888889</v>
      </c>
      <c r="N10" s="8">
        <v>0.7868055555555555</v>
      </c>
      <c r="O10" s="8">
        <v>0.8215277777777777</v>
      </c>
      <c r="P10" s="8"/>
      <c r="Q10" s="8"/>
      <c r="R10" s="8"/>
      <c r="S10" s="8"/>
      <c r="T10" s="8"/>
    </row>
    <row r="11">
      <c r="A11" s="7" t="s">
        <v>548</v>
      </c>
      <c r="B11" s="7" t="s">
        <v>549</v>
      </c>
      <c r="C11" s="8">
        <v>0.28888888888888886</v>
      </c>
      <c r="D11" s="8">
        <v>0.33055555555555555</v>
      </c>
      <c r="E11" s="8">
        <v>0.3861111111111111</v>
      </c>
      <c r="F11" s="8">
        <v>0.42777777777777776</v>
      </c>
      <c r="G11" s="8">
        <v>0.46944444444444444</v>
      </c>
      <c r="H11" s="8">
        <v>0.5111111111111111</v>
      </c>
      <c r="I11" s="8">
        <v>0.5527777777777778</v>
      </c>
      <c r="J11" s="8">
        <v>0.5944444444444444</v>
      </c>
      <c r="K11" s="8">
        <v>0.65</v>
      </c>
      <c r="L11" s="8">
        <v>0.7055555555555556</v>
      </c>
      <c r="M11" s="8">
        <v>0.7472222222222222</v>
      </c>
      <c r="N11" s="8">
        <v>0.7888888888888889</v>
      </c>
      <c r="O11" s="8">
        <v>0.8236111111111111</v>
      </c>
      <c r="P11" s="8"/>
      <c r="Q11" s="8"/>
      <c r="R11" s="8"/>
      <c r="S11" s="8"/>
      <c r="T11" s="8"/>
    </row>
    <row r="12">
      <c r="A12" s="7" t="s">
        <v>550</v>
      </c>
      <c r="B12" s="7" t="s">
        <v>551</v>
      </c>
      <c r="C12" s="8">
        <v>0.29097222222222224</v>
      </c>
      <c r="D12" s="8">
        <v>0.3326388888888889</v>
      </c>
      <c r="E12" s="8">
        <v>0.38819444444444445</v>
      </c>
      <c r="F12" s="8">
        <v>0.42986111111111114</v>
      </c>
      <c r="G12" s="8">
        <v>0.47152777777777777</v>
      </c>
      <c r="H12" s="8">
        <v>0.5131944444444444</v>
      </c>
      <c r="I12" s="8">
        <v>0.5548611111111111</v>
      </c>
      <c r="J12" s="8">
        <v>0.5965277777777778</v>
      </c>
      <c r="K12" s="8">
        <v>0.6520833333333333</v>
      </c>
      <c r="L12" s="8">
        <v>0.7076388888888889</v>
      </c>
      <c r="M12" s="8">
        <v>0.7493055555555556</v>
      </c>
      <c r="N12" s="8">
        <v>0.7909722222222222</v>
      </c>
      <c r="O12" s="8">
        <v>0.8256944444444444</v>
      </c>
      <c r="P12" s="8"/>
      <c r="Q12" s="8"/>
      <c r="R12" s="8"/>
      <c r="S12" s="8"/>
      <c r="T12" s="8"/>
    </row>
    <row r="13">
      <c r="A13" s="1" t="s">
        <v>552</v>
      </c>
      <c r="B13" s="7" t="s">
        <v>553</v>
      </c>
      <c r="C13" s="8">
        <v>0.2923611111111111</v>
      </c>
      <c r="D13" s="8">
        <v>0.33402777777777776</v>
      </c>
      <c r="E13" s="8">
        <v>0.38958333333333334</v>
      </c>
      <c r="F13" s="8">
        <v>0.43125</v>
      </c>
      <c r="G13" s="8">
        <v>0.47291666666666665</v>
      </c>
      <c r="H13" s="8">
        <v>0.5145833333333333</v>
      </c>
      <c r="I13" s="8">
        <v>0.55625</v>
      </c>
      <c r="J13" s="8">
        <v>0.5979166666666667</v>
      </c>
      <c r="K13" s="8">
        <v>0.6534722222222222</v>
      </c>
      <c r="L13" s="8">
        <v>0.7090277777777778</v>
      </c>
      <c r="M13" s="8">
        <v>0.7506944444444444</v>
      </c>
      <c r="N13" s="8">
        <v>0.7923611111111111</v>
      </c>
      <c r="O13" s="8">
        <v>0.8270833333333333</v>
      </c>
      <c r="P13" s="8"/>
      <c r="Q13" s="8"/>
      <c r="R13" s="8"/>
      <c r="S13" s="8"/>
      <c r="T13" s="8"/>
    </row>
    <row r="14">
      <c r="A14" s="7" t="s">
        <v>554</v>
      </c>
      <c r="B14" s="7" t="s">
        <v>555</v>
      </c>
      <c r="C14" s="8">
        <v>0.29375</v>
      </c>
      <c r="D14" s="8">
        <v>0.33541666666666664</v>
      </c>
      <c r="E14" s="8">
        <v>0.3909722222222222</v>
      </c>
      <c r="F14" s="8">
        <v>0.4326388888888889</v>
      </c>
      <c r="G14" s="8">
        <v>0.47430555555555554</v>
      </c>
      <c r="H14" s="8">
        <v>0.5159722222222223</v>
      </c>
      <c r="I14" s="8">
        <v>0.5576388888888889</v>
      </c>
      <c r="J14" s="8">
        <v>0.5993055555555555</v>
      </c>
      <c r="K14" s="8">
        <v>0.6548611111111111</v>
      </c>
      <c r="L14" s="8">
        <v>0.7104166666666667</v>
      </c>
      <c r="M14" s="8">
        <v>0.7520833333333333</v>
      </c>
      <c r="N14" s="8">
        <v>0.79375</v>
      </c>
      <c r="O14" s="8">
        <v>0.8284722222222223</v>
      </c>
    </row>
    <row r="15">
      <c r="A15" s="1" t="s">
        <v>556</v>
      </c>
      <c r="B15" s="7" t="s">
        <v>557</v>
      </c>
      <c r="C15" s="8">
        <v>0.2965277777777778</v>
      </c>
      <c r="D15" s="8">
        <v>0.33819444444444446</v>
      </c>
      <c r="E15" s="8">
        <v>0.39375</v>
      </c>
      <c r="F15" s="8">
        <v>0.4354166666666667</v>
      </c>
      <c r="G15" s="8">
        <v>0.47708333333333336</v>
      </c>
      <c r="H15" s="8">
        <v>0.51875</v>
      </c>
      <c r="I15" s="8">
        <v>0.5604166666666667</v>
      </c>
      <c r="J15" s="8">
        <v>0.6020833333333333</v>
      </c>
      <c r="K15" s="8">
        <v>0.6576388888888889</v>
      </c>
      <c r="L15" s="8">
        <v>0.7131944444444445</v>
      </c>
      <c r="M15" s="8">
        <v>0.7548611111111111</v>
      </c>
      <c r="N15" s="8">
        <v>0.7965277777777777</v>
      </c>
      <c r="O15" s="8">
        <v>0.83125</v>
      </c>
    </row>
    <row r="16">
      <c r="A16" s="7" t="s">
        <v>558</v>
      </c>
      <c r="B16" s="7" t="s">
        <v>559</v>
      </c>
      <c r="C16" s="8">
        <v>0.29930555555555555</v>
      </c>
      <c r="D16" s="8">
        <v>0.34097222222222223</v>
      </c>
      <c r="E16" s="8">
        <v>0.39652777777777776</v>
      </c>
      <c r="F16" s="8">
        <v>0.43819444444444444</v>
      </c>
      <c r="G16" s="8">
        <v>0.4798611111111111</v>
      </c>
      <c r="H16" s="8">
        <v>0.5215277777777778</v>
      </c>
      <c r="I16" s="8">
        <v>0.5631944444444444</v>
      </c>
      <c r="J16" s="8">
        <v>0.6048611111111111</v>
      </c>
      <c r="K16" s="8">
        <v>0.6604166666666667</v>
      </c>
      <c r="L16" s="8">
        <v>0.7159722222222222</v>
      </c>
      <c r="M16" s="8">
        <v>0.7576388888888889</v>
      </c>
      <c r="N16" s="8">
        <v>0.7993055555555556</v>
      </c>
      <c r="O16" s="8">
        <v>0.8340277777777778</v>
      </c>
      <c r="P16" s="8"/>
      <c r="Q16" s="8"/>
      <c r="R16" s="8"/>
      <c r="S16" s="8"/>
      <c r="T16" s="8"/>
    </row>
    <row r="17">
      <c r="A17" s="7" t="s">
        <v>560</v>
      </c>
      <c r="B17" s="7" t="s">
        <v>561</v>
      </c>
      <c r="C17" s="8">
        <v>0.30277777777777776</v>
      </c>
      <c r="D17" s="8">
        <v>0.34444444444444444</v>
      </c>
      <c r="E17" s="8">
        <v>0.4</v>
      </c>
      <c r="F17" s="8">
        <v>0.44166666666666665</v>
      </c>
      <c r="G17" s="8">
        <v>0.48333333333333334</v>
      </c>
      <c r="H17" s="8">
        <v>0.525</v>
      </c>
      <c r="I17" s="8">
        <v>0.5666666666666667</v>
      </c>
      <c r="J17" s="8">
        <v>0.6083333333333333</v>
      </c>
      <c r="K17" s="8">
        <v>0.6638888888888889</v>
      </c>
      <c r="L17" s="8">
        <v>0.7194444444444444</v>
      </c>
      <c r="M17" s="8">
        <v>0.7611111111111111</v>
      </c>
      <c r="N17" s="8">
        <v>0.8027777777777778</v>
      </c>
      <c r="O17" s="8">
        <v>0.8375</v>
      </c>
      <c r="P17" s="8"/>
      <c r="Q17" s="8"/>
      <c r="R17" s="8"/>
      <c r="S17" s="8"/>
      <c r="T17" s="8"/>
    </row>
    <row r="18">
      <c r="A18" s="7" t="s">
        <v>562</v>
      </c>
      <c r="B18" s="7" t="s">
        <v>563</v>
      </c>
      <c r="C18" s="8">
        <v>0.3055555555555556</v>
      </c>
      <c r="D18" s="8">
        <v>0.3472222222222222</v>
      </c>
      <c r="E18" s="8">
        <v>0.4027777777777778</v>
      </c>
      <c r="F18" s="8">
        <v>0.4444444444444444</v>
      </c>
      <c r="G18" s="8">
        <v>0.4861111111111111</v>
      </c>
      <c r="H18" s="8">
        <v>0.5277777777777778</v>
      </c>
      <c r="I18" s="8">
        <v>0.5694444444444444</v>
      </c>
      <c r="J18" s="8">
        <v>0.6111111111111112</v>
      </c>
      <c r="K18" s="8">
        <v>0.6666666666666666</v>
      </c>
      <c r="L18" s="8">
        <v>0.7222222222222222</v>
      </c>
      <c r="M18" s="8">
        <v>0.7638888888888888</v>
      </c>
      <c r="N18" s="8">
        <v>0.8055555555555556</v>
      </c>
      <c r="O18" s="8">
        <v>0.8402777777777778</v>
      </c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4"/>
      <c r="B22" s="5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"/>
      <c r="B32" s="1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>
      <c r="A34" s="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>
      <c r="B37" s="14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'JHB-to-NALD_Weekday'!B1</f>
        <v>45813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9301.0</v>
      </c>
      <c r="D2" s="1">
        <v>9303.0</v>
      </c>
      <c r="E2" s="1">
        <v>9305.0</v>
      </c>
      <c r="F2" s="1">
        <v>9307.0</v>
      </c>
      <c r="G2" s="1">
        <v>9309.0</v>
      </c>
      <c r="H2" s="1">
        <v>9311.0</v>
      </c>
      <c r="I2" s="1">
        <v>9313.0</v>
      </c>
      <c r="J2" s="1">
        <v>9315.0</v>
      </c>
      <c r="K2" s="1">
        <v>9317.0</v>
      </c>
      <c r="L2" s="1">
        <v>9321.0</v>
      </c>
      <c r="M2" s="1">
        <v>9323.0</v>
      </c>
      <c r="N2" s="1">
        <v>9325.0</v>
      </c>
      <c r="O2" s="1">
        <v>9327.0</v>
      </c>
      <c r="P2" s="1">
        <v>9329.0</v>
      </c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562</v>
      </c>
      <c r="B3" s="5" t="s">
        <v>563</v>
      </c>
      <c r="C3" s="6">
        <v>0.18055555555555555</v>
      </c>
      <c r="D3" s="6">
        <v>0.20833333333333334</v>
      </c>
      <c r="E3" s="6">
        <v>0.22916666666666666</v>
      </c>
      <c r="F3" s="6">
        <v>0.2604166666666667</v>
      </c>
      <c r="G3" s="6">
        <v>0.3125</v>
      </c>
      <c r="H3" s="6">
        <v>0.3680555555555556</v>
      </c>
      <c r="I3" s="6">
        <v>0.4097222222222222</v>
      </c>
      <c r="J3" s="6">
        <v>0.4513888888888889</v>
      </c>
      <c r="K3" s="6">
        <v>0.4930555555555556</v>
      </c>
      <c r="L3" s="6">
        <v>0.5347222222222222</v>
      </c>
      <c r="M3" s="6">
        <v>0.5763888888888888</v>
      </c>
      <c r="N3" s="6">
        <v>0.6180555555555556</v>
      </c>
      <c r="O3" s="6">
        <v>0.6736111111111112</v>
      </c>
      <c r="P3" s="6">
        <v>0.75</v>
      </c>
      <c r="Q3" s="6"/>
      <c r="R3" s="6"/>
      <c r="S3" s="6"/>
      <c r="T3" s="6"/>
    </row>
    <row r="4">
      <c r="A4" s="1" t="s">
        <v>560</v>
      </c>
      <c r="B4" s="83" t="s">
        <v>561</v>
      </c>
      <c r="C4" s="8">
        <v>0.18263888888888888</v>
      </c>
      <c r="D4" s="8">
        <v>0.21041666666666667</v>
      </c>
      <c r="E4" s="8">
        <v>0.23125</v>
      </c>
      <c r="F4" s="8">
        <v>0.2625</v>
      </c>
      <c r="G4" s="8">
        <v>0.3145833333333333</v>
      </c>
      <c r="H4" s="8">
        <v>0.3701388888888889</v>
      </c>
      <c r="I4" s="8">
        <v>0.41180555555555554</v>
      </c>
      <c r="J4" s="8">
        <v>0.4534722222222222</v>
      </c>
      <c r="K4" s="8">
        <v>0.4951388888888889</v>
      </c>
      <c r="L4" s="8">
        <v>0.5368055555555555</v>
      </c>
      <c r="M4" s="8">
        <v>0.5784722222222223</v>
      </c>
      <c r="N4" s="8">
        <v>0.6201388888888889</v>
      </c>
      <c r="O4" s="8">
        <v>0.6756944444444445</v>
      </c>
      <c r="P4" s="8">
        <v>0.7520833333333333</v>
      </c>
      <c r="Q4" s="8"/>
      <c r="R4" s="8"/>
      <c r="S4" s="8"/>
      <c r="T4" s="8"/>
    </row>
    <row r="5">
      <c r="A5" s="1" t="s">
        <v>558</v>
      </c>
      <c r="B5" s="83" t="s">
        <v>559</v>
      </c>
      <c r="C5" s="8">
        <v>0.18611111111111112</v>
      </c>
      <c r="D5" s="8">
        <v>0.21388888888888888</v>
      </c>
      <c r="E5" s="8">
        <v>0.23472222222222222</v>
      </c>
      <c r="F5" s="8">
        <v>0.2659722222222222</v>
      </c>
      <c r="G5" s="8">
        <v>0.31805555555555554</v>
      </c>
      <c r="H5" s="8">
        <v>0.3736111111111111</v>
      </c>
      <c r="I5" s="8">
        <v>0.4152777777777778</v>
      </c>
      <c r="J5" s="8">
        <v>0.45694444444444443</v>
      </c>
      <c r="K5" s="8">
        <v>0.4986111111111111</v>
      </c>
      <c r="L5" s="8">
        <v>0.5402777777777777</v>
      </c>
      <c r="M5" s="8">
        <v>0.5819444444444445</v>
      </c>
      <c r="N5" s="8">
        <v>0.6236111111111111</v>
      </c>
      <c r="O5" s="8">
        <v>0.6791666666666667</v>
      </c>
      <c r="P5" s="8">
        <v>0.7555555555555555</v>
      </c>
      <c r="Q5" s="8"/>
      <c r="R5" s="8"/>
      <c r="S5" s="8"/>
      <c r="T5" s="8"/>
    </row>
    <row r="6">
      <c r="A6" s="7" t="s">
        <v>556</v>
      </c>
      <c r="B6" s="83" t="s">
        <v>557</v>
      </c>
      <c r="C6" s="8">
        <v>0.18958333333333333</v>
      </c>
      <c r="D6" s="8">
        <v>0.21736111111111112</v>
      </c>
      <c r="E6" s="8">
        <v>0.23819444444444443</v>
      </c>
      <c r="F6" s="8">
        <v>0.26944444444444443</v>
      </c>
      <c r="G6" s="8">
        <v>0.3215277777777778</v>
      </c>
      <c r="H6" s="8">
        <v>0.3770833333333333</v>
      </c>
      <c r="I6" s="8">
        <v>0.41875</v>
      </c>
      <c r="J6" s="8">
        <v>0.46041666666666664</v>
      </c>
      <c r="K6" s="8">
        <v>0.5020833333333333</v>
      </c>
      <c r="L6" s="8">
        <v>0.54375</v>
      </c>
      <c r="M6" s="8">
        <v>0.5854166666666667</v>
      </c>
      <c r="N6" s="8">
        <v>0.6270833333333333</v>
      </c>
      <c r="O6" s="8">
        <v>0.6826388888888889</v>
      </c>
      <c r="P6" s="8">
        <v>0.7590277777777777</v>
      </c>
      <c r="Q6" s="8"/>
      <c r="R6" s="8"/>
      <c r="S6" s="8"/>
      <c r="T6" s="8"/>
    </row>
    <row r="7">
      <c r="A7" s="7" t="s">
        <v>554</v>
      </c>
      <c r="B7" s="83" t="s">
        <v>555</v>
      </c>
      <c r="C7" s="8">
        <v>0.19236111111111112</v>
      </c>
      <c r="D7" s="8">
        <v>0.22013888888888888</v>
      </c>
      <c r="E7" s="8">
        <v>0.24097222222222223</v>
      </c>
      <c r="F7" s="8">
        <v>0.2722222222222222</v>
      </c>
      <c r="G7" s="8">
        <v>0.32430555555555557</v>
      </c>
      <c r="H7" s="8">
        <v>0.3798611111111111</v>
      </c>
      <c r="I7" s="8">
        <v>0.4215277777777778</v>
      </c>
      <c r="J7" s="8">
        <v>0.46319444444444446</v>
      </c>
      <c r="K7" s="8">
        <v>0.5048611111111111</v>
      </c>
      <c r="L7" s="8">
        <v>0.5465277777777777</v>
      </c>
      <c r="M7" s="8">
        <v>0.5881944444444445</v>
      </c>
      <c r="N7" s="8">
        <v>0.6298611111111111</v>
      </c>
      <c r="O7" s="8">
        <v>0.6854166666666667</v>
      </c>
      <c r="P7" s="8">
        <v>0.7618055555555555</v>
      </c>
      <c r="Q7" s="8"/>
      <c r="R7" s="8"/>
      <c r="S7" s="8"/>
      <c r="T7" s="8"/>
    </row>
    <row r="8">
      <c r="A8" s="7" t="s">
        <v>552</v>
      </c>
      <c r="B8" s="83" t="s">
        <v>553</v>
      </c>
      <c r="C8" s="8">
        <v>0.19375</v>
      </c>
      <c r="D8" s="8">
        <v>0.22152777777777777</v>
      </c>
      <c r="E8" s="8">
        <v>0.2423611111111111</v>
      </c>
      <c r="F8" s="8">
        <v>0.27361111111111114</v>
      </c>
      <c r="G8" s="8">
        <v>0.32569444444444445</v>
      </c>
      <c r="H8" s="8">
        <v>0.38125</v>
      </c>
      <c r="I8" s="8">
        <v>0.42291666666666666</v>
      </c>
      <c r="J8" s="8">
        <v>0.46458333333333335</v>
      </c>
      <c r="K8" s="8">
        <v>0.50625</v>
      </c>
      <c r="L8" s="8">
        <v>0.5479166666666667</v>
      </c>
      <c r="M8" s="8">
        <v>0.5895833333333333</v>
      </c>
      <c r="N8" s="8">
        <v>0.63125</v>
      </c>
      <c r="O8" s="8">
        <v>0.6868055555555556</v>
      </c>
      <c r="P8" s="8">
        <v>0.7631944444444444</v>
      </c>
      <c r="Q8" s="8"/>
      <c r="R8" s="8"/>
      <c r="S8" s="8"/>
      <c r="T8" s="8"/>
    </row>
    <row r="9">
      <c r="A9" s="1" t="s">
        <v>550</v>
      </c>
      <c r="B9" s="83" t="s">
        <v>551</v>
      </c>
      <c r="C9" s="8">
        <v>0.1951388888888889</v>
      </c>
      <c r="D9" s="8">
        <v>0.22291666666666668</v>
      </c>
      <c r="E9" s="8">
        <v>0.24375</v>
      </c>
      <c r="F9" s="8">
        <v>0.275</v>
      </c>
      <c r="G9" s="8">
        <v>0.32708333333333334</v>
      </c>
      <c r="H9" s="8">
        <v>0.38263888888888886</v>
      </c>
      <c r="I9" s="8">
        <v>0.42430555555555555</v>
      </c>
      <c r="J9" s="8">
        <v>0.46597222222222223</v>
      </c>
      <c r="K9" s="8">
        <v>0.5076388888888889</v>
      </c>
      <c r="L9" s="8">
        <v>0.5493055555555556</v>
      </c>
      <c r="M9" s="8">
        <v>0.5909722222222222</v>
      </c>
      <c r="N9" s="8">
        <v>0.6326388888888889</v>
      </c>
      <c r="O9" s="8">
        <v>0.6881944444444444</v>
      </c>
      <c r="P9" s="8">
        <v>0.7645833333333333</v>
      </c>
      <c r="Q9" s="8"/>
      <c r="R9" s="8"/>
      <c r="S9" s="8"/>
      <c r="T9" s="8"/>
    </row>
    <row r="10">
      <c r="A10" s="1" t="s">
        <v>548</v>
      </c>
      <c r="B10" s="83" t="s">
        <v>549</v>
      </c>
      <c r="C10" s="8">
        <v>0.19652777777777777</v>
      </c>
      <c r="D10" s="8">
        <v>0.22430555555555556</v>
      </c>
      <c r="E10" s="8">
        <v>0.24513888888888888</v>
      </c>
      <c r="F10" s="8">
        <v>0.2763888888888889</v>
      </c>
      <c r="G10" s="8">
        <v>0.3284722222222222</v>
      </c>
      <c r="H10" s="8">
        <v>0.3840277777777778</v>
      </c>
      <c r="I10" s="8">
        <v>0.42569444444444443</v>
      </c>
      <c r="J10" s="8">
        <v>0.4673611111111111</v>
      </c>
      <c r="K10" s="8">
        <v>0.5090277777777777</v>
      </c>
      <c r="L10" s="8">
        <v>0.5506944444444445</v>
      </c>
      <c r="M10" s="8">
        <v>0.5923611111111111</v>
      </c>
      <c r="N10" s="8">
        <v>0.6340277777777777</v>
      </c>
      <c r="O10" s="8">
        <v>0.6895833333333333</v>
      </c>
      <c r="P10" s="8">
        <v>0.7659722222222223</v>
      </c>
      <c r="Q10" s="8"/>
      <c r="R10" s="8"/>
      <c r="S10" s="8"/>
      <c r="T10" s="8"/>
    </row>
    <row r="11">
      <c r="A11" s="7" t="s">
        <v>546</v>
      </c>
      <c r="B11" s="83" t="s">
        <v>547</v>
      </c>
      <c r="C11" s="8">
        <v>0.1986111111111111</v>
      </c>
      <c r="D11" s="8">
        <v>0.2263888888888889</v>
      </c>
      <c r="E11" s="8">
        <v>0.24722222222222223</v>
      </c>
      <c r="F11" s="8">
        <v>0.27847222222222223</v>
      </c>
      <c r="G11" s="8">
        <v>0.33055555555555555</v>
      </c>
      <c r="H11" s="8">
        <v>0.3861111111111111</v>
      </c>
      <c r="I11" s="8">
        <v>0.42777777777777776</v>
      </c>
      <c r="J11" s="8">
        <v>0.46944444444444444</v>
      </c>
      <c r="K11" s="8">
        <v>0.5111111111111111</v>
      </c>
      <c r="L11" s="8">
        <v>0.5527777777777778</v>
      </c>
      <c r="M11" s="8">
        <v>0.5944444444444444</v>
      </c>
      <c r="N11" s="8">
        <v>0.6361111111111111</v>
      </c>
      <c r="O11" s="8">
        <v>0.6916666666666667</v>
      </c>
      <c r="P11" s="8">
        <v>0.7680555555555556</v>
      </c>
      <c r="Q11" s="8"/>
      <c r="R11" s="8"/>
      <c r="S11" s="8"/>
      <c r="T11" s="8"/>
    </row>
    <row r="12">
      <c r="A12" s="7" t="s">
        <v>544</v>
      </c>
      <c r="B12" s="83" t="s">
        <v>545</v>
      </c>
      <c r="C12" s="8">
        <v>0.20208333333333334</v>
      </c>
      <c r="D12" s="8">
        <v>0.2298611111111111</v>
      </c>
      <c r="E12" s="8">
        <v>0.25069444444444444</v>
      </c>
      <c r="F12" s="8">
        <v>0.28194444444444444</v>
      </c>
      <c r="G12" s="8">
        <v>0.33402777777777776</v>
      </c>
      <c r="H12" s="8">
        <v>0.38958333333333334</v>
      </c>
      <c r="I12" s="8">
        <v>0.43125</v>
      </c>
      <c r="J12" s="8">
        <v>0.47291666666666665</v>
      </c>
      <c r="K12" s="8">
        <v>0.5145833333333333</v>
      </c>
      <c r="L12" s="8">
        <v>0.55625</v>
      </c>
      <c r="M12" s="8">
        <v>0.5979166666666667</v>
      </c>
      <c r="N12" s="8">
        <v>0.6395833333333333</v>
      </c>
      <c r="O12" s="8">
        <v>0.6951388888888889</v>
      </c>
      <c r="P12" s="8">
        <v>0.7715277777777778</v>
      </c>
      <c r="Q12" s="8"/>
      <c r="R12" s="8"/>
      <c r="S12" s="8"/>
      <c r="T12" s="8"/>
    </row>
    <row r="13">
      <c r="A13" s="1" t="s">
        <v>542</v>
      </c>
      <c r="B13" s="83" t="s">
        <v>543</v>
      </c>
      <c r="C13" s="8">
        <v>0.20347222222222222</v>
      </c>
      <c r="D13" s="8">
        <v>0.23125</v>
      </c>
      <c r="E13" s="8">
        <v>0.2520833333333333</v>
      </c>
      <c r="F13" s="8">
        <v>0.2833333333333333</v>
      </c>
      <c r="G13" s="8">
        <v>0.33541666666666664</v>
      </c>
      <c r="H13" s="8">
        <v>0.3909722222222222</v>
      </c>
      <c r="I13" s="8">
        <v>0.4326388888888889</v>
      </c>
      <c r="J13" s="8">
        <v>0.47430555555555554</v>
      </c>
      <c r="K13" s="8">
        <v>0.5159722222222223</v>
      </c>
      <c r="L13" s="8">
        <v>0.5576388888888889</v>
      </c>
      <c r="M13" s="8">
        <v>0.5993055555555555</v>
      </c>
      <c r="N13" s="8">
        <v>0.6409722222222223</v>
      </c>
      <c r="O13" s="8">
        <v>0.6965277777777777</v>
      </c>
      <c r="P13" s="8">
        <v>0.7729166666666667</v>
      </c>
      <c r="Q13" s="8"/>
      <c r="R13" s="8"/>
      <c r="S13" s="8"/>
      <c r="T13" s="8"/>
    </row>
    <row r="14">
      <c r="A14" s="7" t="s">
        <v>475</v>
      </c>
      <c r="B14" s="83" t="s">
        <v>476</v>
      </c>
      <c r="C14" s="8">
        <v>0.20625</v>
      </c>
      <c r="D14" s="8">
        <v>0.23402777777777778</v>
      </c>
      <c r="E14" s="8">
        <v>0.2548611111111111</v>
      </c>
      <c r="F14" s="8">
        <v>0.2861111111111111</v>
      </c>
      <c r="G14" s="8">
        <v>0.33819444444444446</v>
      </c>
      <c r="H14" s="8">
        <v>0.39375</v>
      </c>
      <c r="I14" s="8">
        <v>0.4354166666666667</v>
      </c>
      <c r="J14" s="8">
        <v>0.47708333333333336</v>
      </c>
      <c r="K14" s="8">
        <v>0.51875</v>
      </c>
      <c r="L14" s="8">
        <v>0.5604166666666667</v>
      </c>
      <c r="M14" s="8">
        <v>0.6020833333333333</v>
      </c>
      <c r="N14" s="8">
        <v>0.64375</v>
      </c>
      <c r="O14" s="8">
        <v>0.6993055555555555</v>
      </c>
      <c r="P14" s="8">
        <v>0.7756944444444445</v>
      </c>
    </row>
    <row r="15">
      <c r="A15" s="1" t="s">
        <v>473</v>
      </c>
      <c r="B15" s="9" t="s">
        <v>474</v>
      </c>
      <c r="C15" s="8">
        <v>0.20833333333333334</v>
      </c>
      <c r="D15" s="8">
        <v>0.2361111111111111</v>
      </c>
      <c r="E15" s="8">
        <v>0.2569444444444444</v>
      </c>
      <c r="F15" s="8">
        <v>0.2881944444444444</v>
      </c>
      <c r="G15" s="8">
        <v>0.3402777777777778</v>
      </c>
      <c r="H15" s="8">
        <v>0.3958333333333333</v>
      </c>
      <c r="I15" s="8">
        <v>0.4375</v>
      </c>
      <c r="J15" s="8">
        <v>0.4791666666666667</v>
      </c>
      <c r="K15" s="8">
        <v>0.5208333333333334</v>
      </c>
      <c r="L15" s="8">
        <v>0.5625</v>
      </c>
      <c r="M15" s="8">
        <v>0.6041666666666666</v>
      </c>
      <c r="N15" s="8">
        <v>0.6458333333333334</v>
      </c>
      <c r="O15" s="8">
        <v>0.7013888888888888</v>
      </c>
      <c r="P15" s="8">
        <v>0.7777777777777778</v>
      </c>
    </row>
    <row r="16">
      <c r="A16" s="7" t="s">
        <v>471</v>
      </c>
      <c r="B16" s="9" t="s">
        <v>472</v>
      </c>
      <c r="C16" s="8">
        <v>0.20972222222222223</v>
      </c>
      <c r="D16" s="8">
        <v>0.2375</v>
      </c>
      <c r="E16" s="8">
        <v>0.25833333333333336</v>
      </c>
      <c r="F16" s="8">
        <v>0.28958333333333336</v>
      </c>
      <c r="G16" s="8">
        <v>0.3416666666666667</v>
      </c>
      <c r="H16" s="8">
        <v>0.3972222222222222</v>
      </c>
      <c r="I16" s="8">
        <v>0.4388888888888889</v>
      </c>
      <c r="J16" s="8">
        <v>0.48055555555555557</v>
      </c>
      <c r="K16" s="8">
        <v>0.5222222222222223</v>
      </c>
      <c r="L16" s="8">
        <v>0.5638888888888889</v>
      </c>
      <c r="M16" s="8">
        <v>0.6055555555555555</v>
      </c>
      <c r="N16" s="8">
        <v>0.6472222222222223</v>
      </c>
      <c r="O16" s="8">
        <v>0.7027777777777777</v>
      </c>
      <c r="P16" s="8">
        <v>0.7791666666666667</v>
      </c>
      <c r="Q16" s="8"/>
      <c r="R16" s="8"/>
      <c r="S16" s="8"/>
      <c r="T16" s="8"/>
    </row>
    <row r="17">
      <c r="A17" s="7" t="s">
        <v>469</v>
      </c>
      <c r="B17" s="9" t="s">
        <v>470</v>
      </c>
      <c r="C17" s="8">
        <v>0.21180555555555555</v>
      </c>
      <c r="D17" s="8">
        <v>0.23958333333333334</v>
      </c>
      <c r="E17" s="8">
        <v>0.2604166666666667</v>
      </c>
      <c r="F17" s="8">
        <v>0.2916666666666667</v>
      </c>
      <c r="G17" s="8">
        <v>0.34375</v>
      </c>
      <c r="H17" s="8">
        <v>0.3993055555555556</v>
      </c>
      <c r="I17" s="8">
        <v>0.4409722222222222</v>
      </c>
      <c r="J17" s="8">
        <v>0.4826388888888889</v>
      </c>
      <c r="K17" s="8">
        <v>0.5243055555555556</v>
      </c>
      <c r="L17" s="8">
        <v>0.5659722222222222</v>
      </c>
      <c r="M17" s="8">
        <v>0.6076388888888888</v>
      </c>
      <c r="N17" s="8">
        <v>0.6493055555555556</v>
      </c>
      <c r="O17" s="8">
        <v>0.7048611111111112</v>
      </c>
      <c r="P17" s="8">
        <v>0.78125</v>
      </c>
      <c r="Q17" s="8"/>
      <c r="R17" s="8"/>
      <c r="S17" s="8"/>
      <c r="T17" s="8"/>
    </row>
    <row r="18">
      <c r="A18" s="7" t="s">
        <v>270</v>
      </c>
      <c r="B18" s="7" t="s">
        <v>468</v>
      </c>
      <c r="C18" s="8">
        <v>0.2152777777777778</v>
      </c>
      <c r="D18" s="8">
        <v>0.24305555555555555</v>
      </c>
      <c r="E18" s="8">
        <v>0.2638888888888889</v>
      </c>
      <c r="F18" s="8">
        <v>0.2951388888888889</v>
      </c>
      <c r="G18" s="8">
        <v>0.3472222222222222</v>
      </c>
      <c r="H18" s="8">
        <v>0.4027777777777778</v>
      </c>
      <c r="I18" s="8">
        <v>0.4444444444444444</v>
      </c>
      <c r="J18" s="8">
        <v>0.4861111111111111</v>
      </c>
      <c r="K18" s="8">
        <v>0.5277777777777778</v>
      </c>
      <c r="L18" s="8">
        <v>0.5694444444444444</v>
      </c>
      <c r="M18" s="8">
        <v>0.6111111111111112</v>
      </c>
      <c r="N18" s="8">
        <v>0.6527777777777778</v>
      </c>
      <c r="O18" s="8">
        <v>0.7083333333333334</v>
      </c>
      <c r="P18" s="8">
        <v>0.7847222222222222</v>
      </c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2"/>
      <c r="D32" s="14"/>
      <c r="E32" s="11"/>
      <c r="F32" s="11"/>
      <c r="G32" s="11"/>
      <c r="H32" s="11"/>
      <c r="I32" s="11"/>
      <c r="J32" s="11"/>
    </row>
    <row r="33">
      <c r="A33" s="5"/>
      <c r="C33" s="12"/>
      <c r="D33" s="14"/>
      <c r="E33" s="14"/>
      <c r="F33" s="14"/>
      <c r="G33" s="14"/>
      <c r="H33" s="14"/>
      <c r="I33" s="14"/>
      <c r="J33" s="14"/>
    </row>
    <row r="34">
      <c r="C34" s="12"/>
      <c r="D34" s="14"/>
      <c r="E34" s="14"/>
      <c r="F34" s="14"/>
      <c r="G34" s="14"/>
      <c r="H34" s="14"/>
      <c r="I34" s="14"/>
      <c r="J34" s="14"/>
    </row>
    <row r="35">
      <c r="C35" s="12"/>
      <c r="D35" s="14"/>
      <c r="E35" s="14"/>
      <c r="F35" s="14"/>
      <c r="G35" s="14"/>
      <c r="H35" s="14"/>
      <c r="I35" s="14"/>
      <c r="J35" s="14"/>
    </row>
    <row r="36">
      <c r="B36" s="10"/>
      <c r="C36" s="12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2"/>
      <c r="D37" s="11"/>
      <c r="E37" s="11"/>
      <c r="F37" s="11"/>
      <c r="G37" s="11"/>
      <c r="H37" s="11"/>
      <c r="I37" s="11"/>
      <c r="J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1" t="s">
        <v>196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9302.0</v>
      </c>
      <c r="D2" s="1">
        <v>9304.0</v>
      </c>
      <c r="E2" s="1">
        <v>9312.0</v>
      </c>
      <c r="F2" s="1">
        <v>9314.0</v>
      </c>
      <c r="G2" s="1">
        <v>9316.0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270</v>
      </c>
      <c r="B3" s="5" t="s">
        <v>468</v>
      </c>
      <c r="C3" s="6">
        <v>0.2916666666666667</v>
      </c>
      <c r="D3" s="6">
        <v>0.375</v>
      </c>
      <c r="E3" s="6">
        <v>0.625</v>
      </c>
      <c r="F3" s="6">
        <v>0.7083333333333334</v>
      </c>
      <c r="G3" s="6">
        <v>0.7916666666666666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469</v>
      </c>
      <c r="B4" s="9" t="s">
        <v>470</v>
      </c>
      <c r="C4" s="8">
        <v>0.2944444444444445</v>
      </c>
      <c r="D4" s="8">
        <v>0.3777777777777778</v>
      </c>
      <c r="E4" s="8">
        <v>0.6277777777777778</v>
      </c>
      <c r="F4" s="8">
        <v>0.7111111111111112</v>
      </c>
      <c r="G4" s="8">
        <v>0.7944444444444445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471</v>
      </c>
      <c r="B5" s="9" t="s">
        <v>472</v>
      </c>
      <c r="C5" s="8">
        <v>0.2972222222222223</v>
      </c>
      <c r="D5" s="8">
        <v>0.3805555555555556</v>
      </c>
      <c r="E5" s="8">
        <v>0.6305555555555555</v>
      </c>
      <c r="F5" s="8">
        <v>0.713888888888889</v>
      </c>
      <c r="G5" s="8">
        <v>0.7972222222222223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473</v>
      </c>
      <c r="B6" s="9" t="s">
        <v>474</v>
      </c>
      <c r="C6" s="8">
        <v>0.29861111111111116</v>
      </c>
      <c r="D6" s="8">
        <v>0.3819444444444445</v>
      </c>
      <c r="E6" s="8">
        <v>0.6319444444444444</v>
      </c>
      <c r="F6" s="8">
        <v>0.7152777777777779</v>
      </c>
      <c r="G6" s="8">
        <v>0.7986111111111112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475</v>
      </c>
      <c r="B7" s="9" t="s">
        <v>476</v>
      </c>
      <c r="C7" s="8">
        <v>0.3006944444444445</v>
      </c>
      <c r="D7" s="8">
        <v>0.3840277777777778</v>
      </c>
      <c r="E7" s="8">
        <v>0.6340277777777777</v>
      </c>
      <c r="F7" s="8">
        <v>0.7173611111111112</v>
      </c>
      <c r="G7" s="8">
        <v>0.8006944444444445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542</v>
      </c>
      <c r="B8" s="7" t="s">
        <v>543</v>
      </c>
      <c r="C8" s="8">
        <v>0.3027777777777778</v>
      </c>
      <c r="D8" s="8">
        <v>0.3861111111111111</v>
      </c>
      <c r="E8" s="8">
        <v>0.6361111111111111</v>
      </c>
      <c r="F8" s="8">
        <v>0.7194444444444446</v>
      </c>
      <c r="G8" s="8">
        <v>0.8027777777777778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544</v>
      </c>
      <c r="B9" s="7" t="s">
        <v>545</v>
      </c>
      <c r="C9" s="8">
        <v>0.3041666666666667</v>
      </c>
      <c r="D9" s="8">
        <v>0.3875</v>
      </c>
      <c r="E9" s="8">
        <v>0.6375</v>
      </c>
      <c r="F9" s="8">
        <v>0.7208333333333334</v>
      </c>
      <c r="G9" s="8">
        <v>0.8041666666666667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546</v>
      </c>
      <c r="B10" s="7" t="s">
        <v>547</v>
      </c>
      <c r="C10" s="8">
        <v>0.3076388888888889</v>
      </c>
      <c r="D10" s="8">
        <v>0.3909722222222222</v>
      </c>
      <c r="E10" s="8">
        <v>0.6409722222222222</v>
      </c>
      <c r="F10" s="8">
        <v>0.7243055555555556</v>
      </c>
      <c r="G10" s="8">
        <v>0.8076388888888889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548</v>
      </c>
      <c r="B11" s="7" t="s">
        <v>549</v>
      </c>
      <c r="C11" s="8">
        <v>0.30972222222222223</v>
      </c>
      <c r="D11" s="8">
        <v>0.39305555555555555</v>
      </c>
      <c r="E11" s="8">
        <v>0.6430555555555555</v>
      </c>
      <c r="F11" s="8">
        <v>0.726388888888889</v>
      </c>
      <c r="G11" s="8">
        <v>0.8097222222222222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550</v>
      </c>
      <c r="B12" s="7" t="s">
        <v>551</v>
      </c>
      <c r="C12" s="8">
        <v>0.3118055555555556</v>
      </c>
      <c r="D12" s="8">
        <v>0.39513888888888893</v>
      </c>
      <c r="E12" s="8">
        <v>0.6451388888888889</v>
      </c>
      <c r="F12" s="8">
        <v>0.7284722222222224</v>
      </c>
      <c r="G12" s="8">
        <v>0.8118055555555557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552</v>
      </c>
      <c r="B13" s="7" t="s">
        <v>553</v>
      </c>
      <c r="C13" s="8">
        <v>0.3131944444444445</v>
      </c>
      <c r="D13" s="8">
        <v>0.3965277777777778</v>
      </c>
      <c r="E13" s="8">
        <v>0.6465277777777778</v>
      </c>
      <c r="F13" s="8">
        <v>0.7298611111111113</v>
      </c>
      <c r="G13" s="8">
        <v>0.8131944444444446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554</v>
      </c>
      <c r="B14" s="7" t="s">
        <v>555</v>
      </c>
      <c r="C14" s="8">
        <v>0.3145833333333334</v>
      </c>
      <c r="D14" s="8">
        <v>0.3979166666666667</v>
      </c>
      <c r="E14" s="8">
        <v>0.6479166666666667</v>
      </c>
      <c r="F14" s="8">
        <v>0.7312500000000002</v>
      </c>
      <c r="G14" s="8">
        <v>0.8145833333333334</v>
      </c>
      <c r="H14" s="8"/>
      <c r="I14" s="8"/>
      <c r="J14" s="8"/>
      <c r="K14" s="8"/>
      <c r="L14" s="8"/>
      <c r="M14" s="8"/>
      <c r="N14" s="8"/>
    </row>
    <row r="15">
      <c r="A15" s="1" t="s">
        <v>556</v>
      </c>
      <c r="B15" s="7" t="s">
        <v>557</v>
      </c>
      <c r="C15" s="8">
        <v>0.31736111111111115</v>
      </c>
      <c r="D15" s="8">
        <v>0.40069444444444446</v>
      </c>
      <c r="E15" s="8">
        <v>0.6506944444444445</v>
      </c>
      <c r="F15" s="8">
        <v>0.734027777777778</v>
      </c>
      <c r="G15" s="8">
        <v>0.8173611111111112</v>
      </c>
      <c r="H15" s="8"/>
      <c r="I15" s="8"/>
      <c r="J15" s="8"/>
      <c r="K15" s="8"/>
      <c r="L15" s="8"/>
      <c r="M15" s="8"/>
      <c r="N15" s="8"/>
    </row>
    <row r="16">
      <c r="A16" s="7" t="s">
        <v>558</v>
      </c>
      <c r="B16" s="7" t="s">
        <v>559</v>
      </c>
      <c r="C16" s="8">
        <v>0.3201388888888889</v>
      </c>
      <c r="D16" s="8">
        <v>0.40347222222222223</v>
      </c>
      <c r="E16" s="8">
        <v>0.6534722222222222</v>
      </c>
      <c r="F16" s="8">
        <v>0.7368055555555557</v>
      </c>
      <c r="G16" s="8">
        <v>0.820138888888889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560</v>
      </c>
      <c r="B17" s="7" t="s">
        <v>561</v>
      </c>
      <c r="C17" s="8">
        <v>0.3236111111111111</v>
      </c>
      <c r="D17" s="8">
        <v>0.40694444444444444</v>
      </c>
      <c r="E17" s="8">
        <v>0.6569444444444444</v>
      </c>
      <c r="F17" s="8">
        <v>0.7402777777777779</v>
      </c>
      <c r="G17" s="8">
        <v>0.8236111111111112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562</v>
      </c>
      <c r="B18" s="7" t="s">
        <v>563</v>
      </c>
      <c r="C18" s="8">
        <v>0.32638888888888895</v>
      </c>
      <c r="D18" s="8">
        <v>0.40972222222222227</v>
      </c>
      <c r="E18" s="8">
        <v>0.6597222222222223</v>
      </c>
      <c r="F18" s="8">
        <v>0.7430555555555558</v>
      </c>
      <c r="G18" s="8">
        <v>0.8263888888888891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63"/>
      <c r="B21" s="162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85"/>
      <c r="B22" s="16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85"/>
      <c r="B23" s="16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85"/>
      <c r="B24" s="16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85"/>
      <c r="B25" s="16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85"/>
      <c r="B26" s="16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85"/>
      <c r="B27" s="16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85"/>
      <c r="B28" s="16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85"/>
      <c r="B29" s="16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85"/>
      <c r="B30" s="16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85"/>
      <c r="B31" s="16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85"/>
      <c r="B32" s="162"/>
      <c r="C32" s="14"/>
      <c r="D32" s="14"/>
      <c r="E32" s="11"/>
      <c r="F32" s="11"/>
      <c r="G32" s="11"/>
      <c r="H32" s="11"/>
      <c r="I32" s="11"/>
      <c r="J32" s="11"/>
    </row>
    <row r="33">
      <c r="A33" s="186"/>
      <c r="B33" s="10"/>
      <c r="C33" s="14"/>
      <c r="D33" s="14"/>
      <c r="E33" s="14"/>
      <c r="F33" s="14"/>
      <c r="G33" s="14"/>
      <c r="H33" s="14"/>
      <c r="I33" s="14"/>
      <c r="J33" s="14"/>
    </row>
    <row r="34">
      <c r="B34" s="10"/>
      <c r="C34" s="14"/>
      <c r="D34" s="14"/>
      <c r="E34" s="14"/>
      <c r="F34" s="14"/>
      <c r="G34" s="14"/>
      <c r="H34" s="14"/>
      <c r="I34" s="14"/>
      <c r="J34" s="14"/>
    </row>
    <row r="35">
      <c r="B35" s="10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'JHB-to-NALD_Sat'!B1</f>
        <v>Unspecified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9301.0</v>
      </c>
      <c r="D2" s="1">
        <v>9303.0</v>
      </c>
      <c r="E2" s="1">
        <v>9305.0</v>
      </c>
      <c r="F2" s="1">
        <v>9313.0</v>
      </c>
      <c r="G2" s="1">
        <v>9315.0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562</v>
      </c>
      <c r="B3" s="5" t="s">
        <v>563</v>
      </c>
      <c r="C3" s="6">
        <v>0.20833333333333334</v>
      </c>
      <c r="D3" s="6">
        <v>0.25</v>
      </c>
      <c r="E3" s="6">
        <v>0.3333333333333333</v>
      </c>
      <c r="F3" s="6">
        <v>0.6666666666666666</v>
      </c>
      <c r="G3" s="6">
        <v>0.75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560</v>
      </c>
      <c r="B4" s="83" t="s">
        <v>561</v>
      </c>
      <c r="C4" s="8">
        <v>0.21041666666666667</v>
      </c>
      <c r="D4" s="8">
        <v>0.2520833333333333</v>
      </c>
      <c r="E4" s="8">
        <v>0.33541666666666664</v>
      </c>
      <c r="F4" s="8">
        <v>0.66875</v>
      </c>
      <c r="G4" s="8">
        <v>0.7520833333333333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558</v>
      </c>
      <c r="B5" s="83" t="s">
        <v>559</v>
      </c>
      <c r="C5" s="8">
        <v>0.2138888888888889</v>
      </c>
      <c r="D5" s="8">
        <v>0.25555555555555554</v>
      </c>
      <c r="E5" s="8">
        <v>0.3388888888888889</v>
      </c>
      <c r="F5" s="8">
        <v>0.6722222222222222</v>
      </c>
      <c r="G5" s="8">
        <v>0.7555555555555555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556</v>
      </c>
      <c r="B6" s="83" t="s">
        <v>557</v>
      </c>
      <c r="C6" s="8">
        <v>0.21736111111111112</v>
      </c>
      <c r="D6" s="8">
        <v>0.25902777777777775</v>
      </c>
      <c r="E6" s="8">
        <v>0.3423611111111111</v>
      </c>
      <c r="F6" s="8">
        <v>0.6756944444444444</v>
      </c>
      <c r="G6" s="8">
        <v>0.7590277777777777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554</v>
      </c>
      <c r="B7" s="83" t="s">
        <v>555</v>
      </c>
      <c r="C7" s="8">
        <v>0.2201388888888889</v>
      </c>
      <c r="D7" s="8">
        <v>0.2618055555555555</v>
      </c>
      <c r="E7" s="8">
        <v>0.3451388888888889</v>
      </c>
      <c r="F7" s="8">
        <v>0.6784722222222221</v>
      </c>
      <c r="G7" s="8">
        <v>0.7618055555555555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552</v>
      </c>
      <c r="B8" s="83" t="s">
        <v>553</v>
      </c>
      <c r="C8" s="8">
        <v>0.2215277777777778</v>
      </c>
      <c r="D8" s="8">
        <v>0.2631944444444444</v>
      </c>
      <c r="E8" s="8">
        <v>0.34652777777777777</v>
      </c>
      <c r="F8" s="8">
        <v>0.679861111111111</v>
      </c>
      <c r="G8" s="8">
        <v>0.7631944444444444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550</v>
      </c>
      <c r="B9" s="83" t="s">
        <v>551</v>
      </c>
      <c r="C9" s="8">
        <v>0.22291666666666668</v>
      </c>
      <c r="D9" s="8">
        <v>0.2645833333333333</v>
      </c>
      <c r="E9" s="8">
        <v>0.34791666666666665</v>
      </c>
      <c r="F9" s="8">
        <v>0.6812499999999999</v>
      </c>
      <c r="G9" s="8">
        <v>0.7645833333333333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548</v>
      </c>
      <c r="B10" s="83" t="s">
        <v>549</v>
      </c>
      <c r="C10" s="8">
        <v>0.22430555555555556</v>
      </c>
      <c r="D10" s="8">
        <v>0.26597222222222217</v>
      </c>
      <c r="E10" s="8">
        <v>0.34930555555555554</v>
      </c>
      <c r="F10" s="8">
        <v>0.6826388888888888</v>
      </c>
      <c r="G10" s="8">
        <v>0.7659722222222222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546</v>
      </c>
      <c r="B11" s="83" t="s">
        <v>547</v>
      </c>
      <c r="C11" s="8">
        <v>0.2263888888888889</v>
      </c>
      <c r="D11" s="8">
        <v>0.2680555555555555</v>
      </c>
      <c r="E11" s="8">
        <v>0.35138888888888886</v>
      </c>
      <c r="F11" s="8">
        <v>0.6847222222222221</v>
      </c>
      <c r="G11" s="8">
        <v>0.7680555555555555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544</v>
      </c>
      <c r="B12" s="83" t="s">
        <v>545</v>
      </c>
      <c r="C12" s="8">
        <v>0.22986111111111113</v>
      </c>
      <c r="D12" s="8">
        <v>0.2715277777777777</v>
      </c>
      <c r="E12" s="8">
        <v>0.35486111111111107</v>
      </c>
      <c r="F12" s="8">
        <v>0.6881944444444443</v>
      </c>
      <c r="G12" s="8">
        <v>0.7715277777777777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542</v>
      </c>
      <c r="B13" s="83" t="s">
        <v>543</v>
      </c>
      <c r="C13" s="8">
        <v>0.23125</v>
      </c>
      <c r="D13" s="8">
        <v>0.2729166666666666</v>
      </c>
      <c r="E13" s="8">
        <v>0.35624999999999996</v>
      </c>
      <c r="F13" s="8">
        <v>0.6895833333333332</v>
      </c>
      <c r="G13" s="8">
        <v>0.7729166666666666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475</v>
      </c>
      <c r="B14" s="83" t="s">
        <v>476</v>
      </c>
      <c r="C14" s="8">
        <v>0.23402777777777778</v>
      </c>
      <c r="D14" s="8">
        <v>0.27569444444444435</v>
      </c>
      <c r="E14" s="8">
        <v>0.3590277777777777</v>
      </c>
      <c r="F14" s="8">
        <v>0.692361111111111</v>
      </c>
      <c r="G14" s="8">
        <v>0.7756944444444444</v>
      </c>
      <c r="H14" s="8"/>
      <c r="I14" s="8"/>
      <c r="J14" s="8"/>
      <c r="K14" s="8"/>
      <c r="L14" s="8"/>
      <c r="M14" s="8"/>
      <c r="N14" s="8"/>
    </row>
    <row r="15">
      <c r="A15" s="1" t="s">
        <v>473</v>
      </c>
      <c r="B15" s="9" t="s">
        <v>474</v>
      </c>
      <c r="C15" s="8">
        <v>0.23611111111111113</v>
      </c>
      <c r="D15" s="8">
        <v>0.2777777777777777</v>
      </c>
      <c r="E15" s="8">
        <v>0.36111111111111105</v>
      </c>
      <c r="F15" s="8">
        <v>0.6944444444444443</v>
      </c>
      <c r="G15" s="8">
        <v>0.7777777777777777</v>
      </c>
      <c r="H15" s="8"/>
      <c r="I15" s="8"/>
      <c r="J15" s="8"/>
      <c r="K15" s="8"/>
      <c r="L15" s="8"/>
      <c r="M15" s="8"/>
      <c r="N15" s="8"/>
    </row>
    <row r="16">
      <c r="A16" s="7" t="s">
        <v>471</v>
      </c>
      <c r="B16" s="9" t="s">
        <v>472</v>
      </c>
      <c r="C16" s="8">
        <v>0.23750000000000002</v>
      </c>
      <c r="D16" s="8">
        <v>0.27916666666666656</v>
      </c>
      <c r="E16" s="8">
        <v>0.36249999999999993</v>
      </c>
      <c r="F16" s="8">
        <v>0.6958333333333332</v>
      </c>
      <c r="G16" s="8">
        <v>0.7791666666666666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469</v>
      </c>
      <c r="B17" s="9" t="s">
        <v>470</v>
      </c>
      <c r="C17" s="8">
        <v>0.23958333333333334</v>
      </c>
      <c r="D17" s="8">
        <v>0.2812499999999999</v>
      </c>
      <c r="E17" s="8">
        <v>0.36458333333333326</v>
      </c>
      <c r="F17" s="8">
        <v>0.6979166666666665</v>
      </c>
      <c r="G17" s="8">
        <v>0.7812499999999999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270</v>
      </c>
      <c r="B18" s="7" t="s">
        <v>468</v>
      </c>
      <c r="C18" s="8">
        <v>0.24305555555555558</v>
      </c>
      <c r="D18" s="8">
        <v>0.2847222222222221</v>
      </c>
      <c r="E18" s="8">
        <v>0.36805555555555547</v>
      </c>
      <c r="F18" s="8">
        <v>0.7013888888888887</v>
      </c>
      <c r="G18" s="8">
        <v>0.7847222222222221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85"/>
      <c r="B22" s="16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85"/>
      <c r="B23" s="16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85"/>
      <c r="B24" s="16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85"/>
      <c r="B25" s="16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85"/>
      <c r="B26" s="16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85"/>
      <c r="B27" s="16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85"/>
      <c r="B28" s="16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85"/>
      <c r="B29" s="16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85"/>
      <c r="B30" s="16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85"/>
      <c r="B31" s="16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85"/>
      <c r="B32" s="162"/>
      <c r="C32" s="14"/>
      <c r="D32" s="14"/>
      <c r="E32" s="11"/>
      <c r="F32" s="11"/>
      <c r="G32" s="11"/>
      <c r="H32" s="11"/>
      <c r="I32" s="11"/>
      <c r="J32" s="11"/>
    </row>
    <row r="33">
      <c r="A33" s="185"/>
      <c r="B33" s="10"/>
      <c r="C33" s="14"/>
      <c r="D33" s="14"/>
      <c r="E33" s="14"/>
      <c r="F33" s="14"/>
      <c r="G33" s="14"/>
      <c r="H33" s="14"/>
      <c r="I33" s="14"/>
      <c r="J33" s="14"/>
    </row>
    <row r="34">
      <c r="A34" s="185"/>
      <c r="B34" s="10"/>
      <c r="C34" s="14"/>
      <c r="D34" s="14"/>
      <c r="E34" s="14"/>
      <c r="F34" s="14"/>
      <c r="G34" s="14"/>
      <c r="H34" s="14"/>
      <c r="I34" s="14"/>
      <c r="J34" s="14"/>
    </row>
    <row r="35">
      <c r="A35" s="185"/>
      <c r="B35" s="10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85"/>
      <c r="B37" s="162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45840.0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9004.0</v>
      </c>
      <c r="D2" s="1">
        <v>9006.0</v>
      </c>
      <c r="E2" s="1">
        <v>9008.0</v>
      </c>
      <c r="F2" s="1">
        <v>9010.0</v>
      </c>
      <c r="G2" s="1">
        <v>9012.0</v>
      </c>
      <c r="H2" s="1">
        <v>9014.0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270</v>
      </c>
      <c r="B3" s="5" t="s">
        <v>468</v>
      </c>
      <c r="C3" s="6">
        <v>0.23958333333333334</v>
      </c>
      <c r="D3" s="6">
        <v>0.34375</v>
      </c>
      <c r="E3" s="6">
        <v>0.4583333333333333</v>
      </c>
      <c r="F3" s="6">
        <v>0.5833333333333334</v>
      </c>
      <c r="G3" s="6">
        <v>0.6875</v>
      </c>
      <c r="H3" s="6">
        <v>0.7986111111111112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469</v>
      </c>
      <c r="B4" s="9" t="s">
        <v>470</v>
      </c>
      <c r="C4" s="8">
        <v>0.24513888888888888</v>
      </c>
      <c r="D4" s="8">
        <v>0.34930555555555554</v>
      </c>
      <c r="E4" s="8">
        <v>0.4638888888888889</v>
      </c>
      <c r="F4" s="8">
        <v>0.5888888888888889</v>
      </c>
      <c r="G4" s="8">
        <v>0.6930555555555555</v>
      </c>
      <c r="H4" s="8">
        <v>0.8041666666666667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471</v>
      </c>
      <c r="B5" s="9" t="s">
        <v>472</v>
      </c>
      <c r="C5" s="8">
        <v>0.24930555555555556</v>
      </c>
      <c r="D5" s="8">
        <v>0.35347222222222224</v>
      </c>
      <c r="E5" s="8">
        <v>0.46805555555555556</v>
      </c>
      <c r="F5" s="8">
        <v>0.5930555555555556</v>
      </c>
      <c r="G5" s="8">
        <v>0.6972222222222222</v>
      </c>
      <c r="H5" s="8">
        <v>0.8083333333333333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473</v>
      </c>
      <c r="B6" s="9" t="s">
        <v>474</v>
      </c>
      <c r="C6" s="8">
        <v>0.2513888888888889</v>
      </c>
      <c r="D6" s="8">
        <v>0.35555555555555557</v>
      </c>
      <c r="E6" s="8">
        <v>0.4701388888888889</v>
      </c>
      <c r="F6" s="8">
        <v>0.5951388888888889</v>
      </c>
      <c r="G6" s="8">
        <v>0.6993055555555555</v>
      </c>
      <c r="H6" s="8">
        <v>0.8104166666666667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475</v>
      </c>
      <c r="B7" s="9" t="s">
        <v>476</v>
      </c>
      <c r="C7" s="8">
        <v>0.25416666666666665</v>
      </c>
      <c r="D7" s="8">
        <v>0.35833333333333334</v>
      </c>
      <c r="E7" s="8">
        <v>0.47291666666666665</v>
      </c>
      <c r="F7" s="8">
        <v>0.5979166666666667</v>
      </c>
      <c r="G7" s="8">
        <v>0.7020833333333333</v>
      </c>
      <c r="H7" s="8">
        <v>0.8131944444444444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542</v>
      </c>
      <c r="B8" s="7" t="s">
        <v>543</v>
      </c>
      <c r="C8" s="8">
        <v>0.25763888888888886</v>
      </c>
      <c r="D8" s="8">
        <v>0.36180555555555555</v>
      </c>
      <c r="E8" s="8">
        <v>0.47638888888888886</v>
      </c>
      <c r="F8" s="8">
        <v>0.6013888888888889</v>
      </c>
      <c r="G8" s="8">
        <v>0.7055555555555556</v>
      </c>
      <c r="H8" s="8">
        <v>0.8166666666666667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544</v>
      </c>
      <c r="B9" s="7" t="s">
        <v>545</v>
      </c>
      <c r="C9" s="8">
        <v>0.25972222222222224</v>
      </c>
      <c r="D9" s="8">
        <v>0.3638888888888889</v>
      </c>
      <c r="E9" s="8">
        <v>0.47847222222222224</v>
      </c>
      <c r="F9" s="8">
        <v>0.6034722222222222</v>
      </c>
      <c r="G9" s="8">
        <v>0.7076388888888889</v>
      </c>
      <c r="H9" s="8">
        <v>0.81875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546</v>
      </c>
      <c r="B10" s="7" t="s">
        <v>547</v>
      </c>
      <c r="C10" s="8">
        <v>0.26458333333333334</v>
      </c>
      <c r="D10" s="8">
        <v>0.36875</v>
      </c>
      <c r="E10" s="8">
        <v>0.48333333333333334</v>
      </c>
      <c r="F10" s="8">
        <v>0.6083333333333333</v>
      </c>
      <c r="G10" s="8">
        <v>0.7125</v>
      </c>
      <c r="H10" s="8">
        <v>0.8236111111111111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564</v>
      </c>
      <c r="B11" s="7" t="s">
        <v>565</v>
      </c>
      <c r="C11" s="8">
        <v>0.2673611111111111</v>
      </c>
      <c r="D11" s="8">
        <v>0.3715277777777778</v>
      </c>
      <c r="E11" s="8">
        <v>0.4861111111111111</v>
      </c>
      <c r="F11" s="8">
        <v>0.6111111111111112</v>
      </c>
      <c r="G11" s="8">
        <v>0.7152777777777778</v>
      </c>
      <c r="H11" s="8">
        <v>0.8263888888888888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566</v>
      </c>
      <c r="B12" s="7" t="s">
        <v>567</v>
      </c>
      <c r="C12" s="8">
        <v>0.2708333333333333</v>
      </c>
      <c r="D12" s="8">
        <v>0.375</v>
      </c>
      <c r="E12" s="8">
        <v>0.4895833333333333</v>
      </c>
      <c r="F12" s="8">
        <v>0.6145833333333334</v>
      </c>
      <c r="G12" s="8">
        <v>0.71875</v>
      </c>
      <c r="H12" s="8">
        <v>0.8298611111111112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568</v>
      </c>
      <c r="B13" s="7" t="s">
        <v>569</v>
      </c>
      <c r="C13" s="8">
        <v>0.2743055555555556</v>
      </c>
      <c r="D13" s="8">
        <v>0.3784722222222222</v>
      </c>
      <c r="E13" s="8">
        <v>0.4930555555555556</v>
      </c>
      <c r="F13" s="8">
        <v>0.6180555555555556</v>
      </c>
      <c r="G13" s="8">
        <v>0.7222222222222222</v>
      </c>
      <c r="H13" s="8">
        <v>0.8333333333333334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570</v>
      </c>
      <c r="B14" s="7" t="s">
        <v>571</v>
      </c>
      <c r="C14" s="8">
        <v>0.27847222222222223</v>
      </c>
      <c r="D14" s="8">
        <v>0.38263888888888886</v>
      </c>
      <c r="E14" s="8">
        <v>0.49722222222222223</v>
      </c>
      <c r="F14" s="8">
        <v>0.6222222222222222</v>
      </c>
      <c r="G14" s="8">
        <v>0.7263888888888889</v>
      </c>
      <c r="H14" s="8">
        <v>0.8375</v>
      </c>
      <c r="I14" s="8"/>
      <c r="J14" s="8"/>
      <c r="K14" s="8"/>
      <c r="L14" s="8"/>
      <c r="M14" s="8"/>
      <c r="N14" s="8"/>
      <c r="O14" s="8"/>
    </row>
    <row r="15">
      <c r="A15" s="1" t="s">
        <v>572</v>
      </c>
      <c r="B15" s="7" t="s">
        <v>573</v>
      </c>
      <c r="C15" s="8">
        <v>0.28194444444444444</v>
      </c>
      <c r="D15" s="8">
        <v>0.3861111111111111</v>
      </c>
      <c r="E15" s="8">
        <v>0.5006944444444444</v>
      </c>
      <c r="F15" s="8">
        <v>0.6256944444444444</v>
      </c>
      <c r="G15" s="8">
        <v>0.7298611111111111</v>
      </c>
      <c r="H15" s="8">
        <v>0.8409722222222222</v>
      </c>
      <c r="I15" s="8"/>
      <c r="J15" s="8"/>
      <c r="K15" s="8"/>
      <c r="L15" s="8"/>
      <c r="M15" s="8"/>
      <c r="N15" s="8"/>
      <c r="O15" s="8"/>
    </row>
    <row r="16">
      <c r="A16" s="7" t="s">
        <v>574</v>
      </c>
      <c r="B16" s="7" t="s">
        <v>575</v>
      </c>
      <c r="C16" s="8">
        <v>0.2847222222222222</v>
      </c>
      <c r="D16" s="8">
        <v>0.3888888888888889</v>
      </c>
      <c r="E16" s="8">
        <v>0.5034722222222222</v>
      </c>
      <c r="F16" s="8">
        <v>0.6284722222222222</v>
      </c>
      <c r="G16" s="8">
        <v>0.7326388888888888</v>
      </c>
      <c r="H16" s="8">
        <v>0.84375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1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1"/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1"/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1"/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1"/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1"/>
      <c r="C27" s="11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1"/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'JHB-to-MIDWY_Weekday'!B1</f>
        <v>45840</v>
      </c>
      <c r="C1" s="1" t="str">
        <f>'JHB-to-MIDWY_Weekday'!C1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9003.0</v>
      </c>
      <c r="D2" s="1">
        <v>9005.0</v>
      </c>
      <c r="E2" s="1">
        <v>9007.0</v>
      </c>
      <c r="F2" s="1">
        <v>9009.0</v>
      </c>
      <c r="G2" s="1">
        <v>9011.0</v>
      </c>
      <c r="H2" s="1">
        <v>9013.0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574</v>
      </c>
      <c r="B3" s="5" t="s">
        <v>575</v>
      </c>
      <c r="C3" s="6">
        <v>0.1875</v>
      </c>
      <c r="D3" s="6">
        <v>0.2916666666666667</v>
      </c>
      <c r="E3" s="6">
        <v>0.3958333333333333</v>
      </c>
      <c r="F3" s="6">
        <v>0.5208333333333334</v>
      </c>
      <c r="G3" s="6">
        <v>0.6354166666666666</v>
      </c>
      <c r="H3" s="6">
        <v>0.7395833333333334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572</v>
      </c>
      <c r="B4" s="8" t="s">
        <v>573</v>
      </c>
      <c r="C4" s="8">
        <v>0.1909722222222222</v>
      </c>
      <c r="D4" s="8">
        <v>0.2951388888888889</v>
      </c>
      <c r="E4" s="8">
        <v>0.3993055555555556</v>
      </c>
      <c r="F4" s="8">
        <v>0.5243055555555556</v>
      </c>
      <c r="G4" s="8">
        <v>0.6388888888888888</v>
      </c>
      <c r="H4" s="8">
        <v>0.7430555555555556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570</v>
      </c>
      <c r="B5" s="8" t="s">
        <v>571</v>
      </c>
      <c r="C5" s="8">
        <v>0.19583333333333333</v>
      </c>
      <c r="D5" s="8">
        <v>0.3</v>
      </c>
      <c r="E5" s="8">
        <v>0.4041666666666667</v>
      </c>
      <c r="F5" s="8">
        <v>0.5291666666666667</v>
      </c>
      <c r="G5" s="8">
        <v>0.64375</v>
      </c>
      <c r="H5" s="8">
        <v>0.7472222222222222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568</v>
      </c>
      <c r="B6" s="8" t="s">
        <v>569</v>
      </c>
      <c r="C6" s="8">
        <v>0.2</v>
      </c>
      <c r="D6" s="8">
        <v>0.30416666666666664</v>
      </c>
      <c r="E6" s="8">
        <v>0.4083333333333333</v>
      </c>
      <c r="F6" s="8">
        <v>0.5333333333333333</v>
      </c>
      <c r="G6" s="8">
        <v>0.6479166666666667</v>
      </c>
      <c r="H6" s="8">
        <v>0.7513888888888889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566</v>
      </c>
      <c r="B7" s="7" t="s">
        <v>567</v>
      </c>
      <c r="C7" s="8">
        <v>0.20347222222222222</v>
      </c>
      <c r="D7" s="8">
        <v>0.3076388888888889</v>
      </c>
      <c r="E7" s="8">
        <v>0.41180555555555554</v>
      </c>
      <c r="F7" s="8">
        <v>0.5368055555555555</v>
      </c>
      <c r="G7" s="8">
        <v>0.6513888888888889</v>
      </c>
      <c r="H7" s="8">
        <v>0.7541666666666667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564</v>
      </c>
      <c r="B8" s="8" t="s">
        <v>565</v>
      </c>
      <c r="C8" s="8">
        <v>0.20555555555555555</v>
      </c>
      <c r="D8" s="8">
        <v>0.30972222222222223</v>
      </c>
      <c r="E8" s="8">
        <v>0.41388888888888886</v>
      </c>
      <c r="F8" s="8">
        <v>0.5388888888888889</v>
      </c>
      <c r="G8" s="8">
        <v>0.6534722222222222</v>
      </c>
      <c r="H8" s="8">
        <v>0.75625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546</v>
      </c>
      <c r="B9" s="8" t="s">
        <v>547</v>
      </c>
      <c r="C9" s="8">
        <v>0.20902777777777778</v>
      </c>
      <c r="D9" s="8">
        <v>0.31319444444444444</v>
      </c>
      <c r="E9" s="8">
        <v>0.4173611111111111</v>
      </c>
      <c r="F9" s="8">
        <v>0.5423611111111111</v>
      </c>
      <c r="G9" s="8">
        <v>0.6569444444444444</v>
      </c>
      <c r="H9" s="8">
        <v>0.7590277777777777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544</v>
      </c>
      <c r="B10" s="8" t="s">
        <v>545</v>
      </c>
      <c r="C10" s="8">
        <v>0.21319444444444444</v>
      </c>
      <c r="D10" s="8">
        <v>0.3173611111111111</v>
      </c>
      <c r="E10" s="8">
        <v>0.4215277777777778</v>
      </c>
      <c r="F10" s="8">
        <v>0.5465277777777777</v>
      </c>
      <c r="G10" s="8">
        <v>0.6611111111111111</v>
      </c>
      <c r="H10" s="8">
        <v>0.7638888888888888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542</v>
      </c>
      <c r="B11" s="8" t="s">
        <v>543</v>
      </c>
      <c r="C11" s="8">
        <v>0.2152777777777778</v>
      </c>
      <c r="D11" s="8">
        <v>0.3194444444444444</v>
      </c>
      <c r="E11" s="8">
        <v>0.4236111111111111</v>
      </c>
      <c r="F11" s="8">
        <v>0.5486111111111112</v>
      </c>
      <c r="G11" s="8">
        <v>0.6631944444444444</v>
      </c>
      <c r="H11" s="8">
        <v>0.7652777777777777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475</v>
      </c>
      <c r="B12" s="8" t="s">
        <v>476</v>
      </c>
      <c r="C12" s="8">
        <v>0.21944444444444444</v>
      </c>
      <c r="D12" s="8">
        <v>0.3236111111111111</v>
      </c>
      <c r="E12" s="8">
        <v>0.42777777777777776</v>
      </c>
      <c r="F12" s="8">
        <v>0.5527777777777778</v>
      </c>
      <c r="G12" s="8">
        <v>0.6673611111111111</v>
      </c>
      <c r="H12" s="8">
        <v>0.7694444444444445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473</v>
      </c>
      <c r="B13" s="8" t="s">
        <v>474</v>
      </c>
      <c r="C13" s="8">
        <v>0.22291666666666668</v>
      </c>
      <c r="D13" s="8">
        <v>0.32708333333333334</v>
      </c>
      <c r="E13" s="8">
        <v>0.43125</v>
      </c>
      <c r="F13" s="8">
        <v>0.55625</v>
      </c>
      <c r="G13" s="8">
        <v>0.6708333333333333</v>
      </c>
      <c r="H13" s="8">
        <v>0.7722222222222223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471</v>
      </c>
      <c r="B14" s="8" t="s">
        <v>472</v>
      </c>
      <c r="C14" s="8">
        <v>0.225</v>
      </c>
      <c r="D14" s="8">
        <v>0.32916666666666666</v>
      </c>
      <c r="E14" s="8">
        <v>0.43333333333333335</v>
      </c>
      <c r="F14" s="8">
        <v>0.5583333333333333</v>
      </c>
      <c r="G14" s="8">
        <v>0.6729166666666667</v>
      </c>
      <c r="H14" s="8">
        <v>0.7743055555555556</v>
      </c>
      <c r="I14" s="8"/>
      <c r="J14" s="8"/>
      <c r="K14" s="8"/>
    </row>
    <row r="15">
      <c r="A15" s="1" t="s">
        <v>469</v>
      </c>
      <c r="B15" s="8" t="s">
        <v>470</v>
      </c>
      <c r="C15" s="8">
        <v>0.22777777777777777</v>
      </c>
      <c r="D15" s="8">
        <v>0.33194444444444443</v>
      </c>
      <c r="E15" s="8">
        <v>0.4361111111111111</v>
      </c>
      <c r="F15" s="8">
        <v>0.5611111111111111</v>
      </c>
      <c r="G15" s="8">
        <v>0.6756944444444445</v>
      </c>
      <c r="H15" s="8">
        <v>0.7770833333333333</v>
      </c>
      <c r="I15" s="8"/>
      <c r="J15" s="8"/>
      <c r="K15" s="8"/>
    </row>
    <row r="16">
      <c r="A16" s="7" t="s">
        <v>270</v>
      </c>
      <c r="B16" s="8" t="s">
        <v>468</v>
      </c>
      <c r="C16" s="8">
        <v>0.2326388888888889</v>
      </c>
      <c r="D16" s="8">
        <v>0.3368055555555556</v>
      </c>
      <c r="E16" s="8">
        <v>0.4409722222222222</v>
      </c>
      <c r="F16" s="8">
        <v>0.5659722222222222</v>
      </c>
      <c r="G16" s="8">
        <v>0.6805555555555556</v>
      </c>
      <c r="H16" s="8">
        <v>0.78125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1"/>
      <c r="C18" s="11"/>
      <c r="D18" s="11"/>
      <c r="E18" s="11"/>
      <c r="F18" s="11"/>
      <c r="G18" s="1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12"/>
      <c r="G19" s="12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4"/>
      <c r="C20" s="14"/>
      <c r="D20" s="14"/>
      <c r="E20" s="14"/>
      <c r="F20" s="14"/>
      <c r="G20" s="14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1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4"/>
      <c r="C32" s="14"/>
      <c r="D32" s="14"/>
      <c r="E32" s="14"/>
      <c r="F32" s="14"/>
      <c r="G32" s="14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1"/>
      <c r="B38" s="14"/>
      <c r="C38" s="14"/>
      <c r="D38" s="14"/>
      <c r="E38" s="14"/>
      <c r="F38" s="14"/>
      <c r="G38" s="14"/>
      <c r="H38" s="11"/>
      <c r="I38" s="11"/>
      <c r="J38" s="11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14"/>
      <c r="C41" s="14"/>
      <c r="D41" s="14"/>
      <c r="E41" s="14"/>
      <c r="F41" s="14"/>
      <c r="G41" s="14"/>
      <c r="H41" s="11"/>
      <c r="I41" s="11"/>
      <c r="J41" s="11"/>
    </row>
    <row r="42">
      <c r="A42" s="11"/>
      <c r="B42" s="14"/>
      <c r="C42" s="14"/>
      <c r="D42" s="14"/>
      <c r="E42" s="14"/>
      <c r="F42" s="14"/>
      <c r="G42" s="14"/>
      <c r="H42" s="11"/>
      <c r="I42" s="11"/>
      <c r="J42" s="11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14"/>
      <c r="C44" s="14"/>
      <c r="D44" s="14"/>
      <c r="E44" s="14"/>
      <c r="F44" s="14"/>
      <c r="G44" s="14"/>
      <c r="H44" s="11"/>
      <c r="I44" s="11"/>
      <c r="J44" s="11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  <row r="46">
      <c r="A46" s="11"/>
      <c r="B46" s="14"/>
      <c r="C46" s="14"/>
      <c r="D46" s="14"/>
      <c r="E46" s="14"/>
      <c r="F46" s="14"/>
      <c r="G46" s="14"/>
    </row>
    <row r="47">
      <c r="A47" s="11"/>
      <c r="B47" s="14"/>
      <c r="C47" s="14"/>
      <c r="D47" s="14"/>
      <c r="E47" s="14"/>
      <c r="F47" s="14"/>
      <c r="G47" s="14"/>
    </row>
    <row r="48">
      <c r="A48" s="11"/>
      <c r="B48" s="14"/>
      <c r="C48" s="14"/>
      <c r="D48" s="14"/>
      <c r="E48" s="14"/>
      <c r="F48" s="14"/>
      <c r="G48" s="14"/>
    </row>
    <row r="49">
      <c r="A49" s="11"/>
      <c r="B49" s="14"/>
      <c r="C49" s="14"/>
      <c r="D49" s="14"/>
      <c r="E49" s="14"/>
      <c r="F49" s="14"/>
      <c r="G49" s="14"/>
    </row>
    <row r="50">
      <c r="A50" s="11"/>
      <c r="B50" s="14"/>
      <c r="C50" s="14"/>
      <c r="D50" s="14"/>
      <c r="E50" s="14"/>
      <c r="F50" s="14"/>
      <c r="G50" s="14"/>
    </row>
    <row r="51">
      <c r="A51" s="11"/>
      <c r="B51" s="14"/>
      <c r="C51" s="14"/>
      <c r="D51" s="14"/>
      <c r="E51" s="14"/>
      <c r="F51" s="14"/>
      <c r="G51" s="14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1" t="s">
        <v>196</v>
      </c>
      <c r="C1" s="1" t="str">
        <f>'JHB-to-MIDWY_Weekday'!C1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9004.0</v>
      </c>
      <c r="D2" s="1">
        <v>9012.0</v>
      </c>
      <c r="E2" s="1">
        <v>9014.0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270</v>
      </c>
      <c r="B3" s="5" t="s">
        <v>468</v>
      </c>
      <c r="C3" s="6">
        <v>0.3159722222222222</v>
      </c>
      <c r="D3" s="6">
        <v>0.6458333333333334</v>
      </c>
      <c r="E3" s="6">
        <v>0.75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469</v>
      </c>
      <c r="B4" s="9" t="s">
        <v>470</v>
      </c>
      <c r="C4" s="8">
        <v>0.32083333333333336</v>
      </c>
      <c r="D4" s="8">
        <v>0.6506944444444445</v>
      </c>
      <c r="E4" s="8">
        <v>0.7548611111111111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471</v>
      </c>
      <c r="B5" s="9" t="s">
        <v>472</v>
      </c>
      <c r="C5" s="8">
        <v>0.3256944444444444</v>
      </c>
      <c r="D5" s="8">
        <v>0.6555555555555556</v>
      </c>
      <c r="E5" s="8">
        <v>0.7597222222222222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473</v>
      </c>
      <c r="B6" s="9" t="s">
        <v>474</v>
      </c>
      <c r="C6" s="166">
        <v>0.3277777777777777</v>
      </c>
      <c r="D6" s="166">
        <v>0.6576388888888889</v>
      </c>
      <c r="E6" s="166">
        <v>0.7618055555555555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475</v>
      </c>
      <c r="B7" s="9" t="s">
        <v>476</v>
      </c>
      <c r="C7" s="8">
        <v>0.3305555555555555</v>
      </c>
      <c r="D7" s="8">
        <v>0.6604166666666667</v>
      </c>
      <c r="E7" s="8">
        <v>0.7645833333333333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542</v>
      </c>
      <c r="B8" s="7" t="s">
        <v>543</v>
      </c>
      <c r="C8" s="8">
        <v>0.3340277777777777</v>
      </c>
      <c r="D8" s="8">
        <v>0.6638888888888889</v>
      </c>
      <c r="E8" s="8">
        <v>0.7680555555555555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544</v>
      </c>
      <c r="B9" s="7" t="s">
        <v>545</v>
      </c>
      <c r="C9" s="8">
        <v>0.3361111111111111</v>
      </c>
      <c r="D9" s="8">
        <v>0.6659722222222222</v>
      </c>
      <c r="E9" s="8">
        <v>0.7701388888888889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546</v>
      </c>
      <c r="B10" s="7" t="s">
        <v>547</v>
      </c>
      <c r="C10" s="8">
        <v>0.3409722222222222</v>
      </c>
      <c r="D10" s="8">
        <v>0.6708333333333333</v>
      </c>
      <c r="E10" s="8">
        <v>0.775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564</v>
      </c>
      <c r="B11" s="7" t="s">
        <v>565</v>
      </c>
      <c r="C11" s="8">
        <v>0.34374999999999994</v>
      </c>
      <c r="D11" s="8">
        <v>0.673611111111111</v>
      </c>
      <c r="E11" s="8">
        <v>0.7777777777777778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566</v>
      </c>
      <c r="B12" s="7" t="s">
        <v>567</v>
      </c>
      <c r="C12" s="8">
        <v>0.34652777777777777</v>
      </c>
      <c r="D12" s="8">
        <v>0.6763888888888889</v>
      </c>
      <c r="E12" s="8">
        <v>0.7805555555555556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568</v>
      </c>
      <c r="B13" s="7" t="s">
        <v>569</v>
      </c>
      <c r="C13" s="8">
        <v>0.3506944444444444</v>
      </c>
      <c r="D13" s="8">
        <v>0.6805555555555556</v>
      </c>
      <c r="E13" s="8">
        <v>0.7847222222222223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570</v>
      </c>
      <c r="B14" s="7" t="s">
        <v>571</v>
      </c>
      <c r="C14" s="8">
        <v>0.35486111111111107</v>
      </c>
      <c r="D14" s="8">
        <v>0.6847222222222222</v>
      </c>
      <c r="E14" s="8">
        <v>0.788888888888889</v>
      </c>
      <c r="F14" s="8"/>
      <c r="G14" s="8"/>
      <c r="H14" s="8"/>
      <c r="I14" s="8"/>
      <c r="J14" s="8"/>
      <c r="K14" s="8"/>
    </row>
    <row r="15">
      <c r="A15" s="1" t="s">
        <v>572</v>
      </c>
      <c r="B15" s="7" t="s">
        <v>573</v>
      </c>
      <c r="C15" s="8">
        <v>0.3583333333333333</v>
      </c>
      <c r="D15" s="8">
        <v>0.6881944444444444</v>
      </c>
      <c r="E15" s="8">
        <v>0.7923611111111112</v>
      </c>
      <c r="F15" s="8"/>
      <c r="G15" s="8"/>
      <c r="H15" s="8"/>
      <c r="I15" s="8"/>
      <c r="J15" s="8"/>
      <c r="K15" s="8"/>
    </row>
    <row r="16">
      <c r="A16" s="7" t="s">
        <v>574</v>
      </c>
      <c r="B16" s="7" t="s">
        <v>575</v>
      </c>
      <c r="C16" s="8">
        <v>0.36111111111111105</v>
      </c>
      <c r="D16" s="8">
        <v>0.6909722222222222</v>
      </c>
      <c r="E16" s="8">
        <v>0.795138888888889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'JHB-to-MIDWY_Sat'!B1</f>
        <v>Unspecified</v>
      </c>
      <c r="C1" s="1" t="str">
        <f>'JHB-to-MIDWY_Sat'!C1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9003.0</v>
      </c>
      <c r="D2" s="1">
        <v>9005.0</v>
      </c>
      <c r="E2" s="1">
        <v>9013.0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574</v>
      </c>
      <c r="B3" s="5" t="s">
        <v>575</v>
      </c>
      <c r="C3" s="6">
        <v>0.2638888888888889</v>
      </c>
      <c r="D3" s="6">
        <v>0.3680555555555556</v>
      </c>
      <c r="E3" s="6">
        <v>0.6979166666666666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572</v>
      </c>
      <c r="B4" s="8" t="s">
        <v>573</v>
      </c>
      <c r="C4" s="8">
        <v>0.2673611111111111</v>
      </c>
      <c r="D4" s="8">
        <v>0.3715277777777778</v>
      </c>
      <c r="E4" s="8">
        <v>0.7013888888888888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570</v>
      </c>
      <c r="B5" s="8" t="s">
        <v>571</v>
      </c>
      <c r="C5" s="8">
        <v>0.27222222222222225</v>
      </c>
      <c r="D5" s="8">
        <v>0.3763888888888889</v>
      </c>
      <c r="E5" s="8">
        <v>0.7062499999999999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568</v>
      </c>
      <c r="B6" s="8" t="s">
        <v>569</v>
      </c>
      <c r="C6" s="8">
        <v>0.2763888888888889</v>
      </c>
      <c r="D6" s="8">
        <v>0.38055555555555554</v>
      </c>
      <c r="E6" s="8">
        <v>0.7104166666666666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566</v>
      </c>
      <c r="B7" s="7" t="s">
        <v>567</v>
      </c>
      <c r="C7" s="8">
        <v>0.2798611111111111</v>
      </c>
      <c r="D7" s="8">
        <v>0.38402777777777775</v>
      </c>
      <c r="E7" s="8">
        <v>0.7138888888888888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564</v>
      </c>
      <c r="B8" s="8" t="s">
        <v>565</v>
      </c>
      <c r="C8" s="8">
        <v>0.2826388888888889</v>
      </c>
      <c r="D8" s="8">
        <v>0.38680555555555557</v>
      </c>
      <c r="E8" s="8">
        <v>0.7166666666666667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546</v>
      </c>
      <c r="B9" s="8" t="s">
        <v>547</v>
      </c>
      <c r="C9" s="8">
        <v>0.28541666666666665</v>
      </c>
      <c r="D9" s="8">
        <v>0.3895833333333333</v>
      </c>
      <c r="E9" s="8">
        <v>0.7194444444444443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544</v>
      </c>
      <c r="B10" s="8" t="s">
        <v>545</v>
      </c>
      <c r="C10" s="8">
        <v>0.2895833333333333</v>
      </c>
      <c r="D10" s="8">
        <v>0.39444444444444443</v>
      </c>
      <c r="E10" s="8">
        <v>0.7243055555555555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542</v>
      </c>
      <c r="B11" s="8" t="s">
        <v>543</v>
      </c>
      <c r="C11" s="8">
        <v>0.2923611111111111</v>
      </c>
      <c r="D11" s="8">
        <v>0.39652777777777776</v>
      </c>
      <c r="E11" s="8">
        <v>0.7263888888888889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475</v>
      </c>
      <c r="B12" s="8" t="s">
        <v>476</v>
      </c>
      <c r="C12" s="8">
        <v>0.2965277777777778</v>
      </c>
      <c r="D12" s="8">
        <v>0.40069444444444446</v>
      </c>
      <c r="E12" s="8">
        <v>0.7305555555555555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473</v>
      </c>
      <c r="B13" s="8" t="s">
        <v>474</v>
      </c>
      <c r="C13" s="166">
        <v>0.2993055555555555</v>
      </c>
      <c r="D13" s="166">
        <v>0.4034722222222221</v>
      </c>
      <c r="E13" s="166">
        <v>0.7333333333333332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471</v>
      </c>
      <c r="B14" s="8" t="s">
        <v>472</v>
      </c>
      <c r="C14" s="8">
        <v>0.30069444444444443</v>
      </c>
      <c r="D14" s="8">
        <v>0.4048611111111111</v>
      </c>
      <c r="E14" s="8">
        <v>0.7347222222222223</v>
      </c>
      <c r="F14" s="8"/>
      <c r="G14" s="8"/>
      <c r="H14" s="8"/>
      <c r="I14" s="8"/>
      <c r="J14" s="8"/>
      <c r="K14" s="8"/>
    </row>
    <row r="15">
      <c r="A15" s="1" t="s">
        <v>469</v>
      </c>
      <c r="B15" s="8" t="s">
        <v>470</v>
      </c>
      <c r="C15" s="8">
        <v>0.3041666666666666</v>
      </c>
      <c r="D15" s="8">
        <v>0.4083333333333332</v>
      </c>
      <c r="E15" s="8">
        <v>0.7381944444444443</v>
      </c>
      <c r="F15" s="8"/>
      <c r="G15" s="8"/>
      <c r="H15" s="8"/>
      <c r="I15" s="8"/>
      <c r="J15" s="8"/>
      <c r="K15" s="8"/>
    </row>
    <row r="16">
      <c r="A16" s="7" t="s">
        <v>270</v>
      </c>
      <c r="B16" s="8" t="s">
        <v>468</v>
      </c>
      <c r="C16" s="8">
        <v>0.3090277777777777</v>
      </c>
      <c r="D16" s="8">
        <v>0.4131944444444443</v>
      </c>
      <c r="E16" s="8">
        <v>0.7430555555555554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