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Archive_2025" sheetId="2" r:id="rId6"/>
    <sheet state="visible" name="CTCEN-IN_Weekday" sheetId="3" r:id="rId7"/>
    <sheet state="visible" name="CTCEN-OUT_Weekday" sheetId="4" r:id="rId8"/>
    <sheet state="visible" name="CTCEN-IN_Sat" sheetId="5" r:id="rId9"/>
    <sheet state="visible" name="CTCEN-OUT_Sat" sheetId="6" r:id="rId10"/>
    <sheet state="visible" name="Config_GridOrder" sheetId="7" r:id="rId11"/>
    <sheet state="visible" name="CT-to-HANI_Weekday" sheetId="8" r:id="rId12"/>
    <sheet state="visible" name="HANI-to-CT_Weekday" sheetId="9" r:id="rId13"/>
    <sheet state="visible" name="CT-to-HANI_Sat" sheetId="10" r:id="rId14"/>
    <sheet state="visible" name="HANI-to-CT_Sat" sheetId="11" r:id="rId15"/>
    <sheet state="visible" name="CT-to-KAP_Weekday" sheetId="12" r:id="rId16"/>
    <sheet state="visible" name="KAP-to-CT_Weekday" sheetId="13" r:id="rId17"/>
    <sheet state="visible" name="CT-to-KAP_Sat" sheetId="14" r:id="rId18"/>
    <sheet state="visible" name="KAP-to-CT_Sat" sheetId="15" r:id="rId19"/>
    <sheet state="visible" name="MUTUL-to-BELLV_Weekday" sheetId="16" r:id="rId20"/>
    <sheet state="visible" name="BELLV-to-MUTUL_Weekday" sheetId="17" r:id="rId21"/>
    <sheet state="visible" name="MUTUL-to-BELLV_Sat" sheetId="18" r:id="rId22"/>
    <sheet state="visible" name="BELLV-to-MUTUL_Sat" sheetId="19" r:id="rId23"/>
    <sheet state="visible" name="CT-to-NOLU_Weekday" sheetId="20" r:id="rId24"/>
    <sheet state="visible" name="NOLU-to-CT_Weekday" sheetId="21" r:id="rId25"/>
    <sheet state="visible" name="CT-to-NOLU_Sat" sheetId="22" r:id="rId26"/>
    <sheet state="visible" name="NOLU-to-CT_Sat" sheetId="23" r:id="rId27"/>
    <sheet state="visible" name="CT-to-SIMON_Weekday" sheetId="24" r:id="rId28"/>
    <sheet state="visible" name="SIMON-to-CT_Weekday" sheetId="25" r:id="rId29"/>
    <sheet state="visible" name="CT-to-SIMON_Sat" sheetId="26" r:id="rId30"/>
    <sheet state="visible" name="SIMON-to-CT_Sat" sheetId="27" r:id="rId31"/>
    <sheet state="visible" name="CT-to-RTRET_Weekday" sheetId="28" r:id="rId32"/>
    <sheet state="visible" name="RTRET-to-CT_Weekday" sheetId="29" r:id="rId33"/>
    <sheet state="visible" name="CT-to-RTRET_Sat" sheetId="30" r:id="rId34"/>
    <sheet state="visible" name="RTRET-to-CT_Sat" sheetId="31" r:id="rId35"/>
    <sheet state="visible" name="CT-to-BELLV_Weekday" sheetId="32" r:id="rId36"/>
    <sheet state="visible" name="BELLV-to-CT_Weekday" sheetId="33" r:id="rId37"/>
    <sheet state="visible" name="CT-to-BELLV_Sat" sheetId="34" r:id="rId38"/>
    <sheet state="visible" name="BELLV-to-CT_Sat" sheetId="35" r:id="rId39"/>
    <sheet state="visible" name="CT-to-KRAAI_Weekday" sheetId="36" r:id="rId40"/>
    <sheet state="visible" name="KRAAI-to-CT_Weekday" sheetId="37" r:id="rId41"/>
    <sheet state="visible" name="CT-to-KRAAI_Sat" sheetId="38" r:id="rId42"/>
    <sheet state="visible" name="KRAAI-to-CT_Sat" sheetId="39" r:id="rId43"/>
    <sheet state="visible" name="CT-to-EERST_Weekday" sheetId="40" r:id="rId44"/>
    <sheet state="visible" name="EERST-to-CT_Weekday" sheetId="41" r:id="rId45"/>
    <sheet state="visible" name="CT-to-EERST_Sat" sheetId="42" r:id="rId46"/>
    <sheet state="visible" name="EERST-to-CT_Sat" sheetId="43" r:id="rId47"/>
    <sheet state="visible" name="CT-to-STRND_Weekday" sheetId="44" r:id="rId48"/>
    <sheet state="visible" name="STRND-to-CT_Weekday" sheetId="45" r:id="rId49"/>
    <sheet state="visible" name="CT-to-STRND_Sat" sheetId="46" r:id="rId50"/>
    <sheet state="visible" name="STRND-to-CT_Sat" sheetId="47" r:id="rId51"/>
    <sheet state="visible" name="EERST-to-DTOIT_Weekday" sheetId="48" r:id="rId52"/>
    <sheet state="visible" name="DTOIT-to-EERST_Weekday" sheetId="49" r:id="rId53"/>
    <sheet state="visible" name="EERST-to-DTOIT_Sat" sheetId="50" r:id="rId54"/>
    <sheet state="visible" name="DTOIT-to-EERST_Sat" sheetId="51" r:id="rId55"/>
    <sheet state="visible" name="CT-to-WELL_Weekday" sheetId="52" r:id="rId56"/>
    <sheet state="visible" name="WELL-to-CT_Weekday" sheetId="53" r:id="rId57"/>
    <sheet state="visible" name="CT-to-WELL_Sat" sheetId="54" r:id="rId58"/>
    <sheet state="visible" name="WELL-to-CT_Sat" sheetId="55" r:id="rId59"/>
    <sheet state="visible" name="CT-to-MALM_Weekday" sheetId="56" r:id="rId60"/>
    <sheet state="visible" name="MALM-to-CT_Weekday" sheetId="57" r:id="rId61"/>
    <sheet state="visible" name="CT-to-MALM_Sat" sheetId="58" r:id="rId62"/>
    <sheet state="visible" name="MALM-to-CT_Sat" sheetId="59" r:id="rId63"/>
  </sheets>
  <definedNames/>
  <calcPr/>
</workbook>
</file>

<file path=xl/sharedStrings.xml><?xml version="1.0" encoding="utf-8"?>
<sst xmlns="http://schemas.openxmlformats.org/spreadsheetml/2006/main" count="1082" uniqueCount="257">
  <si>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</si>
  <si>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</si>
  <si>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</si>
  <si>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</si>
  <si>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</si>
  <si>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</si>
  <si>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</si>
  <si>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</si>
  <si>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</si>
  <si>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</si>
  <si>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</si>
  <si>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</si>
  <si>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</si>
  <si>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</si>
  <si>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</si>
  <si>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</si>
  <si>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</si>
  <si>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</si>
  <si>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</si>
  <si>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</si>
  <si>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</si>
  <si>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</si>
  <si>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</si>
  <si>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</si>
  <si>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</si>
  <si>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</si>
  <si>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</si>
  <si>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BELLVILLE</t>
  </si>
  <si>
    <t>-33.906263459762684, 18.62662128465745</t>
  </si>
  <si>
    <t>SAREPTA</t>
  </si>
  <si>
    <t>-33.92655594121331, 18.661143180651308</t>
  </si>
  <si>
    <t>PENTECH</t>
  </si>
  <si>
    <t>-33.93468015167005, 18.646053668734744</t>
  </si>
  <si>
    <t>UNIBELL</t>
  </si>
  <si>
    <t>-33.93686354314193, 18.628117540172582</t>
  </si>
  <si>
    <t>BELHAR</t>
  </si>
  <si>
    <t>-33.93959717971092, 18.60894476900841</t>
  </si>
  <si>
    <t>LAVISTOWN</t>
  </si>
  <si>
    <t>-33.943269567798055, 18.583722311337315</t>
  </si>
  <si>
    <t>CHRIS HANI</t>
  </si>
  <si>
    <t>-34.054706073305944, 18.710707924836054</t>
  </si>
  <si>
    <t>KUYASA</t>
  </si>
  <si>
    <t>-34.05489939537871, 18.692323957717754</t>
  </si>
  <si>
    <t>KHAYELITSHA</t>
  </si>
  <si>
    <t>-34.047943373751565, 18.67073769040669</t>
  </si>
  <si>
    <t>NONKQUBELA</t>
  </si>
  <si>
    <t>-34.02681746271161, 18.663190611341626</t>
  </si>
  <si>
    <t>NOLUNGILE</t>
  </si>
  <si>
    <t>-34.016811809063164, 18.64902361716287</t>
  </si>
  <si>
    <t>MANDALAY</t>
  </si>
  <si>
    <t>-34.019015667481014, 18.624391145998562</t>
  </si>
  <si>
    <t>STOCK ROAD</t>
  </si>
  <si>
    <t>-34.01412292128464, 18.606174209491407</t>
  </si>
  <si>
    <t>KAPTEINSKLIP</t>
  </si>
  <si>
    <t>-34.06755873543257, 18.620534480658506</t>
  </si>
  <si>
    <t>MITCHELL'S PLAIN</t>
  </si>
  <si>
    <t>-34.0504610838304, 18.619222253671435</t>
  </si>
  <si>
    <t>LENTEGEUR</t>
  </si>
  <si>
    <t>-34.03418971685345, 18.611322738328173</t>
  </si>
  <si>
    <t>PHILIPPI</t>
  </si>
  <si>
    <t>-34.01328895709482, 18.584421561340882</t>
  </si>
  <si>
    <t>NYANGA</t>
  </si>
  <si>
    <t>-33.99271379632963, 18.559776951819032</t>
  </si>
  <si>
    <t>BONTEHEUWEL</t>
  </si>
  <si>
    <t>-33.94185049480737, 18.549579817876847</t>
  </si>
  <si>
    <t>LANGA</t>
  </si>
  <si>
    <t>-33.938934072196076, 18.52974423065194</t>
  </si>
  <si>
    <t>MUTUAL</t>
  </si>
  <si>
    <t>-33.92209345116931, 18.511988082500565</t>
  </si>
  <si>
    <t>YSTERPLAAT</t>
  </si>
  <si>
    <t>-33.9199022523178, 18.476775305514295</t>
  </si>
  <si>
    <t>ESPLANADE</t>
  </si>
  <si>
    <t>-33.923640784366874, 18.446037955514498</t>
  </si>
  <si>
    <t>PINELANDS</t>
  </si>
  <si>
    <t>-33.93964476336891, 18.490635019900687</t>
  </si>
  <si>
    <t>NDABENI</t>
  </si>
  <si>
    <t>-33.928548273196824, 18.495159894144553</t>
  </si>
  <si>
    <t>MAITLAND</t>
  </si>
  <si>
    <t>-33.92465193392986, 18.487001988940953</t>
  </si>
  <si>
    <t>KOEBERG RD</t>
  </si>
  <si>
    <t>-33.92570961024241, 18.47887742815667</t>
  </si>
  <si>
    <t>SALT RIVER</t>
  </si>
  <si>
    <t>-33.92754558428959, 18.464689555116372</t>
  </si>
  <si>
    <t>WOODSTOCK</t>
  </si>
  <si>
    <t>-33.925058308184404, 18.44613913370814</t>
  </si>
  <si>
    <t>CAPE TOWN</t>
  </si>
  <si>
    <t>-33.92363127060243, 18.42718648501388</t>
  </si>
  <si>
    <t>NETREG</t>
  </si>
  <si>
    <t>-33.952666168847884, 18.56356622880313</t>
  </si>
  <si>
    <t>HEIDEVELD</t>
  </si>
  <si>
    <t>-33.969594701133275, 18.56187725551686</t>
  </si>
  <si>
    <t>TRAIN NO</t>
  </si>
  <si>
    <t>PAARDENEILAND</t>
  </si>
  <si>
    <t>Key,SheetName,RowNumber,StartCol</t>
  </si>
  <si>
    <t>ctcen_in_weekday,CTCEN-IN_Weekday,2,C</t>
  </si>
  <si>
    <t>ctcen_out_weekday,CTCEN-OUT_Weekday,2,C</t>
  </si>
  <si>
    <t>ctcen_in_sat,CTCEN-IN_Sat,2,C</t>
  </si>
  <si>
    <t>ctcen_out_sat,CTCEN-OUT_Sat,2,C</t>
  </si>
  <si>
    <t>ct_to_hani_weekday,CT-to-HANI_Weekday,2,C</t>
  </si>
  <si>
    <t>hani_to_ct_weekday,HANI-to-CT_Weekday,2,C</t>
  </si>
  <si>
    <t>ct_to_hani_sat,CT-to-HANI_Sat,2,C</t>
  </si>
  <si>
    <t>hani_to_ct_sat,HANI-to-CT_Sat,2,C</t>
  </si>
  <si>
    <t>ct_to_kap_weekday,CT-to-KAP_Weekday,2,C</t>
  </si>
  <si>
    <t>kap_to_ct_weekday,KAP-to-CT_Weekday,2,C</t>
  </si>
  <si>
    <t>ct_to_kap_sat,CT-to-KAP_Sat,2,C</t>
  </si>
  <si>
    <t>kap_to_ct_sat,KAP-to-CT_Sat,2,C</t>
  </si>
  <si>
    <t>ct_to_nolu_weekday,CT-to-NOLU_Weekday,2,C</t>
  </si>
  <si>
    <t>nolu_to_ct_weekday,NOLU-to-CT_Weekday,2,C</t>
  </si>
  <si>
    <t>ct_to_nolu_sat,CT-to-NOLU_Sat,2,C</t>
  </si>
  <si>
    <t>nolu_to_ct_sat,NOLU-to-CT_Sat,2,C</t>
  </si>
  <si>
    <t>mutul_to_bellv_weekday,MUTUL-to-BELLV_Weekday,2,C</t>
  </si>
  <si>
    <t>bellv_to_mutul_weekday,BELLV-to-MUTUL_Weekday,2,C</t>
  </si>
  <si>
    <t>mutul_to_bellv_sat,MUTUL-to-BELLV_Sat,2,C</t>
  </si>
  <si>
    <t>bellv_to_mutul_sat,BELLV-to-MUTUL_Sat,2,C</t>
  </si>
  <si>
    <t>ct_to_simon_weekday,CT-to-SIMON_Weekday,2,C</t>
  </si>
  <si>
    <t>simon_to_ct_weekday,SIMON-to-CT_Weekday,2,C</t>
  </si>
  <si>
    <t>ct_to_simon_sat,CT-to-SIMON_Sat,2,C</t>
  </si>
  <si>
    <t>simon_to_ct_sat,SIMON-to-CT_Sat,2,C</t>
  </si>
  <si>
    <t>ct_to_rtret_weekday,CT-to-RTRET_Weekday,2,C</t>
  </si>
  <si>
    <t>rtret_to_ct_weekday,RTRET-to-CT_Weekday,2,C</t>
  </si>
  <si>
    <t>ct_to_rtret_sat,CT-to-RTRET_Sat,2,C</t>
  </si>
  <si>
    <t>rtret_to_ct_sat,RTRET-to-CT_Sat,2,C</t>
  </si>
  <si>
    <t>ct_to_bellv_weekday,CT-to-BELLV_Weekday,2,C</t>
  </si>
  <si>
    <t>bellv_to_ct_weekday,BELLV-to-CT_Weekday,2,C</t>
  </si>
  <si>
    <t>ct_to_bellv_sat,CT-to-BELLV_Sat,2,C</t>
  </si>
  <si>
    <t>bellv_to_ct_sat,BELLV-to-CT_Sat,2,C</t>
  </si>
  <si>
    <t>ct_to_kraai_weekday,CT-to-KRAAI_Weekday,2,C</t>
  </si>
  <si>
    <t>kraai_to_ct_weekday,KRAAI-to-CT_Weekday,2,C</t>
  </si>
  <si>
    <t>ct_to_kraai_sat,CT-to-KRAAI_Sat,2,C</t>
  </si>
  <si>
    <t>kraai_to_ct_sat,KRAAI-to-CT_Sat,2,C</t>
  </si>
  <si>
    <t>ct_to_eerst_weekday,CT-to-EERST_Weekday,2,C</t>
  </si>
  <si>
    <t>eerst_to_ct_weekday,EERST-to-CT_Weekday,2,C</t>
  </si>
  <si>
    <t>ct_to_eerst_sat,CT-to-EERST_Sat,2,C</t>
  </si>
  <si>
    <t>eerst_to_ct_sat,EERST-to-CT_Sat,2,C</t>
  </si>
  <si>
    <t>ct_to_strnd_weekday,CT-to-STRND_Weekday,2,C</t>
  </si>
  <si>
    <t>strnd_to_ct_weekday,STRND-to-CT_Weekday,2,C</t>
  </si>
  <si>
    <t>ct_to_strnd_sat,CT-to-STRND_Sat,2,C</t>
  </si>
  <si>
    <t>strnd_to_ct_sat,STRND-to-CT_Sat,2,C</t>
  </si>
  <si>
    <t>eerst_to_dtoit_weekday,EERST-to-DTOIT_Weekday,2,C</t>
  </si>
  <si>
    <t>dtoit_to_eerst_weekday,DTOIT-to-EERST_Weekday,2,C</t>
  </si>
  <si>
    <t>eerst_to_dtoit_sat,EERST-to-DTOIT_Sat,2,C</t>
  </si>
  <si>
    <t>dtoit_to_eerst_sat,DTOIT-to-EERST_Sat,2,C</t>
  </si>
  <si>
    <t>ct_to_well_weekday,CT-to-WELL_Weekday,2,C</t>
  </si>
  <si>
    <t>well_to_ct_weekday,WELL-to-CT_Weekday,2,C</t>
  </si>
  <si>
    <t>ct_to_well_sat,CT-to-WELL_Sat,2,C</t>
  </si>
  <si>
    <t>well_to_ct_sat,WELL-to-CT_Sat,2,C</t>
  </si>
  <si>
    <t>ct_to_malm_weekday,CT-to-MALM_Weekday,2,C</t>
  </si>
  <si>
    <t>malm_to_ct_weekday,MALM-to-CT_Weekday,2,C</t>
  </si>
  <si>
    <t>ct_to_malm_sat,CT-to-MALM_Sat,2,C</t>
  </si>
  <si>
    <t>malm_to_ct_sat,MALM-to-CT_Sat,2,C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</si>
  <si>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</si>
  <si>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</si>
  <si>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</si>
  <si>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</si>
  <si>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0501</t>
  </si>
  <si>
    <t>0503</t>
  </si>
  <si>
    <t>0505</t>
  </si>
  <si>
    <t>0507</t>
  </si>
  <si>
    <t>0509</t>
  </si>
  <si>
    <t>0511</t>
  </si>
  <si>
    <t>0513</t>
  </si>
  <si>
    <t>0515</t>
  </si>
  <si>
    <t>0517</t>
  </si>
  <si>
    <t>0519</t>
  </si>
  <si>
    <t>0523</t>
  </si>
  <si>
    <t>0525</t>
  </si>
  <si>
    <t>0527</t>
  </si>
  <si>
    <t>0529</t>
  </si>
  <si>
    <t>0531</t>
  </si>
  <si>
    <t>0533</t>
  </si>
  <si>
    <t>0535</t>
  </si>
  <si>
    <t>0537</t>
  </si>
  <si>
    <t>0539</t>
  </si>
  <si>
    <t>0541</t>
  </si>
  <si>
    <t>0543</t>
  </si>
  <si>
    <t>-33.92364274076298, 18.427186832421853</t>
  </si>
  <si>
    <t>-33.925091518292604, 18.44613476001006</t>
  </si>
  <si>
    <t>-33.92754784267079, 18.464689103688738</t>
  </si>
  <si>
    <t>-33.925709848130694, 18.478846676639503</t>
  </si>
  <si>
    <t>-33.92457627299822, 18.487001076360375</t>
  </si>
  <si>
    <t>-33.9285724435786, 18.495175305274607</t>
  </si>
  <si>
    <t>-33.93963837429042, 18.490628305900564</t>
  </si>
  <si>
    <t>HAZENDAL</t>
  </si>
  <si>
    <t>-33.95312997367514, 18.50245242483087</t>
  </si>
  <si>
    <t>ATHLONE</t>
  </si>
  <si>
    <t>-33.962698295518024, 18.50155837334863</t>
  </si>
  <si>
    <t>CRAWFORD</t>
  </si>
  <si>
    <t>-33.9763722999728, 18.501211364161737</t>
  </si>
  <si>
    <t>LANSDOWNE</t>
  </si>
  <si>
    <t>-33.987612457591645, 18.503826638830287</t>
  </si>
  <si>
    <t>WETTON</t>
  </si>
  <si>
    <t>-34.00198092036942, 18.501121431579975</t>
  </si>
  <si>
    <t>OTTERY</t>
  </si>
  <si>
    <t>-34.01338244383532, 18.495063044196876</t>
  </si>
  <si>
    <t>SOUTHFIELD</t>
  </si>
  <si>
    <t>-34.0328559622752, 18.481922097506832</t>
  </si>
  <si>
    <t>HEATHFIELD</t>
  </si>
  <si>
    <t>-34.04591101137236, 18.465287145466693</t>
  </si>
  <si>
    <t>RETREAT</t>
  </si>
  <si>
    <t>-34.05973193768172, 18.463112424714808</t>
  </si>
  <si>
    <t>0500</t>
  </si>
  <si>
    <t>0502</t>
  </si>
  <si>
    <t>0504</t>
  </si>
  <si>
    <t>0506</t>
  </si>
  <si>
    <t>0508</t>
  </si>
  <si>
    <t>0510</t>
  </si>
  <si>
    <t>0512</t>
  </si>
  <si>
    <t>0514</t>
  </si>
  <si>
    <t>0516</t>
  </si>
  <si>
    <t>0518</t>
  </si>
  <si>
    <t>0520</t>
  </si>
  <si>
    <t>0522</t>
  </si>
  <si>
    <t>0524</t>
  </si>
  <si>
    <t>0526</t>
  </si>
  <si>
    <t>0528</t>
  </si>
  <si>
    <t>0530</t>
  </si>
  <si>
    <t>0532</t>
  </si>
  <si>
    <t>0534</t>
  </si>
  <si>
    <t>0536</t>
  </si>
  <si>
    <t>0538</t>
  </si>
  <si>
    <t>-33.923639304464864, 18.42718821282366</t>
  </si>
  <si>
    <t>-33.92386095430605, 18.445826519314583</t>
  </si>
  <si>
    <t>-33.91993715978276, 18.47654476510058</t>
  </si>
  <si>
    <t>CENTURY CITY</t>
  </si>
  <si>
    <t>-33.901116507445494, 18.511648283688643</t>
  </si>
  <si>
    <t>MONTE VISTA</t>
  </si>
  <si>
    <t>-33.89166726211482, 18.54961595156625</t>
  </si>
  <si>
    <t>AVONDALE</t>
  </si>
  <si>
    <t>-33.89778002001787, 18.59287533918825</t>
  </si>
  <si>
    <t>OOSTERZEE</t>
  </si>
  <si>
    <t>-33.90000128762894, 18.60740313069764</t>
  </si>
  <si>
    <t>-33.90611080547394, 18.625990390257403</t>
  </si>
  <si>
    <t>STIKLAND</t>
  </si>
  <si>
    <t>-33.9047695247263, 18.656536260281065</t>
  </si>
  <si>
    <t>BRACKENFELL</t>
  </si>
  <si>
    <t>-33.880926996885385, 18.68869797254891</t>
  </si>
  <si>
    <t>EIKENFONTEIN</t>
  </si>
  <si>
    <t>-33.857150054357206, 18.71115937457518</t>
  </si>
  <si>
    <t>KRAAIFONTEIN</t>
  </si>
  <si>
    <t>-33.84688758182714, 18.724423652533385</t>
  </si>
  <si>
    <t>FISANTKRAAL</t>
  </si>
  <si>
    <t>-33.78626408467964, 18.71169920057285</t>
  </si>
  <si>
    <t>MELLISH</t>
  </si>
  <si>
    <t>-33.76243478432612, 18.71770448779065</t>
  </si>
  <si>
    <t>MIKPUNT</t>
  </si>
  <si>
    <t>-33.72387750914535, 18.707948887392643</t>
  </si>
  <si>
    <t>KLIPHEUWEL</t>
  </si>
  <si>
    <t>-33.69915505683154, 18.70034739164122</t>
  </si>
  <si>
    <t>WINTEVOGEL</t>
  </si>
  <si>
    <t>-33.62956288948659, 18.669952895467464</t>
  </si>
  <si>
    <t>KALBASKRAAL</t>
  </si>
  <si>
    <t>-33.57255398927767, 18.647601367814676</t>
  </si>
  <si>
    <t>ABBOTSDALE</t>
  </si>
  <si>
    <t>-33.4926039622881, 18.681902687224493</t>
  </si>
  <si>
    <t>MALMESBURY</t>
  </si>
  <si>
    <t>-33.467953872147824, 18.722366078564523</t>
  </si>
  <si>
    <t>WINTERVOGEL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</si>
</sst>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1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i/>
      <sz val="12.0"/>
      <color theme="1"/>
      <name val="Arial"/>
      <scheme val="minor"/>
    </font>
    <font>
      <b/>
      <i/>
      <sz val="12.0"/>
      <color rgb="FF1F1F1F"/>
      <name val="&quot;Google Sans Text&quot;"/>
    </font>
    <font>
      <i/>
      <color rgb="FF1F1F1F"/>
      <name val="&quot;Google Sans Text&quot;"/>
    </font>
    <font>
      <i/>
      <sz val="12.0"/>
      <color rgb="FF1F1F1F"/>
      <name val="&quot;Google Sans Text&quot;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i/>
      <color theme="1"/>
      <name val="Arial"/>
    </font>
    <font>
      <i/>
      <color theme="1"/>
      <name val="Arial"/>
    </font>
    <font>
      <b/>
      <i/>
      <sz val="13.0"/>
      <color rgb="FF1F1F1F"/>
      <name val="Google Sans Text"/>
    </font>
    <font>
      <b/>
      <i/>
      <sz val="13.0"/>
      <color theme="1"/>
      <name val="Arial"/>
    </font>
    <font>
      <b/>
      <i/>
      <color rgb="FF1F1F1F"/>
      <name val="Google Sans Text"/>
    </font>
    <font>
      <color rgb="FF1F1F1F"/>
      <name val="Google Sans Text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4" fontId="5" numFmtId="0" xfId="0" applyAlignment="1" applyFont="1">
      <alignment readingOrder="0"/>
    </xf>
    <xf borderId="0" fillId="5" fontId="3" numFmtId="21" xfId="0" applyAlignment="1" applyFill="1" applyFont="1" applyNumberFormat="1">
      <alignment readingOrder="0"/>
    </xf>
    <xf borderId="0" fillId="0" fontId="6" numFmtId="21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6" numFmtId="21" xfId="0" applyAlignment="1" applyFont="1" applyNumberFormat="1">
      <alignment readingOrder="0"/>
    </xf>
    <xf borderId="0" fillId="0" fontId="5" numFmtId="0" xfId="0" applyFont="1"/>
    <xf borderId="0" fillId="5" fontId="8" numFmtId="21" xfId="0" applyAlignment="1" applyFont="1" applyNumberFormat="1">
      <alignment readingOrder="0"/>
    </xf>
    <xf borderId="0" fillId="5" fontId="2" numFmtId="0" xfId="0" applyFont="1"/>
    <xf borderId="0" fillId="5" fontId="3" numFmtId="20" xfId="0" applyAlignment="1" applyFont="1" applyNumberFormat="1">
      <alignment readingOrder="0"/>
    </xf>
    <xf borderId="0" fillId="0" fontId="9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0" fontId="10" numFmtId="21" xfId="0" applyAlignment="1" applyFont="1" applyNumberFormat="1">
      <alignment vertical="bottom"/>
    </xf>
    <xf borderId="0" fillId="4" fontId="11" numFmtId="0" xfId="0" applyAlignment="1" applyFont="1">
      <alignment vertical="bottom"/>
    </xf>
    <xf borderId="0" fillId="0" fontId="10" numFmtId="20" xfId="0" applyAlignment="1" applyFont="1" applyNumberFormat="1">
      <alignment readingOrder="0" vertical="bottom"/>
    </xf>
    <xf borderId="0" fillId="6" fontId="10" numFmtId="21" xfId="0" applyAlignment="1" applyFill="1" applyFont="1" applyNumberFormat="1">
      <alignment horizontal="right" vertical="bottom"/>
    </xf>
    <xf borderId="0" fillId="7" fontId="10" numFmtId="21" xfId="0" applyAlignment="1" applyFill="1" applyFont="1" applyNumberFormat="1">
      <alignment horizontal="right" vertical="bottom"/>
    </xf>
    <xf borderId="0" fillId="4" fontId="12" numFmtId="0" xfId="0" applyAlignment="1" applyFont="1">
      <alignment vertical="bottom"/>
    </xf>
    <xf borderId="0" fillId="6" fontId="10" numFmtId="21" xfId="0" applyAlignment="1" applyFont="1" applyNumberFormat="1">
      <alignment vertical="bottom"/>
    </xf>
    <xf borderId="0" fillId="7" fontId="13" numFmtId="21" xfId="0" applyAlignment="1" applyFont="1" applyNumberFormat="1">
      <alignment horizontal="right" vertical="bottom"/>
    </xf>
    <xf borderId="0" fillId="4" fontId="10" numFmtId="0" xfId="0" applyAlignment="1" applyFont="1">
      <alignment vertical="bottom"/>
    </xf>
    <xf borderId="0" fillId="7" fontId="10" numFmtId="21" xfId="0" applyAlignment="1" applyFont="1" applyNumberFormat="1">
      <alignment vertical="bottom"/>
    </xf>
    <xf borderId="0" fillId="0" fontId="10" numFmtId="0" xfId="0" applyAlignment="1" applyFont="1">
      <alignment readingOrder="0" vertical="bottom"/>
    </xf>
    <xf borderId="0" fillId="8" fontId="10" numFmtId="21" xfId="0" applyAlignment="1" applyFill="1" applyFont="1" applyNumberFormat="1">
      <alignment horizontal="right" vertical="bottom"/>
    </xf>
    <xf borderId="0" fillId="6" fontId="13" numFmtId="21" xfId="0" applyAlignment="1" applyFont="1" applyNumberFormat="1">
      <alignment horizontal="right" vertical="bottom"/>
    </xf>
    <xf borderId="0" fillId="8" fontId="13" numFmtId="21" xfId="0" applyAlignment="1" applyFont="1" applyNumberFormat="1">
      <alignment horizontal="right" vertical="bottom"/>
    </xf>
    <xf borderId="0" fillId="8" fontId="10" numFmtId="21" xfId="0" applyAlignment="1" applyFont="1" applyNumberFormat="1">
      <alignment vertical="bottom"/>
    </xf>
    <xf borderId="0" fillId="9" fontId="14" numFmtId="0" xfId="0" applyAlignment="1" applyFill="1" applyFont="1">
      <alignment vertical="bottom"/>
    </xf>
    <xf borderId="0" fillId="6" fontId="15" numFmtId="21" xfId="0" applyAlignment="1" applyFont="1" applyNumberFormat="1">
      <alignment vertical="bottom"/>
    </xf>
    <xf borderId="0" fillId="8" fontId="15" numFmtId="21" xfId="0" applyAlignment="1" applyFont="1" applyNumberFormat="1">
      <alignment vertical="bottom"/>
    </xf>
    <xf borderId="0" fillId="7" fontId="15" numFmtId="21" xfId="0" applyAlignment="1" applyFont="1" applyNumberFormat="1">
      <alignment horizontal="right" vertical="bottom"/>
    </xf>
    <xf borderId="0" fillId="0" fontId="15" numFmtId="21" xfId="0" applyAlignment="1" applyFont="1" applyNumberFormat="1">
      <alignment vertical="bottom"/>
    </xf>
    <xf borderId="0" fillId="4" fontId="16" numFmtId="0" xfId="0" applyAlignment="1" applyFont="1">
      <alignment vertical="bottom"/>
    </xf>
    <xf borderId="0" fillId="10" fontId="14" numFmtId="0" xfId="0" applyAlignment="1" applyFill="1" applyFont="1">
      <alignment vertical="bottom"/>
    </xf>
    <xf borderId="0" fillId="6" fontId="15" numFmtId="21" xfId="0" applyAlignment="1" applyFont="1" applyNumberFormat="1">
      <alignment horizontal="right" vertical="bottom"/>
    </xf>
    <xf borderId="0" fillId="9" fontId="13" numFmtId="21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8" fontId="15" numFmtId="21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3" fontId="1" numFmtId="0" xfId="0" applyFont="1"/>
    <xf borderId="0" fillId="0" fontId="6" numFmtId="0" xfId="0" applyFont="1"/>
    <xf borderId="0" fillId="0" fontId="6" numFmtId="20" xfId="0" applyFont="1" applyNumberFormat="1"/>
    <xf borderId="0" fillId="0" fontId="6" numFmtId="0" xfId="0" applyFont="1"/>
    <xf borderId="0" fillId="0" fontId="3" numFmtId="0" xfId="0" applyFont="1"/>
    <xf borderId="0" fillId="0" fontId="3" numFmtId="20" xfId="0" applyFont="1" applyNumberFormat="1"/>
    <xf borderId="0" fillId="0" fontId="3" numFmtId="0" xfId="0" applyFont="1"/>
    <xf borderId="0" fillId="5" fontId="3" numFmtId="0" xfId="0" applyFont="1"/>
    <xf borderId="0" fillId="5" fontId="3" numFmtId="20" xfId="0" applyFont="1" applyNumberFormat="1"/>
    <xf borderId="0" fillId="5" fontId="3" numFmtId="0" xfId="0" applyFont="1"/>
    <xf borderId="0" fillId="5" fontId="6" numFmtId="0" xfId="0" applyFont="1"/>
    <xf borderId="0" fillId="5" fontId="6" numFmtId="20" xfId="0" applyFont="1" applyNumberFormat="1"/>
    <xf borderId="0" fillId="0" fontId="5" numFmtId="20" xfId="0" applyFont="1" applyNumberFormat="1"/>
    <xf borderId="0" fillId="0" fontId="2" numFmtId="20" xfId="0" applyFont="1" applyNumberFormat="1"/>
    <xf borderId="0" fillId="5" fontId="8" numFmtId="0" xfId="0" applyFont="1"/>
    <xf borderId="0" fillId="0" fontId="9" numFmtId="0" xfId="0" applyAlignment="1" applyFont="1">
      <alignment horizontal="right" vertical="bottom"/>
    </xf>
    <xf borderId="0" fillId="0" fontId="10" numFmtId="20" xfId="0" applyAlignment="1" applyFont="1" applyNumberFormat="1">
      <alignment vertical="bottom"/>
    </xf>
    <xf borderId="0" fillId="0" fontId="9" numFmtId="2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2" numFmtId="20" xfId="0" applyAlignment="1" applyFont="1" applyNumberFormat="1">
      <alignment readingOrder="0"/>
    </xf>
    <xf borderId="0" fillId="4" fontId="2" numFmtId="21" xfId="0" applyFont="1" applyNumberFormat="1"/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0" fillId="0" fontId="4" numFmtId="20" xfId="0" applyAlignment="1" applyFont="1" applyNumberFormat="1">
      <alignment readingOrder="0"/>
    </xf>
    <xf borderId="0" fillId="4" fontId="2" numFmtId="21" xfId="0" applyAlignment="1" applyFont="1" applyNumberFormat="1">
      <alignment readingOrder="0"/>
    </xf>
    <xf borderId="0" fillId="11" fontId="3" numFmtId="21" xfId="0" applyAlignment="1" applyFill="1" applyFont="1" applyNumberFormat="1">
      <alignment readingOrder="0"/>
    </xf>
    <xf borderId="0" fillId="3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" width="14.88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9002.0</v>
      </c>
      <c r="G2" s="5">
        <v>9402.0</v>
      </c>
      <c r="H2" s="5">
        <v>9502.0</v>
      </c>
      <c r="I2" s="5">
        <v>9004.0</v>
      </c>
      <c r="J2" s="5">
        <v>9902.0</v>
      </c>
      <c r="K2" s="5">
        <v>9504.0</v>
      </c>
      <c r="L2" s="5">
        <v>9006.0</v>
      </c>
      <c r="M2" s="5">
        <v>9404.0</v>
      </c>
      <c r="N2" s="5">
        <v>9904.0</v>
      </c>
      <c r="O2" s="5">
        <v>9506.0</v>
      </c>
      <c r="P2" s="5">
        <v>9406.0</v>
      </c>
      <c r="Q2" s="5">
        <v>9008.0</v>
      </c>
      <c r="R2" s="5">
        <v>9906.0</v>
      </c>
      <c r="S2" s="5">
        <v>9010.0</v>
      </c>
      <c r="T2" s="5">
        <v>9508.0</v>
      </c>
      <c r="U2" s="5">
        <v>9408.0</v>
      </c>
      <c r="V2" s="5">
        <v>9012.0</v>
      </c>
      <c r="W2" s="5">
        <v>9908.0</v>
      </c>
      <c r="X2" s="5">
        <v>9014.0</v>
      </c>
      <c r="Y2" s="5">
        <v>9510.0</v>
      </c>
      <c r="Z2" s="5">
        <v>9910.0</v>
      </c>
      <c r="AA2" s="5">
        <v>9014.0</v>
      </c>
      <c r="AB2" s="5">
        <v>9512.0</v>
      </c>
      <c r="AC2" s="5">
        <v>9410.0</v>
      </c>
      <c r="AD2" s="5">
        <v>9016.0</v>
      </c>
      <c r="AE2" s="5">
        <v>9912.0</v>
      </c>
      <c r="AF2" s="5">
        <v>9020.0</v>
      </c>
      <c r="AG2" s="5">
        <v>9514.0</v>
      </c>
      <c r="AH2" s="5">
        <v>9412.0</v>
      </c>
      <c r="AI2" s="5">
        <v>9022.0</v>
      </c>
      <c r="AJ2" s="5">
        <v>9914.0</v>
      </c>
      <c r="AK2" s="5">
        <v>9024.0</v>
      </c>
      <c r="AL2" s="5">
        <v>9516.0</v>
      </c>
      <c r="AM2" s="5">
        <v>9916.0</v>
      </c>
      <c r="AN2" s="5">
        <v>9414.0</v>
      </c>
      <c r="AO2" s="5">
        <v>9026.0</v>
      </c>
      <c r="AP2" s="5">
        <v>9518.0</v>
      </c>
      <c r="AQ2" s="5">
        <v>9918.0</v>
      </c>
      <c r="AR2" s="5">
        <v>9028.0</v>
      </c>
      <c r="AS2" s="5">
        <v>9416.0</v>
      </c>
      <c r="AT2" s="5">
        <v>9520.0</v>
      </c>
      <c r="AU2" s="5">
        <v>9920.0</v>
      </c>
      <c r="AV2" s="5">
        <v>9418.0</v>
      </c>
      <c r="AW2" s="5">
        <v>9522.0</v>
      </c>
    </row>
    <row r="3">
      <c r="A3" s="21" t="s">
        <v>27</v>
      </c>
      <c r="B3" s="22" t="s">
        <v>28</v>
      </c>
      <c r="C3" s="23"/>
      <c r="D3" s="23"/>
      <c r="E3" s="23"/>
      <c r="F3" s="23">
        <v>0.21875</v>
      </c>
      <c r="G3" s="23"/>
      <c r="H3" s="23"/>
      <c r="I3" s="23">
        <v>0.2604166666666667</v>
      </c>
      <c r="J3" s="23"/>
      <c r="K3" s="23"/>
      <c r="L3" s="23">
        <v>0.2951388888888889</v>
      </c>
      <c r="M3" s="23"/>
      <c r="N3" s="23"/>
      <c r="O3" s="23"/>
      <c r="P3" s="23"/>
      <c r="Q3" s="23">
        <v>0.3576388888888889</v>
      </c>
      <c r="R3" s="23"/>
      <c r="S3" s="23">
        <v>0.3784722222222222</v>
      </c>
      <c r="T3" s="23"/>
      <c r="U3" s="23"/>
      <c r="V3" s="23">
        <v>0.4340277777777778</v>
      </c>
      <c r="W3" s="23"/>
      <c r="X3" s="23">
        <v>0.4930555555555556</v>
      </c>
      <c r="Y3" s="23"/>
      <c r="Z3" s="23"/>
      <c r="AA3" s="23">
        <v>0.5347222222222222</v>
      </c>
      <c r="AB3" s="23"/>
      <c r="AC3" s="23"/>
      <c r="AD3" s="23">
        <v>0.5520833333333334</v>
      </c>
      <c r="AE3" s="23"/>
      <c r="AF3" s="23">
        <v>0.625</v>
      </c>
      <c r="AG3" s="23"/>
      <c r="AH3" s="23"/>
      <c r="AI3" s="23">
        <v>0.6527777777777778</v>
      </c>
      <c r="AJ3" s="23"/>
      <c r="AK3" s="23">
        <v>0.6805555555555556</v>
      </c>
      <c r="AL3" s="23"/>
      <c r="AM3" s="23"/>
      <c r="AN3" s="23"/>
      <c r="AO3" s="23">
        <v>0.7291666666666666</v>
      </c>
      <c r="AP3" s="23"/>
      <c r="AQ3" s="23"/>
      <c r="AR3" s="23">
        <v>0.75</v>
      </c>
      <c r="AS3" s="23"/>
      <c r="AT3" s="23"/>
      <c r="AU3" s="23"/>
      <c r="AV3" s="23"/>
      <c r="AW3" s="23"/>
    </row>
    <row r="4">
      <c r="A4" s="16" t="s">
        <v>29</v>
      </c>
      <c r="B4" s="24" t="s">
        <v>30</v>
      </c>
      <c r="C4" s="17"/>
      <c r="D4" s="17"/>
      <c r="E4" s="17"/>
      <c r="F4" s="17">
        <v>0.22291666666666668</v>
      </c>
      <c r="G4" s="17"/>
      <c r="H4" s="17"/>
      <c r="I4" s="17">
        <v>0.26458333333333334</v>
      </c>
      <c r="J4" s="17"/>
      <c r="K4" s="17"/>
      <c r="L4" s="17">
        <v>0.29930555555555555</v>
      </c>
      <c r="M4" s="17"/>
      <c r="N4" s="17"/>
      <c r="O4" s="17"/>
      <c r="P4" s="17"/>
      <c r="Q4" s="17">
        <v>0.36180555555555555</v>
      </c>
      <c r="R4" s="17"/>
      <c r="S4" s="17">
        <v>0.38263888888888886</v>
      </c>
      <c r="T4" s="17"/>
      <c r="U4" s="17"/>
      <c r="V4" s="17">
        <v>0.43819444444444444</v>
      </c>
      <c r="W4" s="17"/>
      <c r="X4" s="17">
        <v>0.49722222222222223</v>
      </c>
      <c r="Y4" s="17"/>
      <c r="Z4" s="17"/>
      <c r="AA4" s="17">
        <v>0.5388888888888889</v>
      </c>
      <c r="AB4" s="17"/>
      <c r="AC4" s="17"/>
      <c r="AD4" s="17">
        <v>0.55625</v>
      </c>
      <c r="AE4" s="17"/>
      <c r="AF4" s="17">
        <v>0.6291666666666667</v>
      </c>
      <c r="AG4" s="17"/>
      <c r="AH4" s="17"/>
      <c r="AI4" s="17">
        <v>0.6569444444444444</v>
      </c>
      <c r="AJ4" s="17"/>
      <c r="AK4" s="17">
        <v>0.6847222222222222</v>
      </c>
      <c r="AL4" s="17"/>
      <c r="AM4" s="17"/>
      <c r="AN4" s="17"/>
      <c r="AO4" s="17">
        <v>0.7333333333333333</v>
      </c>
      <c r="AP4" s="17"/>
      <c r="AQ4" s="17"/>
      <c r="AR4" s="17">
        <v>0.7541666666666667</v>
      </c>
      <c r="AS4" s="17"/>
      <c r="AT4" s="17"/>
      <c r="AU4" s="17"/>
      <c r="AV4" s="17"/>
      <c r="AW4" s="17"/>
    </row>
    <row r="5">
      <c r="A5" s="16" t="s">
        <v>31</v>
      </c>
      <c r="B5" s="24" t="s">
        <v>32</v>
      </c>
      <c r="C5" s="17"/>
      <c r="D5" s="17"/>
      <c r="E5" s="17"/>
      <c r="F5" s="17">
        <v>0.225</v>
      </c>
      <c r="G5" s="17"/>
      <c r="H5" s="17"/>
      <c r="I5" s="17">
        <v>0.26666666666666666</v>
      </c>
      <c r="J5" s="17"/>
      <c r="K5" s="17"/>
      <c r="L5" s="17">
        <v>0.3013888888888889</v>
      </c>
      <c r="M5" s="17"/>
      <c r="N5" s="17"/>
      <c r="O5" s="17"/>
      <c r="P5" s="17"/>
      <c r="Q5" s="17">
        <v>0.3638888888888889</v>
      </c>
      <c r="R5" s="17"/>
      <c r="S5" s="17">
        <v>0.38472222222222224</v>
      </c>
      <c r="T5" s="17"/>
      <c r="U5" s="17"/>
      <c r="V5" s="17">
        <v>0.44027777777777777</v>
      </c>
      <c r="W5" s="17"/>
      <c r="X5" s="17">
        <v>0.49930555555555556</v>
      </c>
      <c r="Y5" s="17"/>
      <c r="Z5" s="17"/>
      <c r="AA5" s="17">
        <v>0.5409722222222222</v>
      </c>
      <c r="AB5" s="17"/>
      <c r="AC5" s="17"/>
      <c r="AD5" s="17">
        <v>0.5583333333333333</v>
      </c>
      <c r="AE5" s="17"/>
      <c r="AF5" s="17">
        <v>0.63125</v>
      </c>
      <c r="AG5" s="17"/>
      <c r="AH5" s="17"/>
      <c r="AI5" s="17">
        <v>0.6590277777777778</v>
      </c>
      <c r="AJ5" s="17"/>
      <c r="AK5" s="17">
        <v>0.6868055555555556</v>
      </c>
      <c r="AL5" s="17"/>
      <c r="AM5" s="17"/>
      <c r="AN5" s="17"/>
      <c r="AO5" s="17">
        <v>0.7354166666666667</v>
      </c>
      <c r="AP5" s="17"/>
      <c r="AQ5" s="17"/>
      <c r="AR5" s="17">
        <v>0.75625</v>
      </c>
      <c r="AS5" s="17"/>
      <c r="AT5" s="17"/>
      <c r="AU5" s="17"/>
      <c r="AV5" s="17"/>
      <c r="AW5" s="17"/>
    </row>
    <row r="6">
      <c r="A6" s="16" t="s">
        <v>33</v>
      </c>
      <c r="B6" s="24" t="s">
        <v>34</v>
      </c>
      <c r="C6" s="17"/>
      <c r="D6" s="17"/>
      <c r="E6" s="17"/>
      <c r="F6" s="17">
        <v>0.22777777777777777</v>
      </c>
      <c r="G6" s="17"/>
      <c r="H6" s="17"/>
      <c r="I6" s="17">
        <v>0.26944444444444443</v>
      </c>
      <c r="J6" s="17"/>
      <c r="K6" s="17"/>
      <c r="L6" s="17">
        <v>0.30416666666666664</v>
      </c>
      <c r="M6" s="17"/>
      <c r="N6" s="17"/>
      <c r="O6" s="17"/>
      <c r="P6" s="17"/>
      <c r="Q6" s="17">
        <v>0.36666666666666664</v>
      </c>
      <c r="R6" s="17"/>
      <c r="S6" s="17">
        <v>0.3875</v>
      </c>
      <c r="T6" s="17"/>
      <c r="U6" s="17"/>
      <c r="V6" s="17">
        <v>0.44305555555555554</v>
      </c>
      <c r="W6" s="17"/>
      <c r="X6" s="17">
        <v>0.5020833333333333</v>
      </c>
      <c r="Y6" s="17"/>
      <c r="Z6" s="17"/>
      <c r="AA6" s="17">
        <v>0.54375</v>
      </c>
      <c r="AB6" s="17"/>
      <c r="AC6" s="17"/>
      <c r="AD6" s="17">
        <v>0.5611111111111111</v>
      </c>
      <c r="AE6" s="17"/>
      <c r="AF6" s="17">
        <v>0.6340277777777777</v>
      </c>
      <c r="AG6" s="17"/>
      <c r="AH6" s="17"/>
      <c r="AI6" s="17">
        <v>0.6618055555555555</v>
      </c>
      <c r="AJ6" s="17"/>
      <c r="AK6" s="17">
        <v>0.6895833333333333</v>
      </c>
      <c r="AL6" s="17"/>
      <c r="AM6" s="17"/>
      <c r="AN6" s="17"/>
      <c r="AO6" s="17">
        <v>0.7381944444444445</v>
      </c>
      <c r="AP6" s="17"/>
      <c r="AQ6" s="17"/>
      <c r="AR6" s="17">
        <v>0.7590277777777777</v>
      </c>
      <c r="AS6" s="17"/>
      <c r="AT6" s="17"/>
      <c r="AU6" s="17"/>
      <c r="AV6" s="17"/>
      <c r="AW6" s="17"/>
    </row>
    <row r="7">
      <c r="A7" s="24" t="s">
        <v>35</v>
      </c>
      <c r="B7" s="24" t="s">
        <v>36</v>
      </c>
      <c r="C7" s="22"/>
      <c r="D7" s="22"/>
      <c r="E7" s="22"/>
      <c r="F7" s="22">
        <v>0.23055555555555557</v>
      </c>
      <c r="G7" s="22"/>
      <c r="H7" s="22"/>
      <c r="I7" s="22">
        <v>0.2722222222222222</v>
      </c>
      <c r="J7" s="22"/>
      <c r="K7" s="22"/>
      <c r="L7" s="22">
        <v>0.30694444444444446</v>
      </c>
      <c r="M7" s="22"/>
      <c r="N7" s="22"/>
      <c r="O7" s="22"/>
      <c r="P7" s="22"/>
      <c r="Q7" s="22">
        <v>0.36944444444444446</v>
      </c>
      <c r="R7" s="22"/>
      <c r="S7" s="22">
        <v>0.3902777777777778</v>
      </c>
      <c r="T7" s="22"/>
      <c r="U7" s="22"/>
      <c r="V7" s="22">
        <v>0.44583333333333336</v>
      </c>
      <c r="W7" s="22"/>
      <c r="X7" s="22">
        <v>0.5048611111111111</v>
      </c>
      <c r="Y7" s="22"/>
      <c r="Z7" s="22"/>
      <c r="AA7" s="22">
        <v>0.5465277777777777</v>
      </c>
      <c r="AB7" s="22"/>
      <c r="AC7" s="22"/>
      <c r="AD7" s="22">
        <v>0.5638888888888889</v>
      </c>
      <c r="AE7" s="22"/>
      <c r="AF7" s="22">
        <v>0.6368055555555555</v>
      </c>
      <c r="AG7" s="22"/>
      <c r="AH7" s="22"/>
      <c r="AI7" s="22">
        <v>0.6645833333333333</v>
      </c>
      <c r="AJ7" s="22"/>
      <c r="AK7" s="22">
        <v>0.6923611111111111</v>
      </c>
      <c r="AL7" s="22"/>
      <c r="AM7" s="22"/>
      <c r="AN7" s="22"/>
      <c r="AO7" s="22">
        <v>0.7409722222222223</v>
      </c>
      <c r="AP7" s="22"/>
      <c r="AQ7" s="22"/>
      <c r="AR7" s="22">
        <v>0.7618055555555555</v>
      </c>
      <c r="AS7" s="22"/>
      <c r="AT7" s="22"/>
      <c r="AU7" s="22"/>
      <c r="AV7" s="22"/>
      <c r="AW7" s="22"/>
    </row>
    <row r="8">
      <c r="A8" s="25" t="s">
        <v>37</v>
      </c>
      <c r="B8" s="24" t="s">
        <v>38</v>
      </c>
      <c r="C8" s="22"/>
      <c r="D8" s="22"/>
      <c r="E8" s="22"/>
      <c r="F8" s="22">
        <v>0.2326388888888889</v>
      </c>
      <c r="G8" s="22"/>
      <c r="H8" s="22"/>
      <c r="I8" s="22">
        <v>0.2743055555555556</v>
      </c>
      <c r="J8" s="22"/>
      <c r="K8" s="22"/>
      <c r="L8" s="22">
        <v>0.3090277777777778</v>
      </c>
      <c r="M8" s="22"/>
      <c r="N8" s="22"/>
      <c r="O8" s="22"/>
      <c r="P8" s="22"/>
      <c r="Q8" s="22">
        <v>0.3715277777777778</v>
      </c>
      <c r="R8" s="22"/>
      <c r="S8" s="22">
        <v>0.3923611111111111</v>
      </c>
      <c r="T8" s="22"/>
      <c r="U8" s="22"/>
      <c r="V8" s="22">
        <v>0.4479166666666667</v>
      </c>
      <c r="W8" s="22"/>
      <c r="X8" s="22">
        <v>0.5069444444444444</v>
      </c>
      <c r="Y8" s="22"/>
      <c r="Z8" s="22"/>
      <c r="AA8" s="22">
        <v>0.5486111111111112</v>
      </c>
      <c r="AB8" s="22"/>
      <c r="AC8" s="22"/>
      <c r="AD8" s="22">
        <v>0.5659722222222222</v>
      </c>
      <c r="AE8" s="22"/>
      <c r="AF8" s="22">
        <v>0.6388888888888888</v>
      </c>
      <c r="AG8" s="22"/>
      <c r="AH8" s="22"/>
      <c r="AI8" s="22">
        <v>0.6666666666666666</v>
      </c>
      <c r="AJ8" s="22"/>
      <c r="AK8" s="22">
        <v>0.6944444444444444</v>
      </c>
      <c r="AL8" s="22"/>
      <c r="AM8" s="22"/>
      <c r="AN8" s="22"/>
      <c r="AO8" s="22">
        <v>0.7430555555555556</v>
      </c>
      <c r="AP8" s="22"/>
      <c r="AQ8" s="22"/>
      <c r="AR8" s="22">
        <v>0.7638888888888888</v>
      </c>
      <c r="AS8" s="22"/>
      <c r="AT8" s="22"/>
      <c r="AU8" s="22"/>
      <c r="AV8" s="22"/>
      <c r="AW8" s="22"/>
    </row>
    <row r="9">
      <c r="A9" s="26" t="s">
        <v>39</v>
      </c>
      <c r="B9" s="24" t="s">
        <v>40</v>
      </c>
      <c r="C9" s="27"/>
      <c r="D9" s="28"/>
      <c r="E9" s="27">
        <v>0.2048611111111111</v>
      </c>
      <c r="F9" s="27"/>
      <c r="G9" s="27"/>
      <c r="H9" s="27"/>
      <c r="I9" s="28"/>
      <c r="J9" s="27">
        <v>0.25833333333333336</v>
      </c>
      <c r="K9" s="27"/>
      <c r="L9" s="28"/>
      <c r="M9" s="27"/>
      <c r="N9" s="27">
        <v>0.3125</v>
      </c>
      <c r="O9" s="27"/>
      <c r="P9" s="27"/>
      <c r="Q9" s="28"/>
      <c r="R9" s="27">
        <v>0.3625</v>
      </c>
      <c r="S9" s="27"/>
      <c r="T9" s="27"/>
      <c r="U9" s="27"/>
      <c r="V9" s="28"/>
      <c r="W9" s="27">
        <v>0.43194444444444446</v>
      </c>
      <c r="X9" s="27"/>
      <c r="Y9" s="27"/>
      <c r="Z9" s="27">
        <v>0.4895833333333333</v>
      </c>
      <c r="AA9" s="27"/>
      <c r="AB9" s="27"/>
      <c r="AC9" s="27"/>
      <c r="AD9" s="28"/>
      <c r="AE9" s="27">
        <v>0.5486111111111112</v>
      </c>
      <c r="AF9" s="27"/>
      <c r="AG9" s="27"/>
      <c r="AH9" s="27"/>
      <c r="AI9" s="27"/>
      <c r="AJ9" s="27">
        <v>0.6263888888888889</v>
      </c>
      <c r="AK9" s="28"/>
      <c r="AL9" s="27"/>
      <c r="AM9" s="27">
        <v>0.6840277777777778</v>
      </c>
      <c r="AN9" s="27"/>
      <c r="AO9" s="28"/>
      <c r="AP9" s="28"/>
      <c r="AQ9" s="27">
        <v>0.7361111111111112</v>
      </c>
      <c r="AR9" s="27"/>
      <c r="AS9" s="27"/>
      <c r="AT9" s="27"/>
      <c r="AU9" s="27">
        <v>0.7986111111111112</v>
      </c>
      <c r="AV9" s="27"/>
      <c r="AW9" s="27"/>
    </row>
    <row r="10">
      <c r="A10" s="24" t="s">
        <v>41</v>
      </c>
      <c r="B10" s="24" t="s">
        <v>42</v>
      </c>
      <c r="C10" s="22"/>
      <c r="E10" s="22">
        <v>0.2076388888888889</v>
      </c>
      <c r="F10" s="22"/>
      <c r="G10" s="22"/>
      <c r="H10" s="22"/>
      <c r="J10" s="22">
        <v>0.2611111111111111</v>
      </c>
      <c r="K10" s="22"/>
      <c r="M10" s="22"/>
      <c r="N10" s="22">
        <v>0.31527777777777777</v>
      </c>
      <c r="O10" s="22"/>
      <c r="P10" s="22"/>
      <c r="R10" s="22">
        <v>0.36527777777777776</v>
      </c>
      <c r="S10" s="22"/>
      <c r="T10" s="22"/>
      <c r="U10" s="22"/>
      <c r="W10" s="22">
        <v>0.43472222222222223</v>
      </c>
      <c r="X10" s="22"/>
      <c r="Y10" s="22"/>
      <c r="Z10" s="22">
        <v>0.49236111111111114</v>
      </c>
      <c r="AA10" s="22"/>
      <c r="AB10" s="22"/>
      <c r="AC10" s="22"/>
      <c r="AE10" s="22">
        <v>0.5513888888888889</v>
      </c>
      <c r="AF10" s="22"/>
      <c r="AG10" s="22"/>
      <c r="AH10" s="22"/>
      <c r="AI10" s="22"/>
      <c r="AJ10" s="22">
        <v>0.6291666666666667</v>
      </c>
      <c r="AL10" s="22"/>
      <c r="AM10" s="22">
        <v>0.6868055555555556</v>
      </c>
      <c r="AN10" s="22"/>
      <c r="AQ10" s="22">
        <v>0.7388888888888889</v>
      </c>
      <c r="AR10" s="22"/>
      <c r="AS10" s="22"/>
      <c r="AT10" s="22"/>
      <c r="AU10" s="22">
        <v>0.8013888888888889</v>
      </c>
      <c r="AV10" s="22"/>
      <c r="AW10" s="22"/>
    </row>
    <row r="11">
      <c r="A11" s="24" t="s">
        <v>43</v>
      </c>
      <c r="B11" s="24" t="s">
        <v>44</v>
      </c>
      <c r="C11" s="22"/>
      <c r="E11" s="22">
        <v>0.20972222222222223</v>
      </c>
      <c r="F11" s="22"/>
      <c r="G11" s="22"/>
      <c r="H11" s="22"/>
      <c r="J11" s="22">
        <v>0.26319444444444445</v>
      </c>
      <c r="K11" s="22"/>
      <c r="M11" s="22"/>
      <c r="N11" s="22">
        <v>0.3173611111111111</v>
      </c>
      <c r="O11" s="22"/>
      <c r="P11" s="22"/>
      <c r="R11" s="22">
        <v>0.36736111111111114</v>
      </c>
      <c r="S11" s="22"/>
      <c r="T11" s="22"/>
      <c r="U11" s="22"/>
      <c r="W11" s="22">
        <v>0.43680555555555556</v>
      </c>
      <c r="X11" s="22"/>
      <c r="Y11" s="22"/>
      <c r="Z11" s="22">
        <v>0.49444444444444446</v>
      </c>
      <c r="AA11" s="22"/>
      <c r="AB11" s="22"/>
      <c r="AC11" s="22"/>
      <c r="AE11" s="22">
        <v>0.5534722222222223</v>
      </c>
      <c r="AF11" s="22"/>
      <c r="AG11" s="22"/>
      <c r="AH11" s="22"/>
      <c r="AI11" s="22"/>
      <c r="AJ11" s="22">
        <v>0.63125</v>
      </c>
      <c r="AL11" s="22"/>
      <c r="AM11" s="22">
        <v>0.6888888888888889</v>
      </c>
      <c r="AN11" s="22"/>
      <c r="AQ11" s="22">
        <v>0.7409722222222223</v>
      </c>
      <c r="AR11" s="22"/>
      <c r="AS11" s="22"/>
      <c r="AT11" s="22"/>
      <c r="AU11" s="22">
        <v>0.8034722222222223</v>
      </c>
      <c r="AV11" s="22"/>
      <c r="AW11" s="22"/>
    </row>
    <row r="12">
      <c r="A12" s="24" t="s">
        <v>45</v>
      </c>
      <c r="B12" s="24" t="s">
        <v>46</v>
      </c>
      <c r="C12" s="22"/>
      <c r="E12" s="22">
        <v>0.2125</v>
      </c>
      <c r="F12" s="22"/>
      <c r="G12" s="22"/>
      <c r="H12" s="22"/>
      <c r="J12" s="22">
        <v>0.2659722222222222</v>
      </c>
      <c r="K12" s="22"/>
      <c r="M12" s="22"/>
      <c r="N12" s="22">
        <v>0.32013888888888886</v>
      </c>
      <c r="O12" s="22"/>
      <c r="P12" s="22"/>
      <c r="R12" s="22">
        <v>0.3701388888888889</v>
      </c>
      <c r="S12" s="22"/>
      <c r="T12" s="22"/>
      <c r="U12" s="22"/>
      <c r="W12" s="22">
        <v>0.4395833333333333</v>
      </c>
      <c r="X12" s="22"/>
      <c r="Y12" s="22"/>
      <c r="Z12" s="22">
        <v>0.49722222222222223</v>
      </c>
      <c r="AA12" s="22"/>
      <c r="AB12" s="22"/>
      <c r="AC12" s="22"/>
      <c r="AE12" s="22">
        <v>0.55625</v>
      </c>
      <c r="AF12" s="22"/>
      <c r="AG12" s="22"/>
      <c r="AH12" s="22"/>
      <c r="AI12" s="22"/>
      <c r="AJ12" s="22">
        <v>0.6340277777777777</v>
      </c>
      <c r="AL12" s="22"/>
      <c r="AM12" s="22">
        <v>0.6916666666666667</v>
      </c>
      <c r="AN12" s="22"/>
      <c r="AQ12" s="22">
        <v>0.74375</v>
      </c>
      <c r="AR12" s="22"/>
      <c r="AS12" s="22"/>
      <c r="AT12" s="22"/>
      <c r="AU12" s="22">
        <v>0.80625</v>
      </c>
      <c r="AV12" s="22"/>
      <c r="AW12" s="22"/>
    </row>
    <row r="13">
      <c r="A13" s="26" t="s">
        <v>47</v>
      </c>
      <c r="B13" s="24" t="s">
        <v>48</v>
      </c>
      <c r="C13" s="27">
        <v>0.19444444444444445</v>
      </c>
      <c r="D13" s="28"/>
      <c r="E13" s="29">
        <v>0.2152777777777778</v>
      </c>
      <c r="F13" s="27"/>
      <c r="G13" s="27">
        <v>0.22569444444444445</v>
      </c>
      <c r="H13" s="27"/>
      <c r="I13" s="28"/>
      <c r="J13" s="29">
        <v>0.26875</v>
      </c>
      <c r="K13" s="27"/>
      <c r="L13" s="28"/>
      <c r="M13" s="27">
        <v>0.30069444444444443</v>
      </c>
      <c r="N13" s="29">
        <v>0.3229166666666667</v>
      </c>
      <c r="O13" s="28"/>
      <c r="P13" s="27">
        <v>0.3472222222222222</v>
      </c>
      <c r="Q13" s="28"/>
      <c r="R13" s="29">
        <v>0.3729166666666667</v>
      </c>
      <c r="S13" s="28"/>
      <c r="T13" s="27"/>
      <c r="U13" s="27">
        <v>0.3972222222222222</v>
      </c>
      <c r="V13" s="28"/>
      <c r="W13" s="29">
        <v>0.4423611111111111</v>
      </c>
      <c r="X13" s="28"/>
      <c r="Y13" s="28"/>
      <c r="Z13" s="29">
        <v>0.5</v>
      </c>
      <c r="AA13" s="27"/>
      <c r="AB13" s="28"/>
      <c r="AC13" s="27">
        <v>0.5451388888888888</v>
      </c>
      <c r="AD13" s="28"/>
      <c r="AE13" s="29">
        <v>0.5590277777777778</v>
      </c>
      <c r="AF13" s="28"/>
      <c r="AG13" s="28"/>
      <c r="AH13" s="27">
        <v>0.6388888888888888</v>
      </c>
      <c r="AI13" s="28"/>
      <c r="AJ13" s="29">
        <v>0.6368055555555555</v>
      </c>
      <c r="AK13" s="28"/>
      <c r="AL13" s="28"/>
      <c r="AM13" s="29">
        <v>0.6944444444444444</v>
      </c>
      <c r="AN13" s="27">
        <v>0.7083333333333334</v>
      </c>
      <c r="AO13" s="28"/>
      <c r="AP13" s="28"/>
      <c r="AQ13" s="29">
        <v>0.7465277777777778</v>
      </c>
      <c r="AR13" s="28"/>
      <c r="AS13" s="27">
        <v>0.7722222222222223</v>
      </c>
      <c r="AT13" s="28"/>
      <c r="AU13" s="29">
        <v>0.8090277777777778</v>
      </c>
      <c r="AV13" s="27">
        <v>0.8229166666666666</v>
      </c>
      <c r="AW13" s="27"/>
    </row>
    <row r="14">
      <c r="A14" s="24" t="s">
        <v>49</v>
      </c>
      <c r="B14" s="24" t="s">
        <v>50</v>
      </c>
      <c r="C14" s="22">
        <v>0.19722222222222222</v>
      </c>
      <c r="E14" s="22">
        <v>0.21805555555555556</v>
      </c>
      <c r="F14" s="22"/>
      <c r="G14" s="22">
        <v>0.22847222222222222</v>
      </c>
      <c r="H14" s="22"/>
      <c r="J14" s="22">
        <v>0.27152777777777776</v>
      </c>
      <c r="K14" s="22"/>
      <c r="M14" s="22">
        <v>0.3034722222222222</v>
      </c>
      <c r="N14" s="22">
        <v>0.32569444444444445</v>
      </c>
      <c r="P14" s="22">
        <v>0.35</v>
      </c>
      <c r="R14" s="22">
        <v>0.37569444444444444</v>
      </c>
      <c r="T14" s="22"/>
      <c r="U14" s="22">
        <v>0.4</v>
      </c>
      <c r="W14" s="22">
        <v>0.44513888888888886</v>
      </c>
      <c r="Z14" s="22">
        <v>0.5027777777777778</v>
      </c>
      <c r="AA14" s="22"/>
      <c r="AC14" s="22">
        <v>0.5479166666666667</v>
      </c>
      <c r="AE14" s="22">
        <v>0.5618055555555556</v>
      </c>
      <c r="AH14" s="22">
        <v>0.6416666666666667</v>
      </c>
      <c r="AJ14" s="22">
        <v>0.6395833333333333</v>
      </c>
      <c r="AM14" s="22">
        <v>0.6972222222222222</v>
      </c>
      <c r="AN14" s="22">
        <v>0.7111111111111111</v>
      </c>
      <c r="AQ14" s="22">
        <v>0.7493055555555556</v>
      </c>
      <c r="AS14" s="22">
        <v>0.775</v>
      </c>
      <c r="AU14" s="22">
        <v>0.8118055555555556</v>
      </c>
      <c r="AV14" s="22">
        <v>0.8256944444444444</v>
      </c>
      <c r="AW14" s="22"/>
    </row>
    <row r="15">
      <c r="A15" s="24" t="s">
        <v>51</v>
      </c>
      <c r="B15" s="24" t="s">
        <v>52</v>
      </c>
      <c r="C15" s="22">
        <v>0.19930555555555557</v>
      </c>
      <c r="E15" s="22">
        <v>0.22013888888888888</v>
      </c>
      <c r="F15" s="22"/>
      <c r="G15" s="22">
        <v>0.23055555555555557</v>
      </c>
      <c r="H15" s="22"/>
      <c r="J15" s="22">
        <v>0.27361111111111114</v>
      </c>
      <c r="K15" s="22"/>
      <c r="M15" s="22">
        <v>0.3055555555555556</v>
      </c>
      <c r="N15" s="22">
        <v>0.3277777777777778</v>
      </c>
      <c r="P15" s="22">
        <v>0.35208333333333336</v>
      </c>
      <c r="R15" s="22">
        <v>0.37777777777777777</v>
      </c>
      <c r="T15" s="22"/>
      <c r="U15" s="22">
        <v>0.40208333333333335</v>
      </c>
      <c r="W15" s="22">
        <v>0.44722222222222224</v>
      </c>
      <c r="Z15" s="22">
        <v>0.5048611111111111</v>
      </c>
      <c r="AA15" s="22"/>
      <c r="AC15" s="22">
        <v>0.55</v>
      </c>
      <c r="AE15" s="22">
        <v>0.5638888888888889</v>
      </c>
      <c r="AH15" s="22">
        <v>0.64375</v>
      </c>
      <c r="AJ15" s="22">
        <v>0.6416666666666667</v>
      </c>
      <c r="AM15" s="22">
        <v>0.6993055555555555</v>
      </c>
      <c r="AN15" s="22">
        <v>0.7131944444444445</v>
      </c>
      <c r="AQ15" s="22">
        <v>0.7513888888888889</v>
      </c>
      <c r="AS15" s="22">
        <v>0.7770833333333333</v>
      </c>
      <c r="AU15" s="22">
        <v>0.8138888888888889</v>
      </c>
      <c r="AV15" s="22">
        <v>0.8277777777777777</v>
      </c>
      <c r="AW15" s="22"/>
    </row>
    <row r="16">
      <c r="A16" s="26" t="s">
        <v>53</v>
      </c>
      <c r="B16" s="24" t="s">
        <v>54</v>
      </c>
      <c r="C16" s="27"/>
      <c r="D16" s="27">
        <v>0.2013888888888889</v>
      </c>
      <c r="E16" s="27"/>
      <c r="F16" s="27"/>
      <c r="G16" s="27"/>
      <c r="H16" s="27">
        <v>0.2569444444444444</v>
      </c>
      <c r="I16" s="27"/>
      <c r="J16" s="27"/>
      <c r="K16" s="27">
        <v>0.2881944444444444</v>
      </c>
      <c r="L16" s="27"/>
      <c r="M16" s="27"/>
      <c r="N16" s="27"/>
      <c r="O16" s="27">
        <v>0.3402777777777778</v>
      </c>
      <c r="P16" s="27"/>
      <c r="Q16" s="27"/>
      <c r="R16" s="27"/>
      <c r="S16" s="27"/>
      <c r="T16" s="27">
        <v>0.3888888888888889</v>
      </c>
      <c r="U16" s="27"/>
      <c r="V16" s="27"/>
      <c r="W16" s="27"/>
      <c r="X16" s="27"/>
      <c r="Y16" s="27">
        <v>0.4583333333333333</v>
      </c>
      <c r="Z16" s="27"/>
      <c r="AA16" s="27"/>
      <c r="AB16" s="27">
        <v>0.5486111111111112</v>
      </c>
      <c r="AC16" s="27"/>
      <c r="AD16" s="27"/>
      <c r="AE16" s="27"/>
      <c r="AF16" s="27"/>
      <c r="AG16" s="27">
        <v>0.6319444444444444</v>
      </c>
      <c r="AH16" s="27"/>
      <c r="AI16" s="27"/>
      <c r="AJ16" s="27"/>
      <c r="AK16" s="27"/>
      <c r="AL16" s="27">
        <v>0.6888888888888889</v>
      </c>
      <c r="AM16" s="27"/>
      <c r="AN16" s="27"/>
      <c r="AO16" s="27"/>
      <c r="AP16" s="27">
        <v>0.7402777777777778</v>
      </c>
      <c r="AQ16" s="27"/>
      <c r="AR16" s="27"/>
      <c r="AS16" s="27"/>
      <c r="AT16" s="27">
        <v>0.7861111111111111</v>
      </c>
      <c r="AU16" s="27"/>
      <c r="AV16" s="27"/>
      <c r="AW16" s="27">
        <v>0.8298611111111112</v>
      </c>
    </row>
    <row r="17">
      <c r="A17" s="24" t="s">
        <v>55</v>
      </c>
      <c r="B17" s="24" t="s">
        <v>56</v>
      </c>
      <c r="C17" s="22"/>
      <c r="D17" s="22">
        <v>0.20347222222222222</v>
      </c>
      <c r="E17" s="22"/>
      <c r="F17" s="22"/>
      <c r="G17" s="22"/>
      <c r="H17" s="22">
        <v>0.2590277777777778</v>
      </c>
      <c r="I17" s="22"/>
      <c r="J17" s="22"/>
      <c r="K17" s="22">
        <v>0.2902777777777778</v>
      </c>
      <c r="L17" s="22"/>
      <c r="M17" s="22"/>
      <c r="N17" s="22"/>
      <c r="O17" s="22">
        <v>0.3423611111111111</v>
      </c>
      <c r="P17" s="22"/>
      <c r="Q17" s="22"/>
      <c r="R17" s="22"/>
      <c r="S17" s="22"/>
      <c r="T17" s="22">
        <v>0.3909722222222222</v>
      </c>
      <c r="U17" s="22"/>
      <c r="V17" s="22"/>
      <c r="W17" s="22"/>
      <c r="X17" s="22"/>
      <c r="Y17" s="22">
        <v>0.46041666666666664</v>
      </c>
      <c r="Z17" s="22"/>
      <c r="AA17" s="22"/>
      <c r="AB17" s="22">
        <v>0.5506944444444445</v>
      </c>
      <c r="AC17" s="22"/>
      <c r="AD17" s="22"/>
      <c r="AE17" s="22"/>
      <c r="AF17" s="22"/>
      <c r="AG17" s="22">
        <v>0.6340277777777777</v>
      </c>
      <c r="AH17" s="22"/>
      <c r="AI17" s="22"/>
      <c r="AJ17" s="22"/>
      <c r="AK17" s="22"/>
      <c r="AL17" s="22">
        <v>0.6909722222222222</v>
      </c>
      <c r="AM17" s="22"/>
      <c r="AN17" s="22"/>
      <c r="AO17" s="22"/>
      <c r="AP17" s="22">
        <v>0.7423611111111111</v>
      </c>
      <c r="AQ17" s="22"/>
      <c r="AR17" s="22"/>
      <c r="AS17" s="22"/>
      <c r="AT17" s="22">
        <v>0.7881944444444444</v>
      </c>
      <c r="AU17" s="22"/>
      <c r="AV17" s="22"/>
      <c r="AW17" s="22">
        <v>0.8319444444444445</v>
      </c>
    </row>
    <row r="18">
      <c r="A18" s="24" t="s">
        <v>57</v>
      </c>
      <c r="B18" s="24" t="s">
        <v>58</v>
      </c>
      <c r="C18" s="22"/>
      <c r="D18" s="22">
        <v>0.2048611111111111</v>
      </c>
      <c r="E18" s="22"/>
      <c r="F18" s="22"/>
      <c r="G18" s="22"/>
      <c r="H18" s="22">
        <v>0.2604166666666667</v>
      </c>
      <c r="I18" s="22"/>
      <c r="J18" s="22"/>
      <c r="K18" s="22">
        <v>0.2916666666666667</v>
      </c>
      <c r="L18" s="22"/>
      <c r="M18" s="22"/>
      <c r="N18" s="22"/>
      <c r="O18" s="22">
        <v>0.34375</v>
      </c>
      <c r="P18" s="22"/>
      <c r="Q18" s="22"/>
      <c r="R18" s="22"/>
      <c r="S18" s="22"/>
      <c r="T18" s="22">
        <v>0.3923611111111111</v>
      </c>
      <c r="U18" s="22"/>
      <c r="V18" s="22"/>
      <c r="W18" s="22"/>
      <c r="X18" s="22"/>
      <c r="Y18" s="22">
        <v>0.4618055555555556</v>
      </c>
      <c r="Z18" s="22"/>
      <c r="AA18" s="22"/>
      <c r="AB18" s="22">
        <v>0.5520833333333334</v>
      </c>
      <c r="AC18" s="22"/>
      <c r="AD18" s="22"/>
      <c r="AE18" s="22"/>
      <c r="AF18" s="22"/>
      <c r="AG18" s="22">
        <v>0.6354166666666666</v>
      </c>
      <c r="AH18" s="22"/>
      <c r="AI18" s="22"/>
      <c r="AJ18" s="22"/>
      <c r="AK18" s="22"/>
      <c r="AL18" s="22">
        <v>0.6923611111111111</v>
      </c>
      <c r="AM18" s="22"/>
      <c r="AN18" s="22"/>
      <c r="AO18" s="22"/>
      <c r="AP18" s="22">
        <v>0.74375</v>
      </c>
      <c r="AQ18" s="22"/>
      <c r="AR18" s="22"/>
      <c r="AS18" s="22"/>
      <c r="AT18" s="22">
        <v>0.7895833333333333</v>
      </c>
      <c r="AU18" s="22"/>
      <c r="AV18" s="22"/>
      <c r="AW18" s="22">
        <v>0.8333333333333334</v>
      </c>
    </row>
    <row r="19">
      <c r="A19" s="24" t="s">
        <v>59</v>
      </c>
      <c r="B19" s="24" t="s">
        <v>60</v>
      </c>
      <c r="C19" s="22">
        <v>0.20277777777777778</v>
      </c>
      <c r="D19" s="22">
        <v>0.20833333333333334</v>
      </c>
      <c r="E19" s="22">
        <v>0.22361111111111112</v>
      </c>
      <c r="F19" s="22"/>
      <c r="G19" s="22">
        <v>0.23402777777777778</v>
      </c>
      <c r="H19" s="22">
        <v>0.2638888888888889</v>
      </c>
      <c r="I19" s="22"/>
      <c r="J19" s="22">
        <v>0.27708333333333335</v>
      </c>
      <c r="K19" s="22">
        <v>0.2951388888888889</v>
      </c>
      <c r="L19" s="22"/>
      <c r="M19" s="22">
        <v>0.3090277777777778</v>
      </c>
      <c r="N19" s="22">
        <v>0.33125</v>
      </c>
      <c r="O19" s="22">
        <v>0.3472222222222222</v>
      </c>
      <c r="P19" s="22">
        <v>0.35555555555555557</v>
      </c>
      <c r="Q19" s="22"/>
      <c r="R19" s="22">
        <v>0.38125</v>
      </c>
      <c r="S19" s="22"/>
      <c r="T19" s="22">
        <v>0.3958333333333333</v>
      </c>
      <c r="U19" s="22">
        <v>0.40555555555555556</v>
      </c>
      <c r="V19" s="22"/>
      <c r="W19" s="22">
        <v>0.45069444444444445</v>
      </c>
      <c r="X19" s="22"/>
      <c r="Y19" s="22">
        <v>0.4652777777777778</v>
      </c>
      <c r="Z19" s="22">
        <v>0.5083333333333333</v>
      </c>
      <c r="AA19" s="22"/>
      <c r="AB19" s="22">
        <v>0.5555555555555556</v>
      </c>
      <c r="AC19" s="22">
        <v>0.5534722222222223</v>
      </c>
      <c r="AD19" s="22"/>
      <c r="AE19" s="22">
        <v>0.5673611111111111</v>
      </c>
      <c r="AF19" s="22"/>
      <c r="AG19" s="22">
        <v>0.6388888888888888</v>
      </c>
      <c r="AH19" s="22">
        <v>0.6472222222222223</v>
      </c>
      <c r="AI19" s="22"/>
      <c r="AJ19" s="22">
        <v>0.6451388888888889</v>
      </c>
      <c r="AK19" s="22"/>
      <c r="AL19" s="22">
        <v>0.6958333333333333</v>
      </c>
      <c r="AM19" s="22">
        <v>0.7027777777777777</v>
      </c>
      <c r="AN19" s="22">
        <v>0.7166666666666667</v>
      </c>
      <c r="AO19" s="22"/>
      <c r="AP19" s="22">
        <v>0.7472222222222222</v>
      </c>
      <c r="AQ19" s="22">
        <v>0.7548611111111111</v>
      </c>
      <c r="AR19" s="22"/>
      <c r="AS19" s="22">
        <v>0.7805555555555556</v>
      </c>
      <c r="AT19" s="22">
        <v>0.7930555555555555</v>
      </c>
      <c r="AU19" s="22">
        <v>0.8173611111111111</v>
      </c>
      <c r="AV19" s="22">
        <v>0.83125</v>
      </c>
      <c r="AW19" s="22">
        <v>0.8368055555555556</v>
      </c>
    </row>
    <row r="20">
      <c r="A20" s="24" t="s">
        <v>61</v>
      </c>
      <c r="B20" s="24" t="s">
        <v>62</v>
      </c>
      <c r="C20" s="22">
        <v>0.20555555555555555</v>
      </c>
      <c r="D20" s="22">
        <v>0.2111111111111111</v>
      </c>
      <c r="E20" s="22">
        <v>0.2263888888888889</v>
      </c>
      <c r="F20" s="22"/>
      <c r="G20" s="22">
        <v>0.23680555555555555</v>
      </c>
      <c r="H20" s="22">
        <v>0.26666666666666666</v>
      </c>
      <c r="I20" s="22"/>
      <c r="J20" s="22">
        <v>0.2798611111111111</v>
      </c>
      <c r="K20" s="22">
        <v>0.29791666666666666</v>
      </c>
      <c r="L20" s="22"/>
      <c r="M20" s="22">
        <v>0.31180555555555556</v>
      </c>
      <c r="N20" s="22">
        <v>0.33402777777777776</v>
      </c>
      <c r="O20" s="22">
        <v>0.35</v>
      </c>
      <c r="P20" s="22">
        <v>0.35833333333333334</v>
      </c>
      <c r="Q20" s="22"/>
      <c r="R20" s="22">
        <v>0.3840277777777778</v>
      </c>
      <c r="S20" s="22"/>
      <c r="T20" s="22">
        <v>0.39861111111111114</v>
      </c>
      <c r="U20" s="22">
        <v>0.4083333333333333</v>
      </c>
      <c r="V20" s="22"/>
      <c r="W20" s="22">
        <v>0.4534722222222222</v>
      </c>
      <c r="X20" s="22"/>
      <c r="Y20" s="22">
        <v>0.46805555555555556</v>
      </c>
      <c r="Z20" s="22">
        <v>0.5111111111111111</v>
      </c>
      <c r="AA20" s="22"/>
      <c r="AB20" s="22">
        <v>0.5583333333333333</v>
      </c>
      <c r="AC20" s="22">
        <v>0.55625</v>
      </c>
      <c r="AD20" s="22"/>
      <c r="AE20" s="22">
        <v>0.5701388888888889</v>
      </c>
      <c r="AF20" s="22"/>
      <c r="AG20" s="22">
        <v>0.6416666666666667</v>
      </c>
      <c r="AH20" s="22">
        <v>0.65</v>
      </c>
      <c r="AI20" s="22"/>
      <c r="AJ20" s="22">
        <v>0.6479166666666667</v>
      </c>
      <c r="AK20" s="22"/>
      <c r="AL20" s="22">
        <v>0.6986111111111111</v>
      </c>
      <c r="AM20" s="22">
        <v>0.7055555555555556</v>
      </c>
      <c r="AN20" s="22">
        <v>0.7194444444444444</v>
      </c>
      <c r="AO20" s="22"/>
      <c r="AP20" s="22">
        <v>0.75</v>
      </c>
      <c r="AQ20" s="22">
        <v>0.7576388888888889</v>
      </c>
      <c r="AR20" s="22"/>
      <c r="AS20" s="22">
        <v>0.7833333333333333</v>
      </c>
      <c r="AT20" s="22">
        <v>0.7958333333333333</v>
      </c>
      <c r="AU20" s="22">
        <v>0.8201388888888889</v>
      </c>
      <c r="AV20" s="22">
        <v>0.8340277777777778</v>
      </c>
      <c r="AW20" s="22">
        <v>0.8395833333333333</v>
      </c>
    </row>
    <row r="21">
      <c r="A21" s="25" t="s">
        <v>63</v>
      </c>
      <c r="B21" s="24" t="s">
        <v>64</v>
      </c>
      <c r="C21" s="22">
        <v>0.20972222222222223</v>
      </c>
      <c r="D21" s="22">
        <v>0.2152777777777778</v>
      </c>
      <c r="E21" s="22">
        <v>0.23055555555555557</v>
      </c>
      <c r="F21" s="22">
        <v>0.23402777777777778</v>
      </c>
      <c r="G21" s="22">
        <v>0.24097222222222223</v>
      </c>
      <c r="H21" s="22">
        <v>0.2708333333333333</v>
      </c>
      <c r="I21" s="22">
        <v>0.27569444444444446</v>
      </c>
      <c r="J21" s="22">
        <v>0.28402777777777777</v>
      </c>
      <c r="K21" s="22">
        <v>0.3020833333333333</v>
      </c>
      <c r="L21" s="22">
        <v>0.3104166666666667</v>
      </c>
      <c r="M21" s="22">
        <v>0.3159722222222222</v>
      </c>
      <c r="N21" s="22">
        <v>0.33819444444444446</v>
      </c>
      <c r="O21" s="22">
        <v>0.3541666666666667</v>
      </c>
      <c r="P21" s="22">
        <v>0.3625</v>
      </c>
      <c r="Q21" s="22">
        <v>0.3729166666666667</v>
      </c>
      <c r="R21" s="22">
        <v>0.38819444444444445</v>
      </c>
      <c r="S21" s="22">
        <v>0.39375</v>
      </c>
      <c r="T21" s="22">
        <v>0.4027777777777778</v>
      </c>
      <c r="U21" s="22">
        <v>0.4125</v>
      </c>
      <c r="V21" s="22">
        <v>0.44930555555555557</v>
      </c>
      <c r="W21" s="22">
        <v>0.4576388888888889</v>
      </c>
      <c r="X21" s="22">
        <v>0.5083333333333333</v>
      </c>
      <c r="Y21" s="22">
        <v>0.4722222222222222</v>
      </c>
      <c r="Z21" s="22">
        <v>0.5152777777777777</v>
      </c>
      <c r="AA21" s="22">
        <v>0.55</v>
      </c>
      <c r="AB21" s="22">
        <v>0.5625</v>
      </c>
      <c r="AC21" s="22">
        <v>0.5604166666666667</v>
      </c>
      <c r="AD21" s="22">
        <v>0.5673611111111111</v>
      </c>
      <c r="AE21" s="22">
        <v>0.5743055555555555</v>
      </c>
      <c r="AF21" s="22">
        <v>0.6402777777777777</v>
      </c>
      <c r="AG21" s="22">
        <v>0.6458333333333334</v>
      </c>
      <c r="AH21" s="22">
        <v>0.6541666666666667</v>
      </c>
      <c r="AI21" s="22">
        <v>0.6680555555555555</v>
      </c>
      <c r="AJ21" s="22">
        <v>0.6520833333333333</v>
      </c>
      <c r="AK21" s="22">
        <v>0.6958333333333333</v>
      </c>
      <c r="AL21" s="22">
        <v>0.7027777777777777</v>
      </c>
      <c r="AM21" s="22">
        <v>0.7097222222222223</v>
      </c>
      <c r="AN21" s="22">
        <v>0.7236111111111111</v>
      </c>
      <c r="AO21" s="22">
        <v>0.7444444444444445</v>
      </c>
      <c r="AP21" s="22">
        <v>0.7541666666666667</v>
      </c>
      <c r="AQ21" s="22">
        <v>0.7618055555555555</v>
      </c>
      <c r="AR21" s="22">
        <v>0.7652777777777777</v>
      </c>
      <c r="AS21" s="22">
        <v>0.7875</v>
      </c>
      <c r="AT21" s="22">
        <v>0.8</v>
      </c>
      <c r="AU21" s="22">
        <v>0.8243055555555555</v>
      </c>
      <c r="AV21" s="22">
        <v>0.8381944444444445</v>
      </c>
      <c r="AW21" s="22">
        <v>0.84375</v>
      </c>
    </row>
    <row r="22">
      <c r="A22" s="24" t="s">
        <v>65</v>
      </c>
      <c r="B22" s="24" t="s">
        <v>66</v>
      </c>
      <c r="C22" s="22">
        <v>0.21180555555555555</v>
      </c>
      <c r="D22" s="22">
        <v>0.21736111111111112</v>
      </c>
      <c r="E22" s="22">
        <v>0.2326388888888889</v>
      </c>
      <c r="F22" s="22">
        <v>0.2361111111111111</v>
      </c>
      <c r="G22" s="22">
        <v>0.24305555555555555</v>
      </c>
      <c r="H22" s="22">
        <v>0.27291666666666664</v>
      </c>
      <c r="I22" s="22">
        <v>0.2777777777777778</v>
      </c>
      <c r="J22" s="22">
        <v>0.2861111111111111</v>
      </c>
      <c r="K22" s="22">
        <v>0.30416666666666664</v>
      </c>
      <c r="L22" s="22">
        <v>0.3125</v>
      </c>
      <c r="M22" s="22">
        <v>0.31805555555555554</v>
      </c>
      <c r="N22" s="22">
        <v>0.3402777777777778</v>
      </c>
      <c r="O22" s="22">
        <v>0.35625</v>
      </c>
      <c r="P22" s="22">
        <v>0.3645833333333333</v>
      </c>
      <c r="Q22" s="22">
        <v>0.375</v>
      </c>
      <c r="R22" s="22">
        <v>0.3902777777777778</v>
      </c>
      <c r="S22" s="22">
        <v>0.3958333333333333</v>
      </c>
      <c r="T22" s="22">
        <v>0.4048611111111111</v>
      </c>
      <c r="U22" s="22">
        <v>0.41458333333333336</v>
      </c>
      <c r="V22" s="22">
        <v>0.4513888888888889</v>
      </c>
      <c r="W22" s="22">
        <v>0.4597222222222222</v>
      </c>
      <c r="X22" s="22">
        <v>0.5104166666666666</v>
      </c>
      <c r="Y22" s="22">
        <v>0.47430555555555554</v>
      </c>
      <c r="Z22" s="22">
        <v>0.5173611111111112</v>
      </c>
      <c r="AA22" s="22">
        <v>0.5520833333333334</v>
      </c>
      <c r="AB22" s="22">
        <v>0.5645833333333333</v>
      </c>
      <c r="AC22" s="22">
        <v>0.5625</v>
      </c>
      <c r="AD22" s="22">
        <v>0.5694444444444444</v>
      </c>
      <c r="AE22" s="22">
        <v>0.5763888888888888</v>
      </c>
      <c r="AF22" s="22">
        <v>0.6423611111111112</v>
      </c>
      <c r="AG22" s="22">
        <v>0.6479166666666667</v>
      </c>
      <c r="AH22" s="22">
        <v>0.65625</v>
      </c>
      <c r="AI22" s="22">
        <v>0.6701388888888888</v>
      </c>
      <c r="AJ22" s="22">
        <v>0.6541666666666667</v>
      </c>
      <c r="AK22" s="22">
        <v>0.6979166666666666</v>
      </c>
      <c r="AL22" s="22">
        <v>0.7048611111111112</v>
      </c>
      <c r="AM22" s="22">
        <v>0.7118055555555556</v>
      </c>
      <c r="AN22" s="22">
        <v>0.7256944444444444</v>
      </c>
      <c r="AO22" s="22">
        <v>0.7465277777777778</v>
      </c>
      <c r="AP22" s="22">
        <v>0.75625</v>
      </c>
      <c r="AQ22" s="22">
        <v>0.7638888888888888</v>
      </c>
      <c r="AR22" s="22">
        <v>0.7673611111111112</v>
      </c>
      <c r="AS22" s="22">
        <v>0.7895833333333333</v>
      </c>
      <c r="AT22" s="22">
        <v>0.8020833333333334</v>
      </c>
      <c r="AU22" s="22">
        <v>0.8263888888888888</v>
      </c>
      <c r="AV22" s="22">
        <v>0.8402777777777778</v>
      </c>
      <c r="AW22" s="22">
        <v>0.8458333333333333</v>
      </c>
    </row>
    <row r="23">
      <c r="A23" s="26" t="s">
        <v>67</v>
      </c>
      <c r="B23" s="24" t="s">
        <v>68</v>
      </c>
      <c r="C23" s="29">
        <v>0.2152777777777778</v>
      </c>
      <c r="D23" s="27"/>
      <c r="E23" s="29">
        <v>0.2361111111111111</v>
      </c>
      <c r="F23" s="27">
        <v>0.23958333333333334</v>
      </c>
      <c r="G23" s="29">
        <v>0.2465277777777778</v>
      </c>
      <c r="H23" s="27"/>
      <c r="I23" s="27">
        <v>0.28125</v>
      </c>
      <c r="J23" s="29">
        <v>0.28958333333333336</v>
      </c>
      <c r="K23" s="27"/>
      <c r="L23" s="27">
        <v>0.3159722222222222</v>
      </c>
      <c r="M23" s="29">
        <v>0.3215277777777778</v>
      </c>
      <c r="N23" s="29">
        <v>0.34375</v>
      </c>
      <c r="O23" s="29">
        <v>0.3597222222222222</v>
      </c>
      <c r="P23" s="29">
        <v>0.3680555555555556</v>
      </c>
      <c r="Q23" s="29">
        <v>0.3784722222222222</v>
      </c>
      <c r="R23" s="29">
        <v>0.39375</v>
      </c>
      <c r="S23" s="29">
        <v>0.3993055555555556</v>
      </c>
      <c r="T23" s="27"/>
      <c r="U23" s="29">
        <v>0.41805555555555557</v>
      </c>
      <c r="V23" s="27">
        <v>0.4548611111111111</v>
      </c>
      <c r="W23" s="29">
        <v>0.46319444444444446</v>
      </c>
      <c r="X23" s="27">
        <v>0.5138888888888888</v>
      </c>
      <c r="Y23" s="27"/>
      <c r="Z23" s="29">
        <v>0.5208333333333334</v>
      </c>
      <c r="AA23" s="27">
        <v>0.5555555555555556</v>
      </c>
      <c r="AB23" s="27"/>
      <c r="AC23" s="29">
        <v>0.5659722222222222</v>
      </c>
      <c r="AD23" s="27">
        <v>0.5729166666666666</v>
      </c>
      <c r="AE23" s="29">
        <v>0.5798611111111112</v>
      </c>
      <c r="AF23" s="27">
        <v>0.6458333333333334</v>
      </c>
      <c r="AG23" s="27"/>
      <c r="AH23" s="29">
        <v>0.6597222222222222</v>
      </c>
      <c r="AI23" s="27">
        <v>0.6736111111111112</v>
      </c>
      <c r="AJ23" s="29">
        <v>0.6576388888888889</v>
      </c>
      <c r="AK23" s="27">
        <v>0.7013888888888888</v>
      </c>
      <c r="AL23" s="27"/>
      <c r="AM23" s="29">
        <v>0.7152777777777778</v>
      </c>
      <c r="AN23" s="29">
        <v>0.7291666666666666</v>
      </c>
      <c r="AO23" s="27">
        <v>0.75</v>
      </c>
      <c r="AP23" s="27"/>
      <c r="AQ23" s="29">
        <v>0.7673611111111112</v>
      </c>
      <c r="AR23" s="27">
        <v>0.7708333333333334</v>
      </c>
      <c r="AS23" s="29">
        <v>0.7930555555555555</v>
      </c>
      <c r="AT23" s="27"/>
      <c r="AU23" s="29">
        <v>0.8298611111111112</v>
      </c>
      <c r="AV23" s="29">
        <v>0.84375</v>
      </c>
      <c r="AW23" s="27"/>
    </row>
    <row r="24">
      <c r="A24" s="24" t="s">
        <v>69</v>
      </c>
      <c r="B24" s="24" t="s">
        <v>70</v>
      </c>
      <c r="C24" s="22">
        <v>0.22152777777777777</v>
      </c>
      <c r="D24" s="22"/>
      <c r="E24" s="22">
        <v>0.2423611111111111</v>
      </c>
      <c r="F24" s="22"/>
      <c r="G24" s="22">
        <v>0.25277777777777777</v>
      </c>
      <c r="H24" s="22"/>
      <c r="I24" s="22"/>
      <c r="J24" s="22">
        <v>0.29583333333333334</v>
      </c>
      <c r="K24" s="22"/>
      <c r="L24" s="22"/>
      <c r="M24" s="22">
        <v>0.3277777777777778</v>
      </c>
      <c r="N24" s="22">
        <v>0.35</v>
      </c>
      <c r="O24" s="22">
        <v>0.3659722222222222</v>
      </c>
      <c r="P24" s="22">
        <v>0.37430555555555556</v>
      </c>
      <c r="Q24" s="22"/>
      <c r="R24" s="22">
        <v>0.4</v>
      </c>
      <c r="S24" s="22"/>
      <c r="T24" s="22"/>
      <c r="U24" s="22">
        <v>0.42430555555555555</v>
      </c>
      <c r="V24" s="22"/>
      <c r="W24" s="22">
        <v>0.46944444444444444</v>
      </c>
      <c r="X24" s="22"/>
      <c r="Y24" s="22"/>
      <c r="Z24" s="22">
        <v>0.5270833333333333</v>
      </c>
      <c r="AA24" s="22"/>
      <c r="AB24" s="22"/>
      <c r="AC24" s="22">
        <v>0.5722222222222222</v>
      </c>
      <c r="AD24" s="22"/>
      <c r="AE24" s="22">
        <v>0.5861111111111111</v>
      </c>
      <c r="AF24" s="22"/>
      <c r="AG24" s="22"/>
      <c r="AH24" s="22">
        <v>0.6659722222222222</v>
      </c>
      <c r="AI24" s="22"/>
      <c r="AJ24" s="22">
        <v>0.6638888888888889</v>
      </c>
      <c r="AK24" s="22"/>
      <c r="AL24" s="22"/>
      <c r="AM24" s="22">
        <v>0.7215277777777778</v>
      </c>
      <c r="AN24" s="22">
        <v>0.7354166666666667</v>
      </c>
      <c r="AO24" s="22"/>
      <c r="AP24" s="22"/>
      <c r="AQ24" s="22">
        <v>0.7736111111111111</v>
      </c>
      <c r="AR24" s="22"/>
      <c r="AS24" s="22">
        <v>0.7993055555555556</v>
      </c>
      <c r="AT24" s="22"/>
      <c r="AU24" s="22">
        <v>0.8361111111111111</v>
      </c>
      <c r="AV24" s="22">
        <v>0.85</v>
      </c>
      <c r="AW24" s="22"/>
    </row>
    <row r="25">
      <c r="A25" s="24" t="s">
        <v>71</v>
      </c>
      <c r="B25" s="24" t="s">
        <v>72</v>
      </c>
      <c r="C25" s="22">
        <v>0.2298611111111111</v>
      </c>
      <c r="D25" s="22"/>
      <c r="E25" s="22">
        <v>0.25069444444444444</v>
      </c>
      <c r="F25" s="22"/>
      <c r="G25" s="22">
        <v>0.2611111111111111</v>
      </c>
      <c r="H25" s="22"/>
      <c r="I25" s="22"/>
      <c r="J25" s="22">
        <v>0.30416666666666664</v>
      </c>
      <c r="K25" s="22"/>
      <c r="L25" s="22"/>
      <c r="M25" s="22">
        <v>0.33611111111111114</v>
      </c>
      <c r="N25" s="22">
        <v>0.35833333333333334</v>
      </c>
      <c r="O25" s="22">
        <v>0.37430555555555556</v>
      </c>
      <c r="P25" s="22">
        <v>0.38263888888888886</v>
      </c>
      <c r="Q25" s="22"/>
      <c r="R25" s="22">
        <v>0.4083333333333333</v>
      </c>
      <c r="S25" s="22"/>
      <c r="T25" s="22"/>
      <c r="U25" s="22">
        <v>0.4326388888888889</v>
      </c>
      <c r="V25" s="22"/>
      <c r="W25" s="22">
        <v>0.4777777777777778</v>
      </c>
      <c r="X25" s="22"/>
      <c r="Y25" s="22"/>
      <c r="Z25" s="22">
        <v>0.5354166666666667</v>
      </c>
      <c r="AA25" s="22"/>
      <c r="AB25" s="22"/>
      <c r="AC25" s="22">
        <v>0.5805555555555556</v>
      </c>
      <c r="AD25" s="22"/>
      <c r="AE25" s="22">
        <v>0.5944444444444444</v>
      </c>
      <c r="AF25" s="22"/>
      <c r="AG25" s="22"/>
      <c r="AH25" s="22">
        <v>0.6743055555555556</v>
      </c>
      <c r="AI25" s="22"/>
      <c r="AJ25" s="22">
        <v>0.6722222222222223</v>
      </c>
      <c r="AK25" s="22"/>
      <c r="AL25" s="22"/>
      <c r="AM25" s="22">
        <v>0.7298611111111111</v>
      </c>
      <c r="AN25" s="22">
        <v>0.74375</v>
      </c>
      <c r="AO25" s="22"/>
      <c r="AP25" s="22"/>
      <c r="AQ25" s="22">
        <v>0.7819444444444444</v>
      </c>
      <c r="AR25" s="22"/>
      <c r="AS25" s="22">
        <v>0.8076388888888889</v>
      </c>
      <c r="AT25" s="22"/>
      <c r="AU25" s="22">
        <v>0.8444444444444444</v>
      </c>
      <c r="AV25" s="22">
        <v>0.8583333333333333</v>
      </c>
      <c r="AW25" s="22"/>
    </row>
    <row r="26">
      <c r="A26" s="24" t="s">
        <v>73</v>
      </c>
      <c r="B26" s="24" t="s">
        <v>74</v>
      </c>
      <c r="C26" s="22"/>
      <c r="D26" s="22">
        <v>0.21944444444444444</v>
      </c>
      <c r="E26" s="22"/>
      <c r="F26" s="22"/>
      <c r="G26" s="22"/>
      <c r="H26" s="22">
        <v>0.275</v>
      </c>
      <c r="I26" s="22"/>
      <c r="J26" s="22"/>
      <c r="K26" s="22">
        <v>0.30625</v>
      </c>
      <c r="L26" s="22"/>
      <c r="M26" s="22"/>
      <c r="N26" s="22"/>
      <c r="O26" s="22"/>
      <c r="P26" s="22"/>
      <c r="Q26" s="22"/>
      <c r="R26" s="22"/>
      <c r="S26" s="22"/>
      <c r="T26" s="22">
        <v>0.40694444444444444</v>
      </c>
      <c r="U26" s="22"/>
      <c r="V26" s="22"/>
      <c r="W26" s="22"/>
      <c r="X26" s="22"/>
      <c r="Y26" s="22">
        <v>0.47638888888888886</v>
      </c>
      <c r="Z26" s="22"/>
      <c r="AA26" s="22"/>
      <c r="AB26" s="22">
        <v>0.5666666666666667</v>
      </c>
      <c r="AC26" s="22"/>
      <c r="AD26" s="22"/>
      <c r="AE26" s="22"/>
      <c r="AF26" s="22"/>
      <c r="AG26" s="22">
        <v>0.65</v>
      </c>
      <c r="AH26" s="22"/>
      <c r="AI26" s="22"/>
      <c r="AJ26" s="22"/>
      <c r="AK26" s="22"/>
      <c r="AL26" s="22">
        <v>0.7069444444444445</v>
      </c>
      <c r="AM26" s="22"/>
      <c r="AN26" s="22"/>
      <c r="AO26" s="22"/>
      <c r="AP26" s="22">
        <v>0.7583333333333333</v>
      </c>
      <c r="AQ26" s="22"/>
      <c r="AR26" s="22"/>
      <c r="AS26" s="22"/>
      <c r="AT26" s="22">
        <v>0.8041666666666667</v>
      </c>
      <c r="AU26" s="22"/>
      <c r="AV26" s="22"/>
      <c r="AW26" s="22">
        <v>0.8479166666666667</v>
      </c>
    </row>
    <row r="27">
      <c r="A27" s="24" t="s">
        <v>75</v>
      </c>
      <c r="B27" s="24" t="s">
        <v>76</v>
      </c>
      <c r="C27" s="22"/>
      <c r="D27" s="22">
        <v>0.22083333333333333</v>
      </c>
      <c r="E27" s="22"/>
      <c r="F27" s="22"/>
      <c r="G27" s="22"/>
      <c r="H27" s="22">
        <v>0.2763888888888889</v>
      </c>
      <c r="I27" s="22"/>
      <c r="J27" s="22"/>
      <c r="K27" s="22">
        <v>0.3076388888888889</v>
      </c>
      <c r="L27" s="22"/>
      <c r="M27" s="22"/>
      <c r="N27" s="22"/>
      <c r="O27" s="22"/>
      <c r="P27" s="22"/>
      <c r="Q27" s="22"/>
      <c r="R27" s="22"/>
      <c r="S27" s="22"/>
      <c r="T27" s="22">
        <v>0.4083333333333333</v>
      </c>
      <c r="U27" s="22"/>
      <c r="V27" s="22"/>
      <c r="W27" s="22"/>
      <c r="X27" s="22"/>
      <c r="Y27" s="22">
        <v>0.4777777777777778</v>
      </c>
      <c r="Z27" s="22"/>
      <c r="AA27" s="22"/>
      <c r="AB27" s="22">
        <v>0.5680555555555555</v>
      </c>
      <c r="AC27" s="22"/>
      <c r="AD27" s="22"/>
      <c r="AE27" s="22"/>
      <c r="AF27" s="22"/>
      <c r="AG27" s="22">
        <v>0.6513888888888889</v>
      </c>
      <c r="AH27" s="22"/>
      <c r="AI27" s="22"/>
      <c r="AJ27" s="22"/>
      <c r="AK27" s="22"/>
      <c r="AL27" s="22">
        <v>0.7083333333333334</v>
      </c>
      <c r="AM27" s="22"/>
      <c r="AN27" s="22"/>
      <c r="AO27" s="22"/>
      <c r="AP27" s="22">
        <v>0.7597222222222222</v>
      </c>
      <c r="AQ27" s="22"/>
      <c r="AR27" s="22"/>
      <c r="AS27" s="22"/>
      <c r="AT27" s="22">
        <v>0.8055555555555556</v>
      </c>
      <c r="AU27" s="22"/>
      <c r="AV27" s="22"/>
      <c r="AW27" s="22">
        <v>0.8493055555555555</v>
      </c>
    </row>
    <row r="28">
      <c r="A28" s="24" t="s">
        <v>77</v>
      </c>
      <c r="B28" s="24" t="s">
        <v>78</v>
      </c>
      <c r="C28" s="22"/>
      <c r="D28" s="22">
        <v>0.22291666666666668</v>
      </c>
      <c r="E28" s="22"/>
      <c r="F28" s="22"/>
      <c r="G28" s="22"/>
      <c r="H28" s="22">
        <v>0.27847222222222223</v>
      </c>
      <c r="I28" s="22"/>
      <c r="J28" s="22"/>
      <c r="K28" s="22">
        <v>0.30972222222222223</v>
      </c>
      <c r="L28" s="22"/>
      <c r="M28" s="22"/>
      <c r="N28" s="22"/>
      <c r="O28" s="22"/>
      <c r="P28" s="22"/>
      <c r="Q28" s="22"/>
      <c r="R28" s="22"/>
      <c r="S28" s="22"/>
      <c r="T28" s="22">
        <v>0.41041666666666665</v>
      </c>
      <c r="U28" s="22"/>
      <c r="V28" s="22"/>
      <c r="W28" s="22"/>
      <c r="X28" s="22"/>
      <c r="Y28" s="22">
        <v>0.4798611111111111</v>
      </c>
      <c r="Z28" s="22"/>
      <c r="AA28" s="22"/>
      <c r="AB28" s="22">
        <v>0.5701388888888889</v>
      </c>
      <c r="AC28" s="22"/>
      <c r="AD28" s="22"/>
      <c r="AE28" s="22"/>
      <c r="AF28" s="22"/>
      <c r="AG28" s="22">
        <v>0.6534722222222222</v>
      </c>
      <c r="AH28" s="22"/>
      <c r="AI28" s="22"/>
      <c r="AJ28" s="22"/>
      <c r="AK28" s="22"/>
      <c r="AL28" s="22">
        <v>0.7104166666666667</v>
      </c>
      <c r="AM28" s="22"/>
      <c r="AN28" s="22"/>
      <c r="AO28" s="22"/>
      <c r="AP28" s="22">
        <v>0.7618055555555555</v>
      </c>
      <c r="AQ28" s="22"/>
      <c r="AR28" s="22"/>
      <c r="AS28" s="22"/>
      <c r="AT28" s="22">
        <v>0.8076388888888889</v>
      </c>
      <c r="AU28" s="22"/>
      <c r="AV28" s="22"/>
      <c r="AW28" s="22">
        <v>0.8513888888888889</v>
      </c>
    </row>
    <row r="29">
      <c r="A29" s="24" t="s">
        <v>79</v>
      </c>
      <c r="B29" s="24" t="s">
        <v>80</v>
      </c>
      <c r="C29" s="22"/>
      <c r="D29" s="22">
        <v>0.225</v>
      </c>
      <c r="E29" s="22"/>
      <c r="F29" s="22"/>
      <c r="G29" s="22"/>
      <c r="H29" s="22">
        <v>0.28055555555555556</v>
      </c>
      <c r="I29" s="22"/>
      <c r="J29" s="22"/>
      <c r="K29" s="22">
        <v>0.31180555555555556</v>
      </c>
      <c r="L29" s="22"/>
      <c r="M29" s="22"/>
      <c r="N29" s="22"/>
      <c r="O29" s="22"/>
      <c r="P29" s="22"/>
      <c r="Q29" s="22"/>
      <c r="R29" s="22"/>
      <c r="S29" s="22"/>
      <c r="T29" s="22">
        <v>0.4125</v>
      </c>
      <c r="U29" s="22"/>
      <c r="V29" s="22"/>
      <c r="W29" s="22"/>
      <c r="X29" s="22"/>
      <c r="Y29" s="22">
        <v>0.48194444444444445</v>
      </c>
      <c r="Z29" s="22"/>
      <c r="AA29" s="22"/>
      <c r="AB29" s="22">
        <v>0.5722222222222222</v>
      </c>
      <c r="AC29" s="22"/>
      <c r="AD29" s="22"/>
      <c r="AE29" s="22"/>
      <c r="AF29" s="22"/>
      <c r="AG29" s="22">
        <v>0.6555555555555556</v>
      </c>
      <c r="AH29" s="22"/>
      <c r="AI29" s="22"/>
      <c r="AJ29" s="22"/>
      <c r="AK29" s="22"/>
      <c r="AL29" s="22">
        <v>0.7125</v>
      </c>
      <c r="AM29" s="22"/>
      <c r="AN29" s="22"/>
      <c r="AO29" s="22"/>
      <c r="AP29" s="22">
        <v>0.7638888888888888</v>
      </c>
      <c r="AQ29" s="22"/>
      <c r="AR29" s="22"/>
      <c r="AS29" s="22"/>
      <c r="AT29" s="22">
        <v>0.8097222222222222</v>
      </c>
      <c r="AU29" s="22"/>
      <c r="AV29" s="22"/>
      <c r="AW29" s="22">
        <v>0.8534722222222222</v>
      </c>
    </row>
    <row r="30">
      <c r="A30" s="24" t="s">
        <v>81</v>
      </c>
      <c r="B30" s="24" t="s">
        <v>82</v>
      </c>
      <c r="C30" s="22"/>
      <c r="D30" s="22">
        <v>0.22708333333333333</v>
      </c>
      <c r="E30" s="22"/>
      <c r="F30" s="22"/>
      <c r="G30" s="22"/>
      <c r="H30" s="22">
        <v>0.2826388888888889</v>
      </c>
      <c r="I30" s="22"/>
      <c r="J30" s="22"/>
      <c r="K30" s="22">
        <v>0.3138888888888889</v>
      </c>
      <c r="L30" s="22"/>
      <c r="M30" s="22"/>
      <c r="N30" s="22"/>
      <c r="O30" s="22"/>
      <c r="P30" s="22"/>
      <c r="Q30" s="22"/>
      <c r="R30" s="22"/>
      <c r="S30" s="22"/>
      <c r="T30" s="22">
        <v>0.41458333333333336</v>
      </c>
      <c r="U30" s="22"/>
      <c r="V30" s="22"/>
      <c r="W30" s="22"/>
      <c r="X30" s="22"/>
      <c r="Y30" s="22">
        <v>0.4840277777777778</v>
      </c>
      <c r="Z30" s="22"/>
      <c r="AA30" s="22"/>
      <c r="AB30" s="22">
        <v>0.5743055555555555</v>
      </c>
      <c r="AC30" s="22"/>
      <c r="AD30" s="22"/>
      <c r="AE30" s="22"/>
      <c r="AF30" s="22"/>
      <c r="AG30" s="22">
        <v>0.6576388888888889</v>
      </c>
      <c r="AH30" s="22"/>
      <c r="AI30" s="22"/>
      <c r="AJ30" s="22"/>
      <c r="AK30" s="22"/>
      <c r="AL30" s="22">
        <v>0.7145833333333333</v>
      </c>
      <c r="AM30" s="22"/>
      <c r="AN30" s="22"/>
      <c r="AO30" s="22"/>
      <c r="AP30" s="22">
        <v>0.7659722222222223</v>
      </c>
      <c r="AQ30" s="22"/>
      <c r="AR30" s="22"/>
      <c r="AS30" s="22"/>
      <c r="AT30" s="22">
        <v>0.8118055555555556</v>
      </c>
      <c r="AU30" s="22"/>
      <c r="AV30" s="22"/>
      <c r="AW30" s="22">
        <v>0.8555555555555555</v>
      </c>
    </row>
    <row r="31">
      <c r="A31" s="24" t="s">
        <v>83</v>
      </c>
      <c r="B31" s="24" t="s">
        <v>84</v>
      </c>
      <c r="C31" s="22"/>
      <c r="D31" s="22">
        <v>0.23055555555555557</v>
      </c>
      <c r="E31" s="22"/>
      <c r="F31" s="22"/>
      <c r="G31" s="22"/>
      <c r="H31" s="22">
        <v>0.2861111111111111</v>
      </c>
      <c r="I31" s="22"/>
      <c r="J31" s="22"/>
      <c r="K31" s="22">
        <v>0.3173611111111111</v>
      </c>
      <c r="L31" s="22"/>
      <c r="M31" s="22"/>
      <c r="N31" s="22"/>
      <c r="O31" s="22"/>
      <c r="P31" s="22"/>
      <c r="Q31" s="22"/>
      <c r="R31" s="22"/>
      <c r="S31" s="22"/>
      <c r="T31" s="22">
        <v>0.41805555555555557</v>
      </c>
      <c r="U31" s="22"/>
      <c r="V31" s="22"/>
      <c r="W31" s="22"/>
      <c r="X31" s="22"/>
      <c r="Y31" s="22">
        <v>0.4875</v>
      </c>
      <c r="Z31" s="22"/>
      <c r="AA31" s="22"/>
      <c r="AB31" s="22">
        <v>0.5777777777777777</v>
      </c>
      <c r="AC31" s="22"/>
      <c r="AD31" s="22"/>
      <c r="AE31" s="22"/>
      <c r="AF31" s="22"/>
      <c r="AG31" s="22">
        <v>0.6611111111111111</v>
      </c>
      <c r="AH31" s="22"/>
      <c r="AI31" s="22"/>
      <c r="AJ31" s="22"/>
      <c r="AK31" s="22"/>
      <c r="AL31" s="22">
        <v>0.7180555555555556</v>
      </c>
      <c r="AM31" s="22"/>
      <c r="AN31" s="22"/>
      <c r="AO31" s="22"/>
      <c r="AP31" s="22">
        <v>0.7694444444444445</v>
      </c>
      <c r="AQ31" s="22"/>
      <c r="AR31" s="22"/>
      <c r="AS31" s="22"/>
      <c r="AT31" s="22">
        <v>0.8152777777777778</v>
      </c>
      <c r="AU31" s="22"/>
      <c r="AV31" s="22"/>
      <c r="AW31" s="22">
        <v>0.8590277777777777</v>
      </c>
    </row>
    <row r="32">
      <c r="A32" s="26" t="s">
        <v>85</v>
      </c>
      <c r="B32" s="24" t="s">
        <v>86</v>
      </c>
      <c r="C32" s="27">
        <v>0.2361111111111111</v>
      </c>
      <c r="D32" s="27">
        <v>0.23472222222222222</v>
      </c>
      <c r="E32" s="27">
        <v>0.2569444444444444</v>
      </c>
      <c r="F32" s="27"/>
      <c r="G32" s="27">
        <v>0.28125</v>
      </c>
      <c r="H32" s="27">
        <v>0.2902777777777778</v>
      </c>
      <c r="I32" s="27"/>
      <c r="J32" s="28"/>
      <c r="K32" s="27">
        <v>0.3215277777777778</v>
      </c>
      <c r="L32" s="27"/>
      <c r="M32" s="27">
        <v>0.3423611111111111</v>
      </c>
      <c r="N32" s="27">
        <v>0.3611111111111111</v>
      </c>
      <c r="O32" s="27">
        <v>0.3819444444444444</v>
      </c>
      <c r="P32" s="27">
        <v>0.3888888888888889</v>
      </c>
      <c r="Q32" s="27"/>
      <c r="R32" s="27">
        <v>0.41805555555555557</v>
      </c>
      <c r="S32" s="27"/>
      <c r="T32" s="27">
        <v>0.4222222222222222</v>
      </c>
      <c r="U32" s="27">
        <v>0.4388888888888889</v>
      </c>
      <c r="V32" s="27"/>
      <c r="W32" s="27">
        <v>0.4847222222222222</v>
      </c>
      <c r="X32" s="27"/>
      <c r="Y32" s="27">
        <v>0.49166666666666664</v>
      </c>
      <c r="Z32" s="27">
        <v>0.5416666666666666</v>
      </c>
      <c r="AA32" s="27"/>
      <c r="AB32" s="27">
        <v>0.5819444444444445</v>
      </c>
      <c r="AC32" s="27">
        <v>0.5868055555555556</v>
      </c>
      <c r="AD32" s="27"/>
      <c r="AE32" s="27">
        <v>0.6006944444444444</v>
      </c>
      <c r="AF32" s="27"/>
      <c r="AG32" s="27">
        <v>0.6652777777777777</v>
      </c>
      <c r="AH32" s="27">
        <v>0.6805555555555556</v>
      </c>
      <c r="AI32" s="27"/>
      <c r="AJ32" s="27">
        <v>0.6784722222222223</v>
      </c>
      <c r="AK32" s="27"/>
      <c r="AL32" s="27">
        <v>0.7222222222222222</v>
      </c>
      <c r="AM32" s="27">
        <v>0.7361111111111112</v>
      </c>
      <c r="AN32" s="27">
        <v>0.75</v>
      </c>
      <c r="AO32" s="27"/>
      <c r="AP32" s="27">
        <v>0.7736111111111111</v>
      </c>
      <c r="AQ32" s="27">
        <v>0.7881944444444444</v>
      </c>
      <c r="AR32" s="27"/>
      <c r="AS32" s="27">
        <v>0.8138888888888889</v>
      </c>
      <c r="AT32" s="27">
        <v>0.8194444444444444</v>
      </c>
      <c r="AU32" s="27">
        <v>0.8506944444444444</v>
      </c>
      <c r="AV32" s="27">
        <v>0.8645833333333334</v>
      </c>
      <c r="AW32" s="27">
        <v>0.8631944444444445</v>
      </c>
    </row>
    <row r="33">
      <c r="A33" s="30"/>
      <c r="B33" s="30"/>
      <c r="C33" s="30"/>
      <c r="D33" s="31"/>
      <c r="E33" s="31"/>
      <c r="F33" s="31"/>
      <c r="G33" s="31"/>
      <c r="H33" s="31"/>
      <c r="I33" s="31"/>
      <c r="J33" s="31"/>
      <c r="K33" s="31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</row>
    <row r="34">
      <c r="A34" s="30"/>
      <c r="B34" s="30"/>
      <c r="C34" s="30"/>
      <c r="D34" s="31"/>
      <c r="E34" s="31"/>
      <c r="F34" s="31"/>
      <c r="G34" s="31"/>
      <c r="H34" s="31"/>
      <c r="I34" s="31"/>
      <c r="J34" s="31"/>
      <c r="K34" s="31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</row>
    <row r="35">
      <c r="A35" s="30"/>
      <c r="B35" s="30"/>
      <c r="C35" s="24"/>
      <c r="D35" s="24"/>
      <c r="E35" s="31"/>
      <c r="F35" s="31"/>
      <c r="G35" s="31"/>
      <c r="H35" s="31"/>
      <c r="I35" s="31"/>
      <c r="J35" s="31"/>
      <c r="K35" s="31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</row>
    <row r="36">
      <c r="B36" s="20"/>
      <c r="C36" s="20"/>
      <c r="D36" s="16"/>
      <c r="E36" s="16"/>
      <c r="F36" s="16"/>
      <c r="G36" s="16"/>
      <c r="H36" s="16"/>
      <c r="I36" s="16"/>
      <c r="J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18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18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18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6" width="19.88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12"/>
      <c r="AV1" s="12"/>
      <c r="AW1" s="12"/>
    </row>
    <row r="2">
      <c r="A2" s="32" t="s">
        <v>3</v>
      </c>
      <c r="B2" s="32" t="s">
        <v>4</v>
      </c>
      <c r="C2" s="33">
        <v>9901.0</v>
      </c>
      <c r="D2" s="33">
        <v>9001.0</v>
      </c>
      <c r="E2" s="33">
        <v>9501.0</v>
      </c>
      <c r="F2" s="33">
        <v>9401.0</v>
      </c>
      <c r="G2" s="33">
        <v>9503.0</v>
      </c>
      <c r="H2" s="33">
        <v>9003.0</v>
      </c>
      <c r="I2" s="33">
        <v>9903.0</v>
      </c>
      <c r="J2" s="33">
        <v>9505.0</v>
      </c>
      <c r="K2" s="33">
        <v>9007.0</v>
      </c>
      <c r="L2" s="33">
        <v>9403.0</v>
      </c>
      <c r="M2" s="33">
        <v>9905.0</v>
      </c>
      <c r="N2" s="33">
        <v>9507.0</v>
      </c>
      <c r="O2" s="33">
        <v>9005.0</v>
      </c>
      <c r="P2" s="33">
        <v>9405.0</v>
      </c>
      <c r="Q2" s="33">
        <v>9009.0</v>
      </c>
      <c r="R2" s="33">
        <v>9907.0</v>
      </c>
      <c r="S2" s="33">
        <v>9509.0</v>
      </c>
      <c r="T2" s="33">
        <v>9011.0</v>
      </c>
      <c r="U2" s="33">
        <v>9909.0</v>
      </c>
      <c r="V2" s="33">
        <v>9013.0</v>
      </c>
      <c r="W2" s="33">
        <v>9911.0</v>
      </c>
      <c r="X2" s="33">
        <v>9407.0</v>
      </c>
      <c r="Y2" s="33">
        <v>9015.0</v>
      </c>
      <c r="Z2" s="33">
        <v>9511.0</v>
      </c>
      <c r="AA2" s="33">
        <v>9913.0</v>
      </c>
      <c r="AB2" s="33">
        <v>9017.0</v>
      </c>
      <c r="AC2" s="33">
        <v>9513.0</v>
      </c>
      <c r="AD2" s="33">
        <v>9409.0</v>
      </c>
      <c r="AE2" s="33">
        <v>9915.0</v>
      </c>
      <c r="AF2" s="33">
        <v>9019.0</v>
      </c>
      <c r="AG2" s="33">
        <v>9515.0</v>
      </c>
      <c r="AH2" s="33">
        <v>9411.0</v>
      </c>
      <c r="AI2" s="33">
        <v>9917.0</v>
      </c>
      <c r="AJ2" s="33">
        <v>9021.0</v>
      </c>
      <c r="AK2" s="33">
        <v>9517.0</v>
      </c>
      <c r="AL2" s="33">
        <v>9023.0</v>
      </c>
      <c r="AM2" s="33">
        <v>9413.0</v>
      </c>
      <c r="AN2" s="33">
        <v>9919.0</v>
      </c>
      <c r="AO2" s="33">
        <v>9519.0</v>
      </c>
      <c r="AP2" s="33">
        <v>9025.0</v>
      </c>
      <c r="AQ2" s="33">
        <v>9415.0</v>
      </c>
      <c r="AR2" s="33">
        <v>9027.0</v>
      </c>
      <c r="AS2" s="33">
        <v>9521.0</v>
      </c>
      <c r="AT2" s="33">
        <v>9921.0</v>
      </c>
      <c r="AU2" s="34"/>
      <c r="AV2" s="34"/>
      <c r="AW2" s="34"/>
    </row>
    <row r="3">
      <c r="A3" s="35" t="s">
        <v>85</v>
      </c>
      <c r="B3" s="36" t="s">
        <v>86</v>
      </c>
      <c r="C3" s="37">
        <v>0.2013888888888889</v>
      </c>
      <c r="D3" s="34"/>
      <c r="E3" s="38">
        <v>0.2152777777777778</v>
      </c>
      <c r="F3" s="37">
        <v>0.24305555555555555</v>
      </c>
      <c r="G3" s="38">
        <v>0.2465277777777778</v>
      </c>
      <c r="H3" s="34"/>
      <c r="I3" s="37">
        <v>0.2534722222222222</v>
      </c>
      <c r="J3" s="38">
        <v>0.3</v>
      </c>
      <c r="K3" s="34"/>
      <c r="L3" s="37">
        <v>0.2951388888888889</v>
      </c>
      <c r="M3" s="37">
        <v>0.3055555555555556</v>
      </c>
      <c r="N3" s="38">
        <v>0.3402777777777778</v>
      </c>
      <c r="O3" s="34"/>
      <c r="P3" s="37">
        <v>0.34930555555555554</v>
      </c>
      <c r="Q3" s="34"/>
      <c r="R3" s="37">
        <v>0.375</v>
      </c>
      <c r="S3" s="38">
        <v>0.3923611111111111</v>
      </c>
      <c r="T3" s="34"/>
      <c r="U3" s="37">
        <v>0.4305555555555556</v>
      </c>
      <c r="V3" s="34"/>
      <c r="W3" s="37">
        <v>0.4861111111111111</v>
      </c>
      <c r="X3" s="37">
        <v>0.4965277777777778</v>
      </c>
      <c r="Y3" s="34"/>
      <c r="Z3" s="38">
        <v>0.5069444444444444</v>
      </c>
      <c r="AA3" s="37">
        <v>0.5729166666666666</v>
      </c>
      <c r="AB3" s="34"/>
      <c r="AC3" s="38">
        <v>0.5902777777777778</v>
      </c>
      <c r="AD3" s="37">
        <v>0.5902777777777778</v>
      </c>
      <c r="AE3" s="37">
        <v>0.625</v>
      </c>
      <c r="AF3" s="34"/>
      <c r="AG3" s="38">
        <v>0.6458333333333334</v>
      </c>
      <c r="AH3" s="37">
        <v>0.6631944444444444</v>
      </c>
      <c r="AI3" s="37">
        <v>0.6770833333333334</v>
      </c>
      <c r="AJ3" s="34"/>
      <c r="AK3" s="38">
        <v>0.7013888888888888</v>
      </c>
      <c r="AL3" s="34"/>
      <c r="AM3" s="37">
        <v>0.7243055555555555</v>
      </c>
      <c r="AN3" s="37">
        <v>0.7326388888888888</v>
      </c>
      <c r="AO3" s="38">
        <v>0.7465277777777778</v>
      </c>
      <c r="AP3" s="34"/>
      <c r="AQ3" s="37">
        <v>0.7569444444444444</v>
      </c>
      <c r="AR3" s="34"/>
      <c r="AS3" s="38">
        <v>0.78125</v>
      </c>
      <c r="AT3" s="37">
        <v>0.8020833333333334</v>
      </c>
      <c r="AU3" s="34"/>
      <c r="AV3" s="34"/>
      <c r="AW3" s="34"/>
    </row>
    <row r="4">
      <c r="A4" s="39" t="s">
        <v>83</v>
      </c>
      <c r="B4" s="36" t="s">
        <v>84</v>
      </c>
      <c r="C4" s="40"/>
      <c r="D4" s="34"/>
      <c r="E4" s="41">
        <v>0.21736111111111112</v>
      </c>
      <c r="F4" s="40"/>
      <c r="G4" s="41">
        <v>0.24861111111111112</v>
      </c>
      <c r="H4" s="34"/>
      <c r="I4" s="40"/>
      <c r="J4" s="41">
        <v>0.3020833333333333</v>
      </c>
      <c r="K4" s="34"/>
      <c r="L4" s="40"/>
      <c r="M4" s="40"/>
      <c r="N4" s="41">
        <v>0.3423611111111111</v>
      </c>
      <c r="O4" s="34"/>
      <c r="P4" s="40"/>
      <c r="Q4" s="34"/>
      <c r="R4" s="40"/>
      <c r="S4" s="41">
        <v>0.39444444444444443</v>
      </c>
      <c r="T4" s="34"/>
      <c r="U4" s="40"/>
      <c r="V4" s="34"/>
      <c r="W4" s="40"/>
      <c r="X4" s="40"/>
      <c r="Y4" s="34"/>
      <c r="Z4" s="41">
        <v>0.5090277777777777</v>
      </c>
      <c r="AA4" s="40"/>
      <c r="AB4" s="34"/>
      <c r="AC4" s="41">
        <v>0.5923611111111111</v>
      </c>
      <c r="AD4" s="40"/>
      <c r="AE4" s="40"/>
      <c r="AF4" s="34"/>
      <c r="AG4" s="41">
        <v>0.6479166666666667</v>
      </c>
      <c r="AH4" s="40"/>
      <c r="AI4" s="40"/>
      <c r="AJ4" s="34"/>
      <c r="AK4" s="41">
        <v>0.7034722222222223</v>
      </c>
      <c r="AL4" s="34"/>
      <c r="AM4" s="40"/>
      <c r="AN4" s="40"/>
      <c r="AO4" s="41">
        <v>0.7486111111111111</v>
      </c>
      <c r="AP4" s="34"/>
      <c r="AQ4" s="40"/>
      <c r="AR4" s="34"/>
      <c r="AS4" s="41">
        <v>0.7833333333333333</v>
      </c>
      <c r="AT4" s="40"/>
      <c r="AU4" s="34"/>
      <c r="AV4" s="34"/>
      <c r="AW4" s="34"/>
    </row>
    <row r="5">
      <c r="A5" s="39" t="s">
        <v>81</v>
      </c>
      <c r="B5" s="36" t="s">
        <v>82</v>
      </c>
      <c r="C5" s="40"/>
      <c r="D5" s="34"/>
      <c r="E5" s="41">
        <v>0.21944444444444444</v>
      </c>
      <c r="F5" s="40"/>
      <c r="G5" s="41">
        <v>0.25069444444444444</v>
      </c>
      <c r="H5" s="34"/>
      <c r="I5" s="40"/>
      <c r="J5" s="41">
        <v>0.30416666666666664</v>
      </c>
      <c r="K5" s="34"/>
      <c r="L5" s="40"/>
      <c r="M5" s="40"/>
      <c r="N5" s="41">
        <v>0.34444444444444444</v>
      </c>
      <c r="O5" s="34"/>
      <c r="P5" s="40"/>
      <c r="Q5" s="34"/>
      <c r="R5" s="40"/>
      <c r="S5" s="41">
        <v>0.39652777777777776</v>
      </c>
      <c r="T5" s="34"/>
      <c r="U5" s="40"/>
      <c r="V5" s="34"/>
      <c r="W5" s="40"/>
      <c r="X5" s="40"/>
      <c r="Y5" s="34"/>
      <c r="Z5" s="41">
        <v>0.5111111111111111</v>
      </c>
      <c r="AA5" s="40"/>
      <c r="AB5" s="34"/>
      <c r="AC5" s="41">
        <v>0.5944444444444444</v>
      </c>
      <c r="AD5" s="40"/>
      <c r="AE5" s="40"/>
      <c r="AF5" s="34"/>
      <c r="AG5" s="41">
        <v>0.65</v>
      </c>
      <c r="AH5" s="40"/>
      <c r="AI5" s="40"/>
      <c r="AJ5" s="34"/>
      <c r="AK5" s="41">
        <v>0.7055555555555556</v>
      </c>
      <c r="AL5" s="34"/>
      <c r="AM5" s="40"/>
      <c r="AN5" s="40"/>
      <c r="AO5" s="41">
        <v>0.7506944444444444</v>
      </c>
      <c r="AP5" s="34"/>
      <c r="AQ5" s="40"/>
      <c r="AR5" s="34"/>
      <c r="AS5" s="41">
        <v>0.7854166666666667</v>
      </c>
      <c r="AT5" s="40"/>
      <c r="AU5" s="34"/>
      <c r="AV5" s="34"/>
      <c r="AW5" s="34"/>
    </row>
    <row r="6">
      <c r="A6" s="39" t="s">
        <v>79</v>
      </c>
      <c r="B6" s="36" t="s">
        <v>80</v>
      </c>
      <c r="C6" s="40"/>
      <c r="D6" s="34"/>
      <c r="E6" s="41">
        <v>0.22083333333333333</v>
      </c>
      <c r="F6" s="40"/>
      <c r="G6" s="41">
        <v>0.2520833333333333</v>
      </c>
      <c r="H6" s="34"/>
      <c r="I6" s="40"/>
      <c r="J6" s="41">
        <v>0.3055555555555556</v>
      </c>
      <c r="K6" s="34"/>
      <c r="L6" s="40"/>
      <c r="M6" s="40"/>
      <c r="N6" s="41">
        <v>0.3458333333333333</v>
      </c>
      <c r="O6" s="34"/>
      <c r="P6" s="40"/>
      <c r="Q6" s="34"/>
      <c r="R6" s="40"/>
      <c r="S6" s="41">
        <v>0.39791666666666664</v>
      </c>
      <c r="T6" s="34"/>
      <c r="U6" s="40"/>
      <c r="V6" s="34"/>
      <c r="W6" s="40"/>
      <c r="X6" s="40"/>
      <c r="Y6" s="34"/>
      <c r="Z6" s="41">
        <v>0.5125</v>
      </c>
      <c r="AA6" s="40"/>
      <c r="AB6" s="34"/>
      <c r="AC6" s="41">
        <v>0.5958333333333333</v>
      </c>
      <c r="AD6" s="40"/>
      <c r="AE6" s="40"/>
      <c r="AF6" s="34"/>
      <c r="AG6" s="41">
        <v>0.6513888888888889</v>
      </c>
      <c r="AH6" s="40"/>
      <c r="AI6" s="40"/>
      <c r="AJ6" s="34"/>
      <c r="AK6" s="41">
        <v>0.7069444444444445</v>
      </c>
      <c r="AL6" s="34"/>
      <c r="AM6" s="40"/>
      <c r="AN6" s="40"/>
      <c r="AO6" s="41">
        <v>0.7520833333333333</v>
      </c>
      <c r="AP6" s="34"/>
      <c r="AQ6" s="40"/>
      <c r="AR6" s="34"/>
      <c r="AS6" s="41">
        <v>0.7868055555555555</v>
      </c>
      <c r="AT6" s="40"/>
      <c r="AU6" s="34"/>
      <c r="AV6" s="34"/>
      <c r="AW6" s="34"/>
    </row>
    <row r="7">
      <c r="A7" s="39" t="s">
        <v>77</v>
      </c>
      <c r="B7" s="36" t="s">
        <v>78</v>
      </c>
      <c r="C7" s="40"/>
      <c r="D7" s="34"/>
      <c r="E7" s="41">
        <v>0.2222222222222222</v>
      </c>
      <c r="F7" s="40"/>
      <c r="G7" s="41">
        <v>0.2534722222222222</v>
      </c>
      <c r="H7" s="34"/>
      <c r="I7" s="40"/>
      <c r="J7" s="41">
        <v>0.30694444444444446</v>
      </c>
      <c r="K7" s="34"/>
      <c r="L7" s="40"/>
      <c r="M7" s="40"/>
      <c r="N7" s="41">
        <v>0.3472222222222222</v>
      </c>
      <c r="O7" s="34"/>
      <c r="P7" s="40"/>
      <c r="Q7" s="34"/>
      <c r="R7" s="40"/>
      <c r="S7" s="41">
        <v>0.3993055555555556</v>
      </c>
      <c r="T7" s="34"/>
      <c r="U7" s="40"/>
      <c r="V7" s="34"/>
      <c r="W7" s="40"/>
      <c r="X7" s="40"/>
      <c r="Y7" s="34"/>
      <c r="Z7" s="41">
        <v>0.5138888888888888</v>
      </c>
      <c r="AA7" s="40"/>
      <c r="AB7" s="34"/>
      <c r="AC7" s="41">
        <v>0.5972222222222222</v>
      </c>
      <c r="AD7" s="40"/>
      <c r="AE7" s="40"/>
      <c r="AF7" s="34"/>
      <c r="AG7" s="41">
        <v>0.6527777777777778</v>
      </c>
      <c r="AH7" s="40"/>
      <c r="AI7" s="40"/>
      <c r="AJ7" s="34"/>
      <c r="AK7" s="41">
        <v>0.7083333333333334</v>
      </c>
      <c r="AL7" s="34"/>
      <c r="AM7" s="40"/>
      <c r="AN7" s="40"/>
      <c r="AO7" s="41">
        <v>0.7534722222222222</v>
      </c>
      <c r="AP7" s="34"/>
      <c r="AQ7" s="40"/>
      <c r="AR7" s="34"/>
      <c r="AS7" s="41">
        <v>0.7881944444444444</v>
      </c>
      <c r="AT7" s="40"/>
      <c r="AU7" s="34"/>
      <c r="AV7" s="34"/>
      <c r="AW7" s="34"/>
    </row>
    <row r="8">
      <c r="A8" s="39" t="s">
        <v>75</v>
      </c>
      <c r="B8" s="36" t="s">
        <v>76</v>
      </c>
      <c r="C8" s="40"/>
      <c r="D8" s="34"/>
      <c r="E8" s="41">
        <v>0.22430555555555556</v>
      </c>
      <c r="F8" s="40"/>
      <c r="G8" s="41">
        <v>0.25555555555555554</v>
      </c>
      <c r="H8" s="34"/>
      <c r="I8" s="40"/>
      <c r="J8" s="41">
        <v>0.3090277777777778</v>
      </c>
      <c r="K8" s="34"/>
      <c r="L8" s="40"/>
      <c r="M8" s="40"/>
      <c r="N8" s="41">
        <v>0.34930555555555554</v>
      </c>
      <c r="O8" s="34"/>
      <c r="P8" s="40"/>
      <c r="Q8" s="34"/>
      <c r="R8" s="40"/>
      <c r="S8" s="41">
        <v>0.4013888888888889</v>
      </c>
      <c r="T8" s="34"/>
      <c r="U8" s="40"/>
      <c r="V8" s="34"/>
      <c r="W8" s="40"/>
      <c r="X8" s="40"/>
      <c r="Y8" s="34"/>
      <c r="Z8" s="41">
        <v>0.5159722222222223</v>
      </c>
      <c r="AA8" s="40"/>
      <c r="AB8" s="34"/>
      <c r="AC8" s="41">
        <v>0.5993055555555555</v>
      </c>
      <c r="AD8" s="40"/>
      <c r="AE8" s="40"/>
      <c r="AF8" s="34"/>
      <c r="AG8" s="41">
        <v>0.6548611111111111</v>
      </c>
      <c r="AH8" s="40"/>
      <c r="AI8" s="40"/>
      <c r="AJ8" s="34"/>
      <c r="AK8" s="41">
        <v>0.7104166666666667</v>
      </c>
      <c r="AL8" s="34"/>
      <c r="AM8" s="40"/>
      <c r="AN8" s="40"/>
      <c r="AO8" s="41">
        <v>0.7555555555555555</v>
      </c>
      <c r="AP8" s="34"/>
      <c r="AQ8" s="40"/>
      <c r="AR8" s="34"/>
      <c r="AS8" s="41">
        <v>0.7902777777777777</v>
      </c>
      <c r="AT8" s="40"/>
      <c r="AU8" s="34"/>
      <c r="AV8" s="34"/>
      <c r="AW8" s="34"/>
    </row>
    <row r="9">
      <c r="A9" s="39" t="s">
        <v>73</v>
      </c>
      <c r="B9" s="36" t="s">
        <v>74</v>
      </c>
      <c r="C9" s="40"/>
      <c r="D9" s="34"/>
      <c r="E9" s="41">
        <v>0.2263888888888889</v>
      </c>
      <c r="F9" s="40"/>
      <c r="G9" s="41">
        <v>0.25763888888888886</v>
      </c>
      <c r="H9" s="34"/>
      <c r="I9" s="40"/>
      <c r="J9" s="41">
        <v>0.3111111111111111</v>
      </c>
      <c r="K9" s="34"/>
      <c r="L9" s="40"/>
      <c r="M9" s="40"/>
      <c r="N9" s="41">
        <v>0.35138888888888886</v>
      </c>
      <c r="O9" s="34"/>
      <c r="P9" s="40"/>
      <c r="Q9" s="34"/>
      <c r="R9" s="40"/>
      <c r="S9" s="41">
        <v>0.40347222222222223</v>
      </c>
      <c r="T9" s="34"/>
      <c r="U9" s="40"/>
      <c r="V9" s="34"/>
      <c r="W9" s="40"/>
      <c r="X9" s="40"/>
      <c r="Y9" s="34"/>
      <c r="Z9" s="41">
        <v>0.5180555555555556</v>
      </c>
      <c r="AA9" s="40"/>
      <c r="AB9" s="34"/>
      <c r="AC9" s="41">
        <v>0.6013888888888889</v>
      </c>
      <c r="AD9" s="40"/>
      <c r="AE9" s="40"/>
      <c r="AF9" s="34"/>
      <c r="AG9" s="41">
        <v>0.6569444444444444</v>
      </c>
      <c r="AH9" s="40"/>
      <c r="AI9" s="40"/>
      <c r="AJ9" s="34"/>
      <c r="AK9" s="41">
        <v>0.7125</v>
      </c>
      <c r="AL9" s="34"/>
      <c r="AM9" s="40"/>
      <c r="AN9" s="40"/>
      <c r="AO9" s="41">
        <v>0.7576388888888889</v>
      </c>
      <c r="AP9" s="34"/>
      <c r="AQ9" s="40"/>
      <c r="AR9" s="34"/>
      <c r="AS9" s="41">
        <v>0.7923611111111111</v>
      </c>
      <c r="AT9" s="40"/>
      <c r="AU9" s="34"/>
      <c r="AV9" s="34"/>
      <c r="AW9" s="34"/>
    </row>
    <row r="10">
      <c r="A10" s="42" t="s">
        <v>71</v>
      </c>
      <c r="B10" s="36" t="s">
        <v>72</v>
      </c>
      <c r="C10" s="37">
        <v>0.20833333333333334</v>
      </c>
      <c r="D10" s="34"/>
      <c r="E10" s="43"/>
      <c r="F10" s="37">
        <v>0.25</v>
      </c>
      <c r="G10" s="43"/>
      <c r="H10" s="34"/>
      <c r="I10" s="37">
        <v>0.2604166666666667</v>
      </c>
      <c r="J10" s="43"/>
      <c r="K10" s="34"/>
      <c r="L10" s="37">
        <v>0.3020833333333333</v>
      </c>
      <c r="M10" s="37">
        <v>0.3125</v>
      </c>
      <c r="N10" s="43"/>
      <c r="O10" s="34"/>
      <c r="P10" s="37">
        <v>0.35625</v>
      </c>
      <c r="Q10" s="34"/>
      <c r="R10" s="37">
        <v>0.3819444444444444</v>
      </c>
      <c r="S10" s="43"/>
      <c r="T10" s="34"/>
      <c r="U10" s="37">
        <v>0.4375</v>
      </c>
      <c r="V10" s="34"/>
      <c r="W10" s="37">
        <v>0.4930555555555556</v>
      </c>
      <c r="X10" s="37">
        <v>0.5034722222222222</v>
      </c>
      <c r="Y10" s="34"/>
      <c r="Z10" s="43"/>
      <c r="AA10" s="37">
        <v>0.5798611111111112</v>
      </c>
      <c r="AB10" s="34"/>
      <c r="AC10" s="43"/>
      <c r="AD10" s="37">
        <v>0.5972222222222222</v>
      </c>
      <c r="AE10" s="37">
        <v>0.6319444444444444</v>
      </c>
      <c r="AF10" s="34"/>
      <c r="AG10" s="43"/>
      <c r="AH10" s="37">
        <v>0.6701388888888888</v>
      </c>
      <c r="AI10" s="37">
        <v>0.6840277777777778</v>
      </c>
      <c r="AJ10" s="34"/>
      <c r="AK10" s="43"/>
      <c r="AL10" s="34"/>
      <c r="AM10" s="37">
        <v>0.73125</v>
      </c>
      <c r="AN10" s="37">
        <v>0.7395833333333334</v>
      </c>
      <c r="AO10" s="43"/>
      <c r="AP10" s="34"/>
      <c r="AQ10" s="37">
        <v>0.7638888888888888</v>
      </c>
      <c r="AR10" s="34"/>
      <c r="AS10" s="43"/>
      <c r="AT10" s="37">
        <v>0.8090277777777778</v>
      </c>
      <c r="AU10" s="34"/>
      <c r="AV10" s="34"/>
      <c r="AW10" s="34"/>
    </row>
    <row r="11">
      <c r="A11" s="42" t="s">
        <v>69</v>
      </c>
      <c r="B11" s="36" t="s">
        <v>70</v>
      </c>
      <c r="C11" s="37">
        <v>0.21666666666666667</v>
      </c>
      <c r="D11" s="34"/>
      <c r="E11" s="43"/>
      <c r="F11" s="37">
        <v>0.25833333333333336</v>
      </c>
      <c r="G11" s="43"/>
      <c r="H11" s="34"/>
      <c r="I11" s="37">
        <v>0.26875</v>
      </c>
      <c r="J11" s="43"/>
      <c r="K11" s="34"/>
      <c r="L11" s="37">
        <v>0.3104166666666667</v>
      </c>
      <c r="M11" s="37">
        <v>0.32083333333333336</v>
      </c>
      <c r="N11" s="43"/>
      <c r="O11" s="34"/>
      <c r="P11" s="37">
        <v>0.3645833333333333</v>
      </c>
      <c r="Q11" s="34"/>
      <c r="R11" s="37">
        <v>0.3902777777777778</v>
      </c>
      <c r="S11" s="43"/>
      <c r="T11" s="34"/>
      <c r="U11" s="37">
        <v>0.44583333333333336</v>
      </c>
      <c r="V11" s="34"/>
      <c r="W11" s="37">
        <v>0.5013888888888889</v>
      </c>
      <c r="X11" s="37">
        <v>0.5118055555555555</v>
      </c>
      <c r="Y11" s="34"/>
      <c r="Z11" s="43"/>
      <c r="AA11" s="37">
        <v>0.5881944444444445</v>
      </c>
      <c r="AB11" s="34"/>
      <c r="AC11" s="43"/>
      <c r="AD11" s="37">
        <v>0.6055555555555555</v>
      </c>
      <c r="AE11" s="37">
        <v>0.6402777777777777</v>
      </c>
      <c r="AF11" s="34"/>
      <c r="AG11" s="43"/>
      <c r="AH11" s="37">
        <v>0.6784722222222223</v>
      </c>
      <c r="AI11" s="37">
        <v>0.6923611111111111</v>
      </c>
      <c r="AJ11" s="34"/>
      <c r="AK11" s="43"/>
      <c r="AL11" s="34"/>
      <c r="AM11" s="37">
        <v>0.7395833333333334</v>
      </c>
      <c r="AN11" s="37">
        <v>0.7479166666666667</v>
      </c>
      <c r="AO11" s="43"/>
      <c r="AP11" s="34"/>
      <c r="AQ11" s="37">
        <v>0.7722222222222223</v>
      </c>
      <c r="AR11" s="34"/>
      <c r="AS11" s="43"/>
      <c r="AT11" s="37">
        <v>0.8173611111111111</v>
      </c>
      <c r="AU11" s="34"/>
      <c r="AV11" s="34"/>
      <c r="AW11" s="34"/>
    </row>
    <row r="12">
      <c r="A12" s="42" t="s">
        <v>67</v>
      </c>
      <c r="B12" s="44" t="s">
        <v>68</v>
      </c>
      <c r="C12" s="37">
        <v>0.22013888888888888</v>
      </c>
      <c r="D12" s="45">
        <v>0.2326388888888889</v>
      </c>
      <c r="E12" s="43"/>
      <c r="F12" s="37">
        <v>0.26180555555555557</v>
      </c>
      <c r="G12" s="43"/>
      <c r="H12" s="45">
        <v>0.2673611111111111</v>
      </c>
      <c r="I12" s="37">
        <v>0.2722222222222222</v>
      </c>
      <c r="J12" s="43"/>
      <c r="K12" s="45">
        <v>0.2916666666666667</v>
      </c>
      <c r="L12" s="37">
        <v>0.3138888888888889</v>
      </c>
      <c r="M12" s="37">
        <v>0.32430555555555557</v>
      </c>
      <c r="N12" s="43"/>
      <c r="O12" s="45">
        <v>0.3298611111111111</v>
      </c>
      <c r="P12" s="37">
        <v>0.3680555555555556</v>
      </c>
      <c r="Q12" s="45">
        <v>0.3854166666666667</v>
      </c>
      <c r="R12" s="37">
        <v>0.39375</v>
      </c>
      <c r="S12" s="43"/>
      <c r="T12" s="45">
        <v>0.40625</v>
      </c>
      <c r="U12" s="37">
        <v>0.44930555555555557</v>
      </c>
      <c r="V12" s="45">
        <v>0.4618055555555556</v>
      </c>
      <c r="W12" s="37">
        <v>0.5048611111111111</v>
      </c>
      <c r="X12" s="37">
        <v>0.5152777777777777</v>
      </c>
      <c r="Y12" s="45">
        <v>0.5208333333333334</v>
      </c>
      <c r="Z12" s="43"/>
      <c r="AA12" s="37">
        <v>0.5916666666666667</v>
      </c>
      <c r="AB12" s="45">
        <v>0.5972222222222222</v>
      </c>
      <c r="AC12" s="43"/>
      <c r="AD12" s="37">
        <v>0.6090277777777777</v>
      </c>
      <c r="AE12" s="37">
        <v>0.64375</v>
      </c>
      <c r="AF12" s="45">
        <v>0.6527777777777778</v>
      </c>
      <c r="AG12" s="43"/>
      <c r="AH12" s="37">
        <v>0.6819444444444445</v>
      </c>
      <c r="AI12" s="37">
        <v>0.6958333333333333</v>
      </c>
      <c r="AJ12" s="45">
        <v>0.7013888888888888</v>
      </c>
      <c r="AK12" s="43"/>
      <c r="AL12" s="45">
        <v>0.7222222222222222</v>
      </c>
      <c r="AM12" s="37">
        <v>0.7430555555555556</v>
      </c>
      <c r="AN12" s="37">
        <v>0.7513888888888889</v>
      </c>
      <c r="AO12" s="43"/>
      <c r="AP12" s="45">
        <v>0.7638888888888888</v>
      </c>
      <c r="AQ12" s="37">
        <v>0.7756944444444445</v>
      </c>
      <c r="AR12" s="45">
        <v>0.7847222222222222</v>
      </c>
      <c r="AS12" s="43"/>
      <c r="AT12" s="37">
        <v>0.8208333333333333</v>
      </c>
      <c r="AU12" s="34"/>
      <c r="AV12" s="34"/>
      <c r="AW12" s="34"/>
    </row>
    <row r="13">
      <c r="A13" s="39" t="s">
        <v>65</v>
      </c>
      <c r="B13" s="44" t="s">
        <v>66</v>
      </c>
      <c r="C13" s="46">
        <v>0.22361111111111112</v>
      </c>
      <c r="D13" s="47">
        <v>0.2361111111111111</v>
      </c>
      <c r="E13" s="41">
        <v>0.23055555555555557</v>
      </c>
      <c r="F13" s="46">
        <v>0.2652777777777778</v>
      </c>
      <c r="G13" s="41">
        <v>0.26180555555555557</v>
      </c>
      <c r="H13" s="47">
        <v>0.2708333333333333</v>
      </c>
      <c r="I13" s="46">
        <v>0.27569444444444446</v>
      </c>
      <c r="J13" s="41">
        <v>0.31527777777777777</v>
      </c>
      <c r="K13" s="47">
        <v>0.2951388888888889</v>
      </c>
      <c r="L13" s="46">
        <v>0.3173611111111111</v>
      </c>
      <c r="M13" s="46">
        <v>0.3277777777777778</v>
      </c>
      <c r="N13" s="41">
        <v>0.35555555555555557</v>
      </c>
      <c r="O13" s="47">
        <v>0.3333333333333333</v>
      </c>
      <c r="P13" s="46">
        <v>0.3715277777777778</v>
      </c>
      <c r="Q13" s="47">
        <v>0.3888888888888889</v>
      </c>
      <c r="R13" s="46">
        <v>0.3972222222222222</v>
      </c>
      <c r="S13" s="41">
        <v>0.4076388888888889</v>
      </c>
      <c r="T13" s="47">
        <v>0.4097222222222222</v>
      </c>
      <c r="U13" s="46">
        <v>0.4527777777777778</v>
      </c>
      <c r="V13" s="47">
        <v>0.4652777777777778</v>
      </c>
      <c r="W13" s="46">
        <v>0.5083333333333333</v>
      </c>
      <c r="X13" s="46">
        <v>0.51875</v>
      </c>
      <c r="Y13" s="47">
        <v>0.5243055555555556</v>
      </c>
      <c r="Z13" s="41">
        <v>0.5222222222222223</v>
      </c>
      <c r="AA13" s="46">
        <v>0.5951388888888889</v>
      </c>
      <c r="AB13" s="47">
        <v>0.6006944444444444</v>
      </c>
      <c r="AC13" s="41">
        <v>0.6055555555555555</v>
      </c>
      <c r="AD13" s="46">
        <v>0.6125</v>
      </c>
      <c r="AE13" s="46">
        <v>0.6472222222222223</v>
      </c>
      <c r="AF13" s="47">
        <v>0.65625</v>
      </c>
      <c r="AG13" s="41">
        <v>0.6611111111111111</v>
      </c>
      <c r="AH13" s="46">
        <v>0.6854166666666667</v>
      </c>
      <c r="AI13" s="46">
        <v>0.6993055555555555</v>
      </c>
      <c r="AJ13" s="47">
        <v>0.7048611111111112</v>
      </c>
      <c r="AK13" s="41">
        <v>0.7166666666666667</v>
      </c>
      <c r="AL13" s="47">
        <v>0.7256944444444444</v>
      </c>
      <c r="AM13" s="46">
        <v>0.7465277777777778</v>
      </c>
      <c r="AN13" s="46">
        <v>0.7548611111111111</v>
      </c>
      <c r="AO13" s="41">
        <v>0.7618055555555555</v>
      </c>
      <c r="AP13" s="47">
        <v>0.7673611111111112</v>
      </c>
      <c r="AQ13" s="46">
        <v>0.7791666666666667</v>
      </c>
      <c r="AR13" s="47">
        <v>0.7881944444444444</v>
      </c>
      <c r="AS13" s="41">
        <v>0.7965277777777777</v>
      </c>
      <c r="AT13" s="46">
        <v>0.8243055555555555</v>
      </c>
      <c r="AU13" s="34"/>
      <c r="AV13" s="34"/>
      <c r="AW13" s="34"/>
    </row>
    <row r="14">
      <c r="A14" s="39" t="s">
        <v>63</v>
      </c>
      <c r="B14" s="44" t="s">
        <v>64</v>
      </c>
      <c r="C14" s="46">
        <v>0.225</v>
      </c>
      <c r="D14" s="47">
        <v>0.2375</v>
      </c>
      <c r="E14" s="41">
        <v>0.23194444444444445</v>
      </c>
      <c r="F14" s="46">
        <v>0.26666666666666666</v>
      </c>
      <c r="G14" s="41">
        <v>0.26319444444444445</v>
      </c>
      <c r="H14" s="47">
        <v>0.2722222222222222</v>
      </c>
      <c r="I14" s="46">
        <v>0.27708333333333335</v>
      </c>
      <c r="J14" s="41">
        <v>0.31666666666666665</v>
      </c>
      <c r="K14" s="47">
        <v>0.2965277777777778</v>
      </c>
      <c r="L14" s="46">
        <v>0.31875</v>
      </c>
      <c r="M14" s="46">
        <v>0.32916666666666666</v>
      </c>
      <c r="N14" s="41">
        <v>0.35694444444444445</v>
      </c>
      <c r="O14" s="47">
        <v>0.3347222222222222</v>
      </c>
      <c r="P14" s="46">
        <v>0.3729166666666667</v>
      </c>
      <c r="Q14" s="47">
        <v>0.3902777777777778</v>
      </c>
      <c r="R14" s="46">
        <v>0.39861111111111114</v>
      </c>
      <c r="S14" s="41">
        <v>0.40902777777777777</v>
      </c>
      <c r="T14" s="47">
        <v>0.4111111111111111</v>
      </c>
      <c r="U14" s="46">
        <v>0.45416666666666666</v>
      </c>
      <c r="V14" s="47">
        <v>0.4666666666666667</v>
      </c>
      <c r="W14" s="46">
        <v>0.5097222222222222</v>
      </c>
      <c r="X14" s="46">
        <v>0.5201388888888889</v>
      </c>
      <c r="Y14" s="47">
        <v>0.5256944444444445</v>
      </c>
      <c r="Z14" s="41">
        <v>0.5236111111111111</v>
      </c>
      <c r="AA14" s="46">
        <v>0.5965277777777778</v>
      </c>
      <c r="AB14" s="47">
        <v>0.6020833333333333</v>
      </c>
      <c r="AC14" s="41">
        <v>0.6069444444444444</v>
      </c>
      <c r="AD14" s="46">
        <v>0.6138888888888889</v>
      </c>
      <c r="AE14" s="46">
        <v>0.6486111111111111</v>
      </c>
      <c r="AF14" s="47">
        <v>0.6576388888888889</v>
      </c>
      <c r="AG14" s="41">
        <v>0.6625</v>
      </c>
      <c r="AH14" s="46">
        <v>0.6868055555555556</v>
      </c>
      <c r="AI14" s="46">
        <v>0.7006944444444444</v>
      </c>
      <c r="AJ14" s="47">
        <v>0.70625</v>
      </c>
      <c r="AK14" s="41">
        <v>0.7180555555555556</v>
      </c>
      <c r="AL14" s="47">
        <v>0.7270833333333333</v>
      </c>
      <c r="AM14" s="46">
        <v>0.7479166666666667</v>
      </c>
      <c r="AN14" s="46">
        <v>0.75625</v>
      </c>
      <c r="AO14" s="41">
        <v>0.7631944444444444</v>
      </c>
      <c r="AP14" s="47">
        <v>0.76875</v>
      </c>
      <c r="AQ14" s="46">
        <v>0.7805555555555556</v>
      </c>
      <c r="AR14" s="47">
        <v>0.7895833333333333</v>
      </c>
      <c r="AS14" s="41">
        <v>0.7979166666666667</v>
      </c>
      <c r="AT14" s="46">
        <v>0.8256944444444444</v>
      </c>
      <c r="AU14" s="34"/>
      <c r="AV14" s="34"/>
      <c r="AW14" s="34"/>
    </row>
    <row r="15">
      <c r="A15" s="39" t="s">
        <v>87</v>
      </c>
      <c r="B15" s="44" t="s">
        <v>88</v>
      </c>
      <c r="C15" s="46">
        <v>0.2263888888888889</v>
      </c>
      <c r="D15" s="48"/>
      <c r="E15" s="41">
        <v>0.23333333333333334</v>
      </c>
      <c r="F15" s="46">
        <v>0.26805555555555555</v>
      </c>
      <c r="G15" s="41">
        <v>0.26458333333333334</v>
      </c>
      <c r="H15" s="48"/>
      <c r="I15" s="46">
        <v>0.27847222222222223</v>
      </c>
      <c r="J15" s="41">
        <v>0.31805555555555554</v>
      </c>
      <c r="K15" s="48"/>
      <c r="L15" s="46">
        <v>0.32013888888888886</v>
      </c>
      <c r="M15" s="46">
        <v>0.33055555555555555</v>
      </c>
      <c r="N15" s="41">
        <v>0.35833333333333334</v>
      </c>
      <c r="O15" s="48"/>
      <c r="P15" s="46">
        <v>0.37430555555555556</v>
      </c>
      <c r="Q15" s="48"/>
      <c r="R15" s="46">
        <v>0.4</v>
      </c>
      <c r="S15" s="41">
        <v>0.41041666666666665</v>
      </c>
      <c r="T15" s="48"/>
      <c r="U15" s="46">
        <v>0.45555555555555555</v>
      </c>
      <c r="V15" s="48"/>
      <c r="W15" s="46">
        <v>0.5111111111111111</v>
      </c>
      <c r="X15" s="46">
        <v>0.5215277777777778</v>
      </c>
      <c r="Y15" s="48"/>
      <c r="Z15" s="41">
        <v>0.525</v>
      </c>
      <c r="AA15" s="46">
        <v>0.5979166666666667</v>
      </c>
      <c r="AB15" s="48"/>
      <c r="AC15" s="41">
        <v>0.6083333333333333</v>
      </c>
      <c r="AD15" s="46">
        <v>0.6152777777777778</v>
      </c>
      <c r="AE15" s="46">
        <v>0.65</v>
      </c>
      <c r="AF15" s="48"/>
      <c r="AG15" s="41">
        <v>0.6638888888888889</v>
      </c>
      <c r="AH15" s="46">
        <v>0.6881944444444444</v>
      </c>
      <c r="AI15" s="46">
        <v>0.7020833333333333</v>
      </c>
      <c r="AJ15" s="48"/>
      <c r="AK15" s="41">
        <v>0.7194444444444444</v>
      </c>
      <c r="AL15" s="48"/>
      <c r="AM15" s="46">
        <v>0.7493055555555556</v>
      </c>
      <c r="AN15" s="46">
        <v>0.7576388888888889</v>
      </c>
      <c r="AO15" s="41">
        <v>0.7645833333333333</v>
      </c>
      <c r="AP15" s="48"/>
      <c r="AQ15" s="46">
        <v>0.7819444444444444</v>
      </c>
      <c r="AR15" s="48"/>
      <c r="AS15" s="41">
        <v>0.7993055555555556</v>
      </c>
      <c r="AT15" s="46">
        <v>0.8270833333333333</v>
      </c>
      <c r="AU15" s="34"/>
      <c r="AV15" s="34"/>
      <c r="AW15" s="34"/>
    </row>
    <row r="16">
      <c r="A16" s="39" t="s">
        <v>89</v>
      </c>
      <c r="B16" s="44" t="s">
        <v>90</v>
      </c>
      <c r="C16" s="46">
        <v>0.22708333333333333</v>
      </c>
      <c r="D16" s="48"/>
      <c r="E16" s="41">
        <v>0.23402777777777778</v>
      </c>
      <c r="F16" s="46">
        <v>0.26875</v>
      </c>
      <c r="G16" s="41">
        <v>0.2652777777777778</v>
      </c>
      <c r="H16" s="48"/>
      <c r="I16" s="46">
        <v>0.2791666666666667</v>
      </c>
      <c r="J16" s="41">
        <v>0.31875</v>
      </c>
      <c r="K16" s="48"/>
      <c r="L16" s="46">
        <v>0.32083333333333336</v>
      </c>
      <c r="M16" s="46">
        <v>0.33125</v>
      </c>
      <c r="N16" s="41">
        <v>0.3590277777777778</v>
      </c>
      <c r="O16" s="48"/>
      <c r="P16" s="46">
        <v>0.375</v>
      </c>
      <c r="Q16" s="48"/>
      <c r="R16" s="46">
        <v>0.40069444444444446</v>
      </c>
      <c r="S16" s="41">
        <v>0.4111111111111111</v>
      </c>
      <c r="T16" s="48"/>
      <c r="U16" s="46">
        <v>0.45625</v>
      </c>
      <c r="V16" s="48"/>
      <c r="W16" s="46">
        <v>0.5118055555555555</v>
      </c>
      <c r="X16" s="46">
        <v>0.5222222222222223</v>
      </c>
      <c r="Y16" s="48"/>
      <c r="Z16" s="41">
        <v>0.5256944444444445</v>
      </c>
      <c r="AA16" s="46">
        <v>0.5986111111111111</v>
      </c>
      <c r="AB16" s="48"/>
      <c r="AC16" s="41">
        <v>0.6090277777777777</v>
      </c>
      <c r="AD16" s="46">
        <v>0.6159722222222223</v>
      </c>
      <c r="AE16" s="46">
        <v>0.6506944444444445</v>
      </c>
      <c r="AF16" s="48"/>
      <c r="AG16" s="41">
        <v>0.6645833333333333</v>
      </c>
      <c r="AH16" s="46">
        <v>0.6888888888888889</v>
      </c>
      <c r="AI16" s="46">
        <v>0.7027777777777777</v>
      </c>
      <c r="AJ16" s="48"/>
      <c r="AK16" s="41">
        <v>0.7201388888888889</v>
      </c>
      <c r="AL16" s="48"/>
      <c r="AM16" s="46">
        <v>0.75</v>
      </c>
      <c r="AN16" s="46">
        <v>0.7583333333333333</v>
      </c>
      <c r="AO16" s="41">
        <v>0.7652777777777777</v>
      </c>
      <c r="AP16" s="48"/>
      <c r="AQ16" s="46">
        <v>0.7826388888888889</v>
      </c>
      <c r="AR16" s="48"/>
      <c r="AS16" s="41">
        <v>0.8</v>
      </c>
      <c r="AT16" s="46">
        <v>0.8277777777777777</v>
      </c>
      <c r="AU16" s="34"/>
      <c r="AV16" s="34"/>
      <c r="AW16" s="34"/>
    </row>
    <row r="17">
      <c r="A17" s="39" t="s">
        <v>61</v>
      </c>
      <c r="B17" s="44" t="s">
        <v>62</v>
      </c>
      <c r="C17" s="46">
        <v>0.2298611111111111</v>
      </c>
      <c r="D17" s="48"/>
      <c r="E17" s="41">
        <v>0.23680555555555555</v>
      </c>
      <c r="F17" s="46">
        <v>0.27152777777777776</v>
      </c>
      <c r="G17" s="41">
        <v>0.26805555555555555</v>
      </c>
      <c r="H17" s="48"/>
      <c r="I17" s="46">
        <v>0.28194444444444444</v>
      </c>
      <c r="J17" s="41">
        <v>0.3215277777777778</v>
      </c>
      <c r="K17" s="48"/>
      <c r="L17" s="46">
        <v>0.3236111111111111</v>
      </c>
      <c r="M17" s="46">
        <v>0.33402777777777776</v>
      </c>
      <c r="N17" s="41">
        <v>0.36180555555555555</v>
      </c>
      <c r="O17" s="48"/>
      <c r="P17" s="46">
        <v>0.37777777777777777</v>
      </c>
      <c r="Q17" s="48"/>
      <c r="R17" s="46">
        <v>0.40347222222222223</v>
      </c>
      <c r="S17" s="41">
        <v>0.41388888888888886</v>
      </c>
      <c r="T17" s="48"/>
      <c r="U17" s="46">
        <v>0.45902777777777776</v>
      </c>
      <c r="V17" s="48"/>
      <c r="W17" s="46">
        <v>0.5145833333333333</v>
      </c>
      <c r="X17" s="46">
        <v>0.525</v>
      </c>
      <c r="Y17" s="48"/>
      <c r="Z17" s="41">
        <v>0.5284722222222222</v>
      </c>
      <c r="AA17" s="46">
        <v>0.6013888888888889</v>
      </c>
      <c r="AB17" s="48"/>
      <c r="AC17" s="41">
        <v>0.6118055555555556</v>
      </c>
      <c r="AD17" s="46">
        <v>0.61875</v>
      </c>
      <c r="AE17" s="46">
        <v>0.6534722222222222</v>
      </c>
      <c r="AF17" s="48"/>
      <c r="AG17" s="41">
        <v>0.6673611111111111</v>
      </c>
      <c r="AH17" s="46">
        <v>0.6916666666666667</v>
      </c>
      <c r="AI17" s="46">
        <v>0.7055555555555556</v>
      </c>
      <c r="AJ17" s="48"/>
      <c r="AK17" s="41">
        <v>0.7229166666666667</v>
      </c>
      <c r="AL17" s="48"/>
      <c r="AM17" s="46">
        <v>0.7527777777777778</v>
      </c>
      <c r="AN17" s="46">
        <v>0.7611111111111111</v>
      </c>
      <c r="AO17" s="41">
        <v>0.7680555555555556</v>
      </c>
      <c r="AP17" s="48"/>
      <c r="AQ17" s="46">
        <v>0.7854166666666667</v>
      </c>
      <c r="AR17" s="48"/>
      <c r="AS17" s="41">
        <v>0.8027777777777778</v>
      </c>
      <c r="AT17" s="46">
        <v>0.8305555555555556</v>
      </c>
      <c r="AU17" s="34"/>
      <c r="AV17" s="34"/>
      <c r="AW17" s="34"/>
    </row>
    <row r="18">
      <c r="A18" s="39" t="s">
        <v>59</v>
      </c>
      <c r="B18" s="44" t="s">
        <v>60</v>
      </c>
      <c r="C18" s="46">
        <v>0.23402777777777778</v>
      </c>
      <c r="D18" s="48"/>
      <c r="E18" s="41">
        <v>0.24097222222222223</v>
      </c>
      <c r="F18" s="46">
        <v>0.27569444444444446</v>
      </c>
      <c r="G18" s="41">
        <v>0.2722222222222222</v>
      </c>
      <c r="H18" s="48"/>
      <c r="I18" s="46">
        <v>0.2861111111111111</v>
      </c>
      <c r="J18" s="41">
        <v>0.32569444444444445</v>
      </c>
      <c r="K18" s="48"/>
      <c r="L18" s="46">
        <v>0.3277777777777778</v>
      </c>
      <c r="M18" s="46">
        <v>0.33819444444444446</v>
      </c>
      <c r="N18" s="41">
        <v>0.3659722222222222</v>
      </c>
      <c r="O18" s="48"/>
      <c r="P18" s="46">
        <v>0.3819444444444444</v>
      </c>
      <c r="Q18" s="48"/>
      <c r="R18" s="46">
        <v>0.4076388888888889</v>
      </c>
      <c r="S18" s="41">
        <v>0.41805555555555557</v>
      </c>
      <c r="T18" s="48"/>
      <c r="U18" s="46">
        <v>0.46319444444444446</v>
      </c>
      <c r="V18" s="48"/>
      <c r="W18" s="46">
        <v>0.51875</v>
      </c>
      <c r="X18" s="46">
        <v>0.5291666666666667</v>
      </c>
      <c r="Y18" s="48"/>
      <c r="Z18" s="41">
        <v>0.5326388888888889</v>
      </c>
      <c r="AA18" s="46">
        <v>0.6055555555555555</v>
      </c>
      <c r="AB18" s="48"/>
      <c r="AC18" s="41">
        <v>0.6159722222222223</v>
      </c>
      <c r="AD18" s="46">
        <v>0.6208333333333333</v>
      </c>
      <c r="AE18" s="46">
        <v>0.6576388888888889</v>
      </c>
      <c r="AF18" s="48"/>
      <c r="AG18" s="41">
        <v>0.6715277777777777</v>
      </c>
      <c r="AH18" s="46">
        <v>0.6958333333333333</v>
      </c>
      <c r="AI18" s="46">
        <v>0.7097222222222223</v>
      </c>
      <c r="AJ18" s="48"/>
      <c r="AK18" s="41">
        <v>0.7270833333333333</v>
      </c>
      <c r="AL18" s="48"/>
      <c r="AM18" s="46">
        <v>0.7569444444444444</v>
      </c>
      <c r="AN18" s="46">
        <v>0.7652777777777777</v>
      </c>
      <c r="AO18" s="41">
        <v>0.7722222222222223</v>
      </c>
      <c r="AP18" s="48"/>
      <c r="AQ18" s="46">
        <v>0.7895833333333333</v>
      </c>
      <c r="AR18" s="48"/>
      <c r="AS18" s="41">
        <v>0.8069444444444445</v>
      </c>
      <c r="AT18" s="46">
        <v>0.8326388888888889</v>
      </c>
      <c r="AU18" s="34"/>
      <c r="AV18" s="34"/>
      <c r="AW18" s="34"/>
    </row>
    <row r="19">
      <c r="A19" s="42" t="s">
        <v>57</v>
      </c>
      <c r="B19" s="44" t="s">
        <v>58</v>
      </c>
      <c r="C19" s="40"/>
      <c r="D19" s="48"/>
      <c r="E19" s="38">
        <v>0.24444444444444444</v>
      </c>
      <c r="F19" s="40"/>
      <c r="G19" s="38">
        <v>0.27569444444444446</v>
      </c>
      <c r="H19" s="48"/>
      <c r="I19" s="40"/>
      <c r="J19" s="38">
        <v>0.32916666666666666</v>
      </c>
      <c r="K19" s="48"/>
      <c r="L19" s="40"/>
      <c r="M19" s="40"/>
      <c r="N19" s="38">
        <v>0.36944444444444446</v>
      </c>
      <c r="O19" s="48"/>
      <c r="P19" s="40"/>
      <c r="Q19" s="48"/>
      <c r="R19" s="40"/>
      <c r="S19" s="38">
        <v>0.4215277777777778</v>
      </c>
      <c r="T19" s="48"/>
      <c r="U19" s="40"/>
      <c r="V19" s="48"/>
      <c r="W19" s="40"/>
      <c r="X19" s="40"/>
      <c r="Y19" s="48"/>
      <c r="Z19" s="38">
        <v>0.5361111111111111</v>
      </c>
      <c r="AA19" s="40"/>
      <c r="AB19" s="48"/>
      <c r="AC19" s="38">
        <v>0.6194444444444445</v>
      </c>
      <c r="AD19" s="40"/>
      <c r="AE19" s="40"/>
      <c r="AF19" s="48"/>
      <c r="AG19" s="38">
        <v>0.675</v>
      </c>
      <c r="AH19" s="40"/>
      <c r="AI19" s="40"/>
      <c r="AJ19" s="48"/>
      <c r="AK19" s="38">
        <v>0.7305555555555555</v>
      </c>
      <c r="AL19" s="48"/>
      <c r="AM19" s="40"/>
      <c r="AN19" s="40"/>
      <c r="AO19" s="38">
        <v>0.7756944444444445</v>
      </c>
      <c r="AP19" s="48"/>
      <c r="AQ19" s="40"/>
      <c r="AR19" s="48"/>
      <c r="AS19" s="38">
        <v>0.8104166666666667</v>
      </c>
      <c r="AT19" s="40"/>
      <c r="AU19" s="34"/>
      <c r="AV19" s="34"/>
      <c r="AW19" s="34"/>
    </row>
    <row r="20">
      <c r="A20" s="42" t="s">
        <v>55</v>
      </c>
      <c r="B20" s="44" t="s">
        <v>56</v>
      </c>
      <c r="C20" s="40"/>
      <c r="D20" s="48"/>
      <c r="E20" s="38">
        <v>0.24583333333333332</v>
      </c>
      <c r="F20" s="40"/>
      <c r="G20" s="38">
        <v>0.27708333333333335</v>
      </c>
      <c r="H20" s="48"/>
      <c r="I20" s="40"/>
      <c r="J20" s="38">
        <v>0.33055555555555555</v>
      </c>
      <c r="K20" s="48"/>
      <c r="L20" s="40"/>
      <c r="M20" s="40"/>
      <c r="N20" s="38">
        <v>0.37083333333333335</v>
      </c>
      <c r="O20" s="48"/>
      <c r="P20" s="40"/>
      <c r="Q20" s="48"/>
      <c r="R20" s="40"/>
      <c r="S20" s="38">
        <v>0.42291666666666666</v>
      </c>
      <c r="T20" s="48"/>
      <c r="U20" s="40"/>
      <c r="V20" s="48"/>
      <c r="W20" s="40"/>
      <c r="X20" s="40"/>
      <c r="Y20" s="48"/>
      <c r="Z20" s="38">
        <v>0.5375</v>
      </c>
      <c r="AA20" s="40"/>
      <c r="AB20" s="48"/>
      <c r="AC20" s="38">
        <v>0.6208333333333333</v>
      </c>
      <c r="AD20" s="40"/>
      <c r="AE20" s="40"/>
      <c r="AF20" s="48"/>
      <c r="AG20" s="38">
        <v>0.6763888888888889</v>
      </c>
      <c r="AH20" s="40"/>
      <c r="AI20" s="40"/>
      <c r="AJ20" s="48"/>
      <c r="AK20" s="38">
        <v>0.7319444444444444</v>
      </c>
      <c r="AL20" s="48"/>
      <c r="AM20" s="40"/>
      <c r="AN20" s="40"/>
      <c r="AO20" s="38">
        <v>0.7770833333333333</v>
      </c>
      <c r="AP20" s="48"/>
      <c r="AQ20" s="40"/>
      <c r="AR20" s="48"/>
      <c r="AS20" s="38">
        <v>0.8118055555555556</v>
      </c>
      <c r="AT20" s="40"/>
      <c r="AU20" s="34"/>
      <c r="AV20" s="34"/>
      <c r="AW20" s="34"/>
    </row>
    <row r="21">
      <c r="A21" s="49" t="s">
        <v>53</v>
      </c>
      <c r="B21" s="44" t="s">
        <v>54</v>
      </c>
      <c r="C21" s="50"/>
      <c r="D21" s="51"/>
      <c r="E21" s="52">
        <v>0.24791666666666667</v>
      </c>
      <c r="F21" s="50"/>
      <c r="G21" s="52">
        <v>0.2791666666666667</v>
      </c>
      <c r="H21" s="51"/>
      <c r="I21" s="50"/>
      <c r="J21" s="52">
        <v>0.3326388888888889</v>
      </c>
      <c r="K21" s="51"/>
      <c r="L21" s="50"/>
      <c r="M21" s="50"/>
      <c r="N21" s="52">
        <v>0.3729166666666667</v>
      </c>
      <c r="O21" s="51"/>
      <c r="P21" s="50"/>
      <c r="Q21" s="51"/>
      <c r="R21" s="50"/>
      <c r="S21" s="52">
        <v>0.425</v>
      </c>
      <c r="T21" s="51"/>
      <c r="U21" s="50"/>
      <c r="V21" s="51"/>
      <c r="W21" s="50"/>
      <c r="X21" s="50"/>
      <c r="Y21" s="51"/>
      <c r="Z21" s="52">
        <v>0.5395833333333333</v>
      </c>
      <c r="AA21" s="50"/>
      <c r="AB21" s="51"/>
      <c r="AC21" s="52">
        <v>0.6229166666666667</v>
      </c>
      <c r="AD21" s="50"/>
      <c r="AE21" s="50"/>
      <c r="AF21" s="51"/>
      <c r="AG21" s="52">
        <v>0.6784722222222223</v>
      </c>
      <c r="AH21" s="50"/>
      <c r="AI21" s="50"/>
      <c r="AJ21" s="51"/>
      <c r="AK21" s="52">
        <v>0.7340277777777777</v>
      </c>
      <c r="AL21" s="51"/>
      <c r="AM21" s="50"/>
      <c r="AN21" s="50"/>
      <c r="AO21" s="52">
        <v>0.7791666666666667</v>
      </c>
      <c r="AP21" s="51"/>
      <c r="AQ21" s="50"/>
      <c r="AR21" s="51"/>
      <c r="AS21" s="52">
        <v>0.8138888888888889</v>
      </c>
      <c r="AT21" s="50"/>
      <c r="AU21" s="53"/>
      <c r="AV21" s="53"/>
      <c r="AW21" s="53"/>
    </row>
    <row r="22">
      <c r="A22" s="39" t="s">
        <v>51</v>
      </c>
      <c r="B22" s="44" t="s">
        <v>52</v>
      </c>
      <c r="C22" s="46">
        <v>0.23680555555555555</v>
      </c>
      <c r="D22" s="48"/>
      <c r="E22" s="34"/>
      <c r="F22" s="46">
        <v>0.27847222222222223</v>
      </c>
      <c r="G22" s="34"/>
      <c r="H22" s="48"/>
      <c r="I22" s="46">
        <v>0.28888888888888886</v>
      </c>
      <c r="J22" s="34"/>
      <c r="K22" s="48"/>
      <c r="L22" s="46">
        <v>0.33055555555555555</v>
      </c>
      <c r="M22" s="46">
        <v>0.34097222222222223</v>
      </c>
      <c r="N22" s="34"/>
      <c r="O22" s="48"/>
      <c r="P22" s="46">
        <v>0.38472222222222224</v>
      </c>
      <c r="Q22" s="48"/>
      <c r="R22" s="46">
        <v>0.41041666666666665</v>
      </c>
      <c r="S22" s="34"/>
      <c r="T22" s="48"/>
      <c r="U22" s="46">
        <v>0.46597222222222223</v>
      </c>
      <c r="V22" s="48"/>
      <c r="W22" s="46">
        <v>0.5215277777777778</v>
      </c>
      <c r="X22" s="46">
        <v>0.5319444444444444</v>
      </c>
      <c r="Y22" s="48"/>
      <c r="Z22" s="34"/>
      <c r="AA22" s="46">
        <v>0.6083333333333333</v>
      </c>
      <c r="AB22" s="48"/>
      <c r="AC22" s="34"/>
      <c r="AD22" s="46">
        <v>0.6236111111111111</v>
      </c>
      <c r="AE22" s="46">
        <v>0.6604166666666667</v>
      </c>
      <c r="AF22" s="48"/>
      <c r="AG22" s="34"/>
      <c r="AH22" s="46">
        <v>0.6986111111111111</v>
      </c>
      <c r="AI22" s="46">
        <v>0.7125</v>
      </c>
      <c r="AJ22" s="48"/>
      <c r="AK22" s="34"/>
      <c r="AL22" s="48"/>
      <c r="AM22" s="46">
        <v>0.7597222222222222</v>
      </c>
      <c r="AN22" s="46">
        <v>0.7680555555555556</v>
      </c>
      <c r="AO22" s="34"/>
      <c r="AP22" s="48"/>
      <c r="AQ22" s="46">
        <v>0.7923611111111111</v>
      </c>
      <c r="AR22" s="48"/>
      <c r="AS22" s="34"/>
      <c r="AT22" s="46">
        <v>0.8354166666666667</v>
      </c>
      <c r="AU22" s="34"/>
      <c r="AV22" s="34"/>
      <c r="AW22" s="34"/>
    </row>
    <row r="23">
      <c r="A23" s="54" t="s">
        <v>49</v>
      </c>
      <c r="B23" s="44" t="s">
        <v>50</v>
      </c>
      <c r="C23" s="46">
        <v>0.23958333333333334</v>
      </c>
      <c r="D23" s="48"/>
      <c r="E23" s="34"/>
      <c r="F23" s="46">
        <v>0.28125</v>
      </c>
      <c r="G23" s="34"/>
      <c r="H23" s="48"/>
      <c r="I23" s="46">
        <v>0.2916666666666667</v>
      </c>
      <c r="J23" s="34"/>
      <c r="K23" s="48"/>
      <c r="L23" s="46">
        <v>0.3333333333333333</v>
      </c>
      <c r="M23" s="46">
        <v>0.34375</v>
      </c>
      <c r="N23" s="34"/>
      <c r="O23" s="48"/>
      <c r="P23" s="46">
        <v>0.3875</v>
      </c>
      <c r="Q23" s="48"/>
      <c r="R23" s="46">
        <v>0.4131944444444444</v>
      </c>
      <c r="S23" s="34"/>
      <c r="T23" s="48"/>
      <c r="U23" s="46">
        <v>0.46875</v>
      </c>
      <c r="V23" s="48"/>
      <c r="W23" s="46">
        <v>0.5243055555555556</v>
      </c>
      <c r="X23" s="46">
        <v>0.5347222222222222</v>
      </c>
      <c r="Y23" s="48"/>
      <c r="Z23" s="34"/>
      <c r="AA23" s="46">
        <v>0.6111111111111112</v>
      </c>
      <c r="AB23" s="48"/>
      <c r="AC23" s="34"/>
      <c r="AD23" s="46">
        <v>0.6263888888888889</v>
      </c>
      <c r="AE23" s="46">
        <v>0.6631944444444444</v>
      </c>
      <c r="AF23" s="48"/>
      <c r="AG23" s="34"/>
      <c r="AH23" s="46">
        <v>0.7013888888888888</v>
      </c>
      <c r="AI23" s="46">
        <v>0.7152777777777778</v>
      </c>
      <c r="AJ23" s="48"/>
      <c r="AK23" s="34"/>
      <c r="AL23" s="48"/>
      <c r="AM23" s="46">
        <v>0.7625</v>
      </c>
      <c r="AN23" s="46">
        <v>0.7708333333333334</v>
      </c>
      <c r="AO23" s="34"/>
      <c r="AP23" s="48"/>
      <c r="AQ23" s="46">
        <v>0.7951388888888888</v>
      </c>
      <c r="AR23" s="48"/>
      <c r="AS23" s="34"/>
      <c r="AT23" s="46">
        <v>0.8381944444444445</v>
      </c>
      <c r="AU23" s="34"/>
      <c r="AV23" s="34"/>
      <c r="AW23" s="34"/>
    </row>
    <row r="24">
      <c r="A24" s="55" t="s">
        <v>47</v>
      </c>
      <c r="B24" s="44" t="s">
        <v>48</v>
      </c>
      <c r="C24" s="56">
        <v>0.2423611111111111</v>
      </c>
      <c r="D24" s="51"/>
      <c r="E24" s="53"/>
      <c r="F24" s="56">
        <v>0.28402777777777777</v>
      </c>
      <c r="G24" s="53"/>
      <c r="H24" s="51"/>
      <c r="I24" s="56">
        <v>0.29444444444444445</v>
      </c>
      <c r="J24" s="53"/>
      <c r="K24" s="51"/>
      <c r="L24" s="56">
        <v>0.33611111111111114</v>
      </c>
      <c r="M24" s="56">
        <v>0.34652777777777777</v>
      </c>
      <c r="N24" s="53"/>
      <c r="O24" s="51"/>
      <c r="P24" s="56">
        <v>0.3902777777777778</v>
      </c>
      <c r="Q24" s="51"/>
      <c r="R24" s="56">
        <v>0.41597222222222224</v>
      </c>
      <c r="S24" s="53"/>
      <c r="T24" s="51"/>
      <c r="U24" s="56">
        <v>0.47152777777777777</v>
      </c>
      <c r="V24" s="51"/>
      <c r="W24" s="56">
        <v>0.5270833333333333</v>
      </c>
      <c r="X24" s="56">
        <v>0.5375</v>
      </c>
      <c r="Y24" s="51"/>
      <c r="Z24" s="53"/>
      <c r="AA24" s="56">
        <v>0.6138888888888889</v>
      </c>
      <c r="AB24" s="51"/>
      <c r="AC24" s="53"/>
      <c r="AD24" s="56">
        <v>0.6319444444444444</v>
      </c>
      <c r="AE24" s="56">
        <v>0.6659722222222222</v>
      </c>
      <c r="AF24" s="51"/>
      <c r="AG24" s="53"/>
      <c r="AH24" s="56">
        <v>0.7013888888888888</v>
      </c>
      <c r="AI24" s="56">
        <v>0.7180555555555556</v>
      </c>
      <c r="AJ24" s="51"/>
      <c r="AK24" s="53"/>
      <c r="AL24" s="51"/>
      <c r="AM24" s="56">
        <v>0.7652777777777777</v>
      </c>
      <c r="AN24" s="56">
        <v>0.7736111111111111</v>
      </c>
      <c r="AO24" s="53"/>
      <c r="AP24" s="51"/>
      <c r="AQ24" s="56">
        <v>0.7986111111111112</v>
      </c>
      <c r="AR24" s="51"/>
      <c r="AS24" s="53"/>
      <c r="AT24" s="56">
        <v>0.8409722222222222</v>
      </c>
      <c r="AU24" s="53"/>
      <c r="AV24" s="53"/>
      <c r="AW24" s="53"/>
    </row>
    <row r="25">
      <c r="A25" s="54" t="s">
        <v>45</v>
      </c>
      <c r="B25" s="44" t="s">
        <v>46</v>
      </c>
      <c r="C25" s="46">
        <v>0.24513888888888888</v>
      </c>
      <c r="D25" s="48"/>
      <c r="E25" s="34"/>
      <c r="F25" s="34"/>
      <c r="G25" s="34"/>
      <c r="H25" s="48"/>
      <c r="I25" s="46">
        <v>0.2972222222222222</v>
      </c>
      <c r="J25" s="34"/>
      <c r="K25" s="48"/>
      <c r="L25" s="34"/>
      <c r="M25" s="46">
        <v>0.34930555555555554</v>
      </c>
      <c r="N25" s="34"/>
      <c r="O25" s="48"/>
      <c r="P25" s="34"/>
      <c r="Q25" s="48"/>
      <c r="R25" s="46">
        <v>0.41875</v>
      </c>
      <c r="S25" s="34"/>
      <c r="T25" s="48"/>
      <c r="U25" s="46">
        <v>0.47430555555555554</v>
      </c>
      <c r="V25" s="48"/>
      <c r="W25" s="46">
        <v>0.5298611111111111</v>
      </c>
      <c r="X25" s="57">
        <v>0.5451388888888888</v>
      </c>
      <c r="Y25" s="48"/>
      <c r="Z25" s="34"/>
      <c r="AA25" s="46">
        <v>0.6166666666666667</v>
      </c>
      <c r="AB25" s="48"/>
      <c r="AC25" s="34"/>
      <c r="AD25" s="34"/>
      <c r="AE25" s="46">
        <v>0.66875</v>
      </c>
      <c r="AF25" s="48"/>
      <c r="AG25" s="34"/>
      <c r="AH25" s="34"/>
      <c r="AI25" s="46">
        <v>0.7208333333333333</v>
      </c>
      <c r="AJ25" s="48"/>
      <c r="AK25" s="34"/>
      <c r="AL25" s="48"/>
      <c r="AM25" s="34"/>
      <c r="AN25" s="46">
        <v>0.7763888888888889</v>
      </c>
      <c r="AO25" s="34"/>
      <c r="AP25" s="48"/>
      <c r="AQ25" s="34"/>
      <c r="AR25" s="48"/>
      <c r="AS25" s="34"/>
      <c r="AT25" s="46">
        <v>0.84375</v>
      </c>
      <c r="AU25" s="34"/>
      <c r="AV25" s="34"/>
      <c r="AW25" s="34"/>
    </row>
    <row r="26">
      <c r="A26" s="54" t="s">
        <v>43</v>
      </c>
      <c r="B26" s="44" t="s">
        <v>44</v>
      </c>
      <c r="C26" s="46">
        <v>0.24791666666666667</v>
      </c>
      <c r="D26" s="48"/>
      <c r="E26" s="34"/>
      <c r="F26" s="34"/>
      <c r="G26" s="34"/>
      <c r="H26" s="48"/>
      <c r="I26" s="46">
        <v>0.3</v>
      </c>
      <c r="J26" s="34"/>
      <c r="K26" s="48"/>
      <c r="L26" s="34"/>
      <c r="M26" s="46">
        <v>0.35208333333333336</v>
      </c>
      <c r="N26" s="34"/>
      <c r="O26" s="48"/>
      <c r="P26" s="34"/>
      <c r="Q26" s="48"/>
      <c r="R26" s="46">
        <v>0.4215277777777778</v>
      </c>
      <c r="S26" s="34"/>
      <c r="T26" s="48"/>
      <c r="U26" s="46">
        <v>0.47708333333333336</v>
      </c>
      <c r="V26" s="48"/>
      <c r="W26" s="46">
        <v>0.5326388888888889</v>
      </c>
      <c r="X26" s="34"/>
      <c r="Y26" s="48"/>
      <c r="Z26" s="34"/>
      <c r="AA26" s="46">
        <v>0.6194444444444445</v>
      </c>
      <c r="AB26" s="48"/>
      <c r="AC26" s="34"/>
      <c r="AD26" s="34"/>
      <c r="AE26" s="46">
        <v>0.6715277777777777</v>
      </c>
      <c r="AF26" s="48"/>
      <c r="AG26" s="34"/>
      <c r="AH26" s="34"/>
      <c r="AI26" s="46">
        <v>0.7236111111111111</v>
      </c>
      <c r="AJ26" s="48"/>
      <c r="AK26" s="34"/>
      <c r="AL26" s="48"/>
      <c r="AM26" s="34"/>
      <c r="AN26" s="46">
        <v>0.7791666666666667</v>
      </c>
      <c r="AO26" s="34"/>
      <c r="AP26" s="48"/>
      <c r="AQ26" s="34"/>
      <c r="AR26" s="48"/>
      <c r="AS26" s="34"/>
      <c r="AT26" s="46">
        <v>0.8465277777777778</v>
      </c>
      <c r="AU26" s="34"/>
      <c r="AV26" s="34"/>
      <c r="AW26" s="34"/>
    </row>
    <row r="27">
      <c r="A27" s="54" t="s">
        <v>41</v>
      </c>
      <c r="B27" s="44" t="s">
        <v>42</v>
      </c>
      <c r="C27" s="46">
        <v>0.25</v>
      </c>
      <c r="D27" s="48"/>
      <c r="E27" s="34"/>
      <c r="F27" s="34"/>
      <c r="G27" s="34"/>
      <c r="H27" s="48"/>
      <c r="I27" s="46">
        <v>0.3020833333333333</v>
      </c>
      <c r="J27" s="34"/>
      <c r="K27" s="48"/>
      <c r="L27" s="34"/>
      <c r="M27" s="46">
        <v>0.3541666666666667</v>
      </c>
      <c r="N27" s="34"/>
      <c r="O27" s="48"/>
      <c r="P27" s="34"/>
      <c r="Q27" s="48"/>
      <c r="R27" s="46">
        <v>0.4236111111111111</v>
      </c>
      <c r="S27" s="34"/>
      <c r="T27" s="48"/>
      <c r="U27" s="46">
        <v>0.4791666666666667</v>
      </c>
      <c r="V27" s="48"/>
      <c r="W27" s="46">
        <v>0.5347222222222222</v>
      </c>
      <c r="X27" s="34"/>
      <c r="Y27" s="48"/>
      <c r="Z27" s="34"/>
      <c r="AA27" s="46">
        <v>0.6215277777777778</v>
      </c>
      <c r="AB27" s="48"/>
      <c r="AC27" s="34"/>
      <c r="AD27" s="34"/>
      <c r="AE27" s="46">
        <v>0.6736111111111112</v>
      </c>
      <c r="AF27" s="48"/>
      <c r="AG27" s="34"/>
      <c r="AH27" s="34"/>
      <c r="AI27" s="46">
        <v>0.7256944444444444</v>
      </c>
      <c r="AJ27" s="48"/>
      <c r="AK27" s="34"/>
      <c r="AL27" s="48"/>
      <c r="AM27" s="34"/>
      <c r="AN27" s="46">
        <v>0.78125</v>
      </c>
      <c r="AO27" s="34"/>
      <c r="AP27" s="48"/>
      <c r="AQ27" s="34"/>
      <c r="AR27" s="48"/>
      <c r="AS27" s="34"/>
      <c r="AT27" s="46">
        <v>0.8486111111111111</v>
      </c>
      <c r="AU27" s="34"/>
      <c r="AV27" s="34"/>
      <c r="AW27" s="34"/>
    </row>
    <row r="28">
      <c r="A28" s="49" t="s">
        <v>39</v>
      </c>
      <c r="B28" s="44" t="s">
        <v>40</v>
      </c>
      <c r="C28" s="56">
        <v>0.25277777777777777</v>
      </c>
      <c r="D28" s="51"/>
      <c r="E28" s="53"/>
      <c r="F28" s="53"/>
      <c r="G28" s="53"/>
      <c r="H28" s="51"/>
      <c r="I28" s="56">
        <v>0.30486111111111114</v>
      </c>
      <c r="J28" s="53"/>
      <c r="K28" s="51"/>
      <c r="L28" s="53"/>
      <c r="M28" s="56">
        <v>0.3548611111111111</v>
      </c>
      <c r="N28" s="53"/>
      <c r="O28" s="51"/>
      <c r="P28" s="53"/>
      <c r="Q28" s="51"/>
      <c r="R28" s="56">
        <v>0.4263888888888889</v>
      </c>
      <c r="S28" s="53"/>
      <c r="T28" s="51"/>
      <c r="U28" s="56">
        <v>0.4798611111111111</v>
      </c>
      <c r="V28" s="51"/>
      <c r="W28" s="56">
        <v>0.5375</v>
      </c>
      <c r="X28" s="53"/>
      <c r="Y28" s="51"/>
      <c r="Z28" s="53"/>
      <c r="AA28" s="56">
        <v>0.6243055555555556</v>
      </c>
      <c r="AB28" s="51"/>
      <c r="AC28" s="53"/>
      <c r="AD28" s="53"/>
      <c r="AE28" s="56">
        <v>0.6743055555555556</v>
      </c>
      <c r="AF28" s="51"/>
      <c r="AG28" s="53"/>
      <c r="AH28" s="53"/>
      <c r="AI28" s="56">
        <v>0.7284722222222222</v>
      </c>
      <c r="AJ28" s="51"/>
      <c r="AK28" s="53"/>
      <c r="AL28" s="51"/>
      <c r="AM28" s="53"/>
      <c r="AN28" s="56">
        <v>0.7840277777777778</v>
      </c>
      <c r="AO28" s="53"/>
      <c r="AP28" s="51"/>
      <c r="AQ28" s="53"/>
      <c r="AR28" s="51"/>
      <c r="AS28" s="53"/>
      <c r="AT28" s="56">
        <v>0.8513888888888889</v>
      </c>
      <c r="AU28" s="53"/>
      <c r="AV28" s="53"/>
      <c r="AW28" s="53"/>
    </row>
    <row r="29">
      <c r="A29" s="58" t="s">
        <v>37</v>
      </c>
      <c r="B29" s="44" t="s">
        <v>38</v>
      </c>
      <c r="C29" s="34"/>
      <c r="D29" s="45">
        <v>0.23958333333333334</v>
      </c>
      <c r="E29" s="34"/>
      <c r="F29" s="34"/>
      <c r="G29" s="34"/>
      <c r="H29" s="45">
        <v>0.2743055555555556</v>
      </c>
      <c r="I29" s="34"/>
      <c r="J29" s="34"/>
      <c r="K29" s="45">
        <v>0.2986111111111111</v>
      </c>
      <c r="L29" s="34"/>
      <c r="M29" s="34"/>
      <c r="N29" s="34"/>
      <c r="O29" s="45">
        <v>0.3368055555555556</v>
      </c>
      <c r="P29" s="34"/>
      <c r="Q29" s="45">
        <v>0.3923611111111111</v>
      </c>
      <c r="R29" s="34"/>
      <c r="S29" s="34"/>
      <c r="T29" s="45">
        <v>0.4131944444444444</v>
      </c>
      <c r="U29" s="34"/>
      <c r="V29" s="45">
        <v>0.46875</v>
      </c>
      <c r="W29" s="34"/>
      <c r="X29" s="34"/>
      <c r="Y29" s="45">
        <v>0.5277777777777778</v>
      </c>
      <c r="Z29" s="34"/>
      <c r="AA29" s="34"/>
      <c r="AB29" s="45">
        <v>0.6041666666666666</v>
      </c>
      <c r="AC29" s="34"/>
      <c r="AD29" s="34"/>
      <c r="AE29" s="34"/>
      <c r="AF29" s="45">
        <v>0.6597222222222222</v>
      </c>
      <c r="AG29" s="34"/>
      <c r="AH29" s="34"/>
      <c r="AI29" s="34"/>
      <c r="AJ29" s="45">
        <v>0.7083333333333334</v>
      </c>
      <c r="AK29" s="34"/>
      <c r="AL29" s="45">
        <v>0.7291666666666666</v>
      </c>
      <c r="AM29" s="34"/>
      <c r="AN29" s="34"/>
      <c r="AO29" s="34"/>
      <c r="AP29" s="45">
        <v>0.7708333333333334</v>
      </c>
      <c r="AQ29" s="34"/>
      <c r="AR29" s="45">
        <v>0.7916666666666666</v>
      </c>
      <c r="AS29" s="34"/>
      <c r="AT29" s="34"/>
      <c r="AU29" s="34"/>
      <c r="AV29" s="34"/>
      <c r="AW29" s="34"/>
    </row>
    <row r="30">
      <c r="A30" s="58" t="s">
        <v>35</v>
      </c>
      <c r="B30" s="44" t="s">
        <v>36</v>
      </c>
      <c r="C30" s="34"/>
      <c r="D30" s="45">
        <v>0.24305555555555555</v>
      </c>
      <c r="E30" s="34"/>
      <c r="F30" s="34"/>
      <c r="G30" s="34"/>
      <c r="H30" s="45">
        <v>0.2777777777777778</v>
      </c>
      <c r="I30" s="34"/>
      <c r="J30" s="34"/>
      <c r="K30" s="45">
        <v>0.3020833333333333</v>
      </c>
      <c r="L30" s="34"/>
      <c r="M30" s="34"/>
      <c r="N30" s="34"/>
      <c r="O30" s="45">
        <v>0.3402777777777778</v>
      </c>
      <c r="P30" s="34"/>
      <c r="Q30" s="45">
        <v>0.3958333333333333</v>
      </c>
      <c r="R30" s="34"/>
      <c r="S30" s="34"/>
      <c r="T30" s="45">
        <v>0.4166666666666667</v>
      </c>
      <c r="U30" s="34"/>
      <c r="V30" s="45">
        <v>0.4722222222222222</v>
      </c>
      <c r="W30" s="34"/>
      <c r="X30" s="34"/>
      <c r="Y30" s="45">
        <v>0.53125</v>
      </c>
      <c r="Z30" s="34"/>
      <c r="AA30" s="34"/>
      <c r="AB30" s="45">
        <v>0.6076388888888888</v>
      </c>
      <c r="AC30" s="34"/>
      <c r="AD30" s="34"/>
      <c r="AE30" s="34"/>
      <c r="AF30" s="45">
        <v>0.6631944444444444</v>
      </c>
      <c r="AG30" s="34"/>
      <c r="AH30" s="34"/>
      <c r="AI30" s="34"/>
      <c r="AJ30" s="45">
        <v>0.7118055555555556</v>
      </c>
      <c r="AK30" s="34"/>
      <c r="AL30" s="45">
        <v>0.7326388888888888</v>
      </c>
      <c r="AM30" s="34"/>
      <c r="AN30" s="34"/>
      <c r="AO30" s="34"/>
      <c r="AP30" s="45">
        <v>0.7743055555555556</v>
      </c>
      <c r="AQ30" s="34"/>
      <c r="AR30" s="45">
        <v>0.7951388888888888</v>
      </c>
      <c r="AS30" s="34"/>
      <c r="AT30" s="34"/>
      <c r="AU30" s="34"/>
      <c r="AV30" s="34"/>
      <c r="AW30" s="34"/>
    </row>
    <row r="31">
      <c r="A31" s="58" t="s">
        <v>33</v>
      </c>
      <c r="B31" s="44" t="s">
        <v>34</v>
      </c>
      <c r="C31" s="34"/>
      <c r="D31" s="45">
        <v>0.24513888888888888</v>
      </c>
      <c r="E31" s="34"/>
      <c r="F31" s="34"/>
      <c r="G31" s="34"/>
      <c r="H31" s="45">
        <v>0.2798611111111111</v>
      </c>
      <c r="I31" s="34"/>
      <c r="J31" s="34"/>
      <c r="K31" s="45">
        <v>0.30416666666666664</v>
      </c>
      <c r="L31" s="34"/>
      <c r="M31" s="34"/>
      <c r="N31" s="34"/>
      <c r="O31" s="45">
        <v>0.3423611111111111</v>
      </c>
      <c r="P31" s="34"/>
      <c r="Q31" s="45">
        <v>0.39791666666666664</v>
      </c>
      <c r="R31" s="34"/>
      <c r="S31" s="34"/>
      <c r="T31" s="45">
        <v>0.41875</v>
      </c>
      <c r="U31" s="34"/>
      <c r="V31" s="45">
        <v>0.47430555555555554</v>
      </c>
      <c r="W31" s="34"/>
      <c r="X31" s="34"/>
      <c r="Y31" s="45">
        <v>0.5333333333333333</v>
      </c>
      <c r="Z31" s="34"/>
      <c r="AA31" s="34"/>
      <c r="AB31" s="45">
        <v>0.6097222222222223</v>
      </c>
      <c r="AC31" s="34"/>
      <c r="AD31" s="34"/>
      <c r="AE31" s="34"/>
      <c r="AF31" s="45">
        <v>0.6652777777777777</v>
      </c>
      <c r="AG31" s="34"/>
      <c r="AH31" s="34"/>
      <c r="AI31" s="34"/>
      <c r="AJ31" s="45">
        <v>0.7138888888888889</v>
      </c>
      <c r="AK31" s="34"/>
      <c r="AL31" s="45">
        <v>0.7347222222222223</v>
      </c>
      <c r="AM31" s="34"/>
      <c r="AN31" s="34"/>
      <c r="AO31" s="34"/>
      <c r="AP31" s="45">
        <v>0.7763888888888889</v>
      </c>
      <c r="AQ31" s="34"/>
      <c r="AR31" s="45">
        <v>0.7972222222222223</v>
      </c>
      <c r="AS31" s="34"/>
      <c r="AT31" s="34"/>
      <c r="AU31" s="34"/>
      <c r="AV31" s="34"/>
      <c r="AW31" s="34"/>
    </row>
    <row r="32">
      <c r="A32" s="58" t="s">
        <v>31</v>
      </c>
      <c r="B32" s="44" t="s">
        <v>32</v>
      </c>
      <c r="C32" s="34"/>
      <c r="D32" s="45">
        <v>0.24791666666666667</v>
      </c>
      <c r="E32" s="34"/>
      <c r="F32" s="34"/>
      <c r="G32" s="34"/>
      <c r="H32" s="45">
        <v>0.2826388888888889</v>
      </c>
      <c r="I32" s="34"/>
      <c r="J32" s="34"/>
      <c r="K32" s="45">
        <v>0.30694444444444446</v>
      </c>
      <c r="L32" s="34"/>
      <c r="M32" s="34"/>
      <c r="N32" s="34"/>
      <c r="O32" s="45">
        <v>0.3451388888888889</v>
      </c>
      <c r="P32" s="34"/>
      <c r="Q32" s="45">
        <v>0.40069444444444446</v>
      </c>
      <c r="R32" s="34"/>
      <c r="S32" s="34"/>
      <c r="T32" s="45">
        <v>0.4215277777777778</v>
      </c>
      <c r="U32" s="34"/>
      <c r="V32" s="45">
        <v>0.47708333333333336</v>
      </c>
      <c r="W32" s="34"/>
      <c r="X32" s="34"/>
      <c r="Y32" s="45">
        <v>0.5361111111111111</v>
      </c>
      <c r="Z32" s="34"/>
      <c r="AA32" s="34"/>
      <c r="AB32" s="45">
        <v>0.6125</v>
      </c>
      <c r="AC32" s="34"/>
      <c r="AD32" s="34"/>
      <c r="AE32" s="34"/>
      <c r="AF32" s="45">
        <v>0.6680555555555555</v>
      </c>
      <c r="AG32" s="34"/>
      <c r="AH32" s="34"/>
      <c r="AI32" s="34"/>
      <c r="AJ32" s="45">
        <v>0.7166666666666667</v>
      </c>
      <c r="AK32" s="34"/>
      <c r="AL32" s="45">
        <v>0.7375</v>
      </c>
      <c r="AM32" s="34"/>
      <c r="AN32" s="34"/>
      <c r="AO32" s="34"/>
      <c r="AP32" s="45">
        <v>0.7791666666666667</v>
      </c>
      <c r="AQ32" s="34"/>
      <c r="AR32" s="45">
        <v>0.8</v>
      </c>
      <c r="AS32" s="34"/>
      <c r="AT32" s="34"/>
      <c r="AU32" s="34"/>
      <c r="AV32" s="34"/>
      <c r="AW32" s="34"/>
    </row>
    <row r="33">
      <c r="A33" s="58" t="s">
        <v>29</v>
      </c>
      <c r="B33" s="44" t="s">
        <v>30</v>
      </c>
      <c r="C33" s="34"/>
      <c r="D33" s="45">
        <v>0.25</v>
      </c>
      <c r="E33" s="34"/>
      <c r="F33" s="34"/>
      <c r="G33" s="34"/>
      <c r="H33" s="45">
        <v>0.2847222222222222</v>
      </c>
      <c r="I33" s="34"/>
      <c r="J33" s="34"/>
      <c r="K33" s="45">
        <v>0.3090277777777778</v>
      </c>
      <c r="L33" s="34"/>
      <c r="M33" s="34"/>
      <c r="N33" s="34"/>
      <c r="O33" s="45">
        <v>0.3472222222222222</v>
      </c>
      <c r="P33" s="34"/>
      <c r="Q33" s="45">
        <v>0.4027777777777778</v>
      </c>
      <c r="R33" s="34"/>
      <c r="S33" s="34"/>
      <c r="T33" s="45">
        <v>0.4236111111111111</v>
      </c>
      <c r="U33" s="34"/>
      <c r="V33" s="45">
        <v>0.4791666666666667</v>
      </c>
      <c r="W33" s="34"/>
      <c r="X33" s="34"/>
      <c r="Y33" s="45">
        <v>0.5381944444444444</v>
      </c>
      <c r="Z33" s="34"/>
      <c r="AA33" s="34"/>
      <c r="AB33" s="45">
        <v>0.6145833333333334</v>
      </c>
      <c r="AC33" s="34"/>
      <c r="AD33" s="34"/>
      <c r="AE33" s="34"/>
      <c r="AF33" s="45">
        <v>0.6701388888888888</v>
      </c>
      <c r="AG33" s="34"/>
      <c r="AH33" s="34"/>
      <c r="AI33" s="34"/>
      <c r="AJ33" s="45">
        <v>0.71875</v>
      </c>
      <c r="AK33" s="34"/>
      <c r="AL33" s="45">
        <v>0.7395833333333334</v>
      </c>
      <c r="AM33" s="34"/>
      <c r="AN33" s="34"/>
      <c r="AO33" s="34"/>
      <c r="AP33" s="45">
        <v>0.78125</v>
      </c>
      <c r="AQ33" s="34"/>
      <c r="AR33" s="45">
        <v>0.8020833333333334</v>
      </c>
      <c r="AS33" s="34"/>
      <c r="AT33" s="34"/>
      <c r="AU33" s="34"/>
      <c r="AV33" s="34"/>
      <c r="AW33" s="34"/>
    </row>
    <row r="34">
      <c r="A34" s="49" t="s">
        <v>27</v>
      </c>
      <c r="B34" s="44" t="s">
        <v>28</v>
      </c>
      <c r="C34" s="53"/>
      <c r="D34" s="59">
        <v>0.2534722222222222</v>
      </c>
      <c r="E34" s="53"/>
      <c r="F34" s="53"/>
      <c r="G34" s="53"/>
      <c r="H34" s="59">
        <v>0.2881944444444444</v>
      </c>
      <c r="I34" s="53"/>
      <c r="J34" s="53"/>
      <c r="K34" s="59">
        <v>0.3125</v>
      </c>
      <c r="L34" s="53"/>
      <c r="M34" s="53"/>
      <c r="N34" s="53"/>
      <c r="O34" s="59">
        <v>0.3506944444444444</v>
      </c>
      <c r="P34" s="53"/>
      <c r="Q34" s="59">
        <v>0.40625</v>
      </c>
      <c r="R34" s="53"/>
      <c r="S34" s="53"/>
      <c r="T34" s="59">
        <v>0.4270833333333333</v>
      </c>
      <c r="U34" s="53"/>
      <c r="V34" s="59">
        <v>0.4826388888888889</v>
      </c>
      <c r="W34" s="53"/>
      <c r="X34" s="53"/>
      <c r="Y34" s="59">
        <v>0.5416666666666666</v>
      </c>
      <c r="Z34" s="53"/>
      <c r="AA34" s="53"/>
      <c r="AB34" s="59">
        <v>0.6180555555555556</v>
      </c>
      <c r="AC34" s="53"/>
      <c r="AD34" s="53"/>
      <c r="AE34" s="53"/>
      <c r="AF34" s="59">
        <v>0.6736111111111112</v>
      </c>
      <c r="AG34" s="53"/>
      <c r="AH34" s="53"/>
      <c r="AI34" s="53"/>
      <c r="AJ34" s="59">
        <v>0.7222222222222222</v>
      </c>
      <c r="AK34" s="53"/>
      <c r="AL34" s="59">
        <v>0.7430555555555556</v>
      </c>
      <c r="AM34" s="53"/>
      <c r="AN34" s="53"/>
      <c r="AO34" s="53"/>
      <c r="AP34" s="59">
        <v>0.7847222222222222</v>
      </c>
      <c r="AQ34" s="53"/>
      <c r="AR34" s="59">
        <v>0.8055555555555556</v>
      </c>
      <c r="AS34" s="53"/>
      <c r="AT34" s="53"/>
      <c r="AU34" s="53"/>
      <c r="AV34" s="53"/>
      <c r="AW34" s="53"/>
    </row>
    <row r="35">
      <c r="A35" s="60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</row>
    <row r="36">
      <c r="A36" s="60"/>
      <c r="B36" s="34"/>
      <c r="C36" s="60"/>
      <c r="D36" s="60"/>
      <c r="E36" s="60"/>
      <c r="F36" s="60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</row>
    <row r="37">
      <c r="A37" s="60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</row>
    <row r="38">
      <c r="A38" s="60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</row>
    <row r="39">
      <c r="A39" s="60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61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</row>
    <row r="40">
      <c r="A40" s="36"/>
      <c r="B40" s="36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</row>
    <row r="41">
      <c r="A41" s="44"/>
      <c r="B41" s="36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</row>
    <row r="42">
      <c r="A42" s="44"/>
      <c r="B42" s="36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</row>
    <row r="43">
      <c r="A43" s="44"/>
      <c r="B43" s="36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</row>
    <row r="44">
      <c r="A44" s="44"/>
      <c r="B44" s="36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</row>
    <row r="45">
      <c r="A45" s="44"/>
      <c r="B45" s="36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</row>
    <row r="46">
      <c r="A46" s="44"/>
      <c r="B46" s="36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</row>
    <row r="47">
      <c r="A47" s="44"/>
      <c r="B47" s="36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</row>
    <row r="48">
      <c r="A48" s="18"/>
      <c r="B48" s="36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>
      <c r="A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>
      <c r="A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>
      <c r="A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>
      <c r="A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>
      <c r="A53" s="1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>
      <c r="A54" s="1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>
      <c r="A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>
      <c r="A56" s="1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>
      <c r="A57" s="1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>
      <c r="A58" s="1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>
      <c r="A59" s="1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>
      <c r="A60" s="1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>
      <c r="A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>
      <c r="A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>
      <c r="A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>
      <c r="A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>
      <c r="A65" s="1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>
      <c r="A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>
      <c r="A67" s="1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>
      <c r="A68" s="1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>
      <c r="A69" s="1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62" t="s">
        <v>91</v>
      </c>
      <c r="D2" s="6">
        <v>9400.0</v>
      </c>
      <c r="E2" s="6">
        <v>9300.0</v>
      </c>
      <c r="F2" s="6">
        <v>9900.0</v>
      </c>
      <c r="G2" s="6">
        <v>9002.0</v>
      </c>
      <c r="H2" s="6">
        <v>9402.0</v>
      </c>
      <c r="I2" s="6">
        <v>9302.0</v>
      </c>
      <c r="J2" s="6">
        <v>9902.0</v>
      </c>
      <c r="K2" s="6">
        <v>9004.0</v>
      </c>
      <c r="L2" s="6">
        <v>9404.0</v>
      </c>
      <c r="M2" s="6">
        <v>9904.0</v>
      </c>
      <c r="N2" s="6">
        <v>9304.0</v>
      </c>
      <c r="O2" s="6">
        <v>9006.0</v>
      </c>
      <c r="P2" s="6">
        <v>9406.0</v>
      </c>
      <c r="Q2" s="6">
        <v>9906.0</v>
      </c>
      <c r="R2" s="6">
        <v>9306.0</v>
      </c>
      <c r="S2" s="6">
        <v>9008.0</v>
      </c>
      <c r="T2" s="6">
        <v>9908.0</v>
      </c>
      <c r="U2" s="6">
        <v>9010.0</v>
      </c>
      <c r="V2" s="6">
        <v>9910.0</v>
      </c>
      <c r="W2" s="6">
        <v>9408.0</v>
      </c>
      <c r="X2" s="6">
        <v>9308.0</v>
      </c>
      <c r="Y2" s="6">
        <v>9012.0</v>
      </c>
      <c r="Z2" s="6">
        <v>9912.0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21" t="s">
        <v>27</v>
      </c>
      <c r="B3" s="22" t="s">
        <v>28</v>
      </c>
      <c r="C3" s="63" t="s">
        <v>27</v>
      </c>
      <c r="D3" s="64"/>
      <c r="E3" s="64"/>
      <c r="F3" s="64"/>
      <c r="G3" s="64">
        <v>0.24305555555555555</v>
      </c>
      <c r="H3" s="64"/>
      <c r="I3" s="64"/>
      <c r="J3" s="64"/>
      <c r="K3" s="64">
        <v>0.3055555555555556</v>
      </c>
      <c r="L3" s="64"/>
      <c r="M3" s="65"/>
      <c r="N3" s="65"/>
      <c r="O3" s="64">
        <v>0.3611111111111111</v>
      </c>
      <c r="P3" s="65"/>
      <c r="Q3" s="65"/>
      <c r="R3" s="65"/>
      <c r="S3" s="64">
        <v>0.4513888888888889</v>
      </c>
      <c r="T3" s="65"/>
      <c r="U3" s="64">
        <v>0.5069444444444444</v>
      </c>
      <c r="V3" s="65"/>
      <c r="W3" s="65"/>
      <c r="X3" s="65"/>
      <c r="Y3" s="64">
        <v>0.5625</v>
      </c>
      <c r="Z3" s="65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</row>
    <row r="4">
      <c r="A4" s="16" t="s">
        <v>29</v>
      </c>
      <c r="B4" s="24" t="s">
        <v>30</v>
      </c>
      <c r="C4" s="66" t="s">
        <v>29</v>
      </c>
      <c r="D4" s="66"/>
      <c r="E4" s="66"/>
      <c r="F4" s="66"/>
      <c r="G4" s="67">
        <v>0.24722222222222223</v>
      </c>
      <c r="H4" s="66"/>
      <c r="I4" s="66"/>
      <c r="J4" s="66"/>
      <c r="K4" s="67">
        <v>0.30972222222222223</v>
      </c>
      <c r="L4" s="66"/>
      <c r="M4" s="68"/>
      <c r="N4" s="68"/>
      <c r="O4" s="67">
        <v>0.36527777777777776</v>
      </c>
      <c r="P4" s="68"/>
      <c r="Q4" s="68"/>
      <c r="R4" s="68"/>
      <c r="S4" s="67">
        <v>0.45555555555555555</v>
      </c>
      <c r="T4" s="68"/>
      <c r="U4" s="67">
        <v>0.5111111111111111</v>
      </c>
      <c r="V4" s="68"/>
      <c r="W4" s="68"/>
      <c r="X4" s="68"/>
      <c r="Y4" s="67">
        <v>0.5666666666666667</v>
      </c>
      <c r="Z4" s="68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</row>
    <row r="5">
      <c r="A5" s="16" t="s">
        <v>31</v>
      </c>
      <c r="B5" s="24" t="s">
        <v>32</v>
      </c>
      <c r="C5" s="66" t="s">
        <v>31</v>
      </c>
      <c r="D5" s="66"/>
      <c r="E5" s="66"/>
      <c r="F5" s="66"/>
      <c r="G5" s="67">
        <v>0.24930555555555556</v>
      </c>
      <c r="H5" s="66"/>
      <c r="I5" s="66"/>
      <c r="J5" s="66"/>
      <c r="K5" s="67">
        <v>0.31180555555555556</v>
      </c>
      <c r="L5" s="66"/>
      <c r="M5" s="68"/>
      <c r="N5" s="68"/>
      <c r="O5" s="67">
        <v>0.36736111111111114</v>
      </c>
      <c r="P5" s="68"/>
      <c r="Q5" s="68"/>
      <c r="R5" s="68"/>
      <c r="S5" s="67">
        <v>0.4576388888888889</v>
      </c>
      <c r="T5" s="68"/>
      <c r="U5" s="67">
        <v>0.5131944444444444</v>
      </c>
      <c r="V5" s="68"/>
      <c r="W5" s="68"/>
      <c r="X5" s="68"/>
      <c r="Y5" s="67">
        <v>0.56875</v>
      </c>
      <c r="Z5" s="68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</row>
    <row r="6">
      <c r="A6" s="16" t="s">
        <v>33</v>
      </c>
      <c r="B6" s="24" t="s">
        <v>34</v>
      </c>
      <c r="C6" s="66" t="s">
        <v>33</v>
      </c>
      <c r="D6" s="67"/>
      <c r="E6" s="67"/>
      <c r="F6" s="67"/>
      <c r="G6" s="67">
        <v>0.2520833333333333</v>
      </c>
      <c r="H6" s="67"/>
      <c r="I6" s="67"/>
      <c r="J6" s="67"/>
      <c r="K6" s="67">
        <v>0.3145833333333333</v>
      </c>
      <c r="L6" s="67"/>
      <c r="M6" s="68"/>
      <c r="N6" s="68"/>
      <c r="O6" s="67">
        <v>0.3701388888888889</v>
      </c>
      <c r="P6" s="68"/>
      <c r="Q6" s="68"/>
      <c r="R6" s="68"/>
      <c r="S6" s="67">
        <v>0.46041666666666664</v>
      </c>
      <c r="T6" s="68"/>
      <c r="U6" s="67">
        <v>0.5159722222222223</v>
      </c>
      <c r="V6" s="68"/>
      <c r="W6" s="68"/>
      <c r="X6" s="68"/>
      <c r="Y6" s="67">
        <v>0.5715277777777777</v>
      </c>
      <c r="Z6" s="68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</row>
    <row r="7">
      <c r="A7" s="24" t="s">
        <v>35</v>
      </c>
      <c r="B7" s="24" t="s">
        <v>36</v>
      </c>
      <c r="C7" s="69" t="s">
        <v>35</v>
      </c>
      <c r="D7" s="69"/>
      <c r="E7" s="69"/>
      <c r="F7" s="69"/>
      <c r="G7" s="70">
        <v>0.2548611111111111</v>
      </c>
      <c r="H7" s="69"/>
      <c r="I7" s="69"/>
      <c r="J7" s="69"/>
      <c r="K7" s="70">
        <v>0.3173611111111111</v>
      </c>
      <c r="L7" s="69"/>
      <c r="M7" s="71"/>
      <c r="N7" s="71"/>
      <c r="O7" s="70">
        <v>0.3729166666666667</v>
      </c>
      <c r="P7" s="71"/>
      <c r="Q7" s="71"/>
      <c r="R7" s="71"/>
      <c r="S7" s="70">
        <v>0.46319444444444446</v>
      </c>
      <c r="T7" s="71"/>
      <c r="U7" s="70">
        <v>0.51875</v>
      </c>
      <c r="V7" s="71"/>
      <c r="W7" s="71"/>
      <c r="X7" s="71"/>
      <c r="Y7" s="70">
        <v>0.5743055555555555</v>
      </c>
      <c r="Z7" s="71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</row>
    <row r="8">
      <c r="A8" s="25" t="s">
        <v>37</v>
      </c>
      <c r="B8" s="24" t="s">
        <v>38</v>
      </c>
      <c r="C8" s="69" t="s">
        <v>37</v>
      </c>
      <c r="D8" s="70"/>
      <c r="E8" s="70"/>
      <c r="F8" s="70"/>
      <c r="G8" s="70">
        <v>0.2569444444444444</v>
      </c>
      <c r="H8" s="70"/>
      <c r="I8" s="70"/>
      <c r="J8" s="70"/>
      <c r="K8" s="70">
        <v>0.3194444444444444</v>
      </c>
      <c r="L8" s="70"/>
      <c r="M8" s="71"/>
      <c r="N8" s="71"/>
      <c r="O8" s="70">
        <v>0.375</v>
      </c>
      <c r="P8" s="71"/>
      <c r="Q8" s="71"/>
      <c r="R8" s="71"/>
      <c r="S8" s="70">
        <v>0.4652777777777778</v>
      </c>
      <c r="T8" s="71"/>
      <c r="U8" s="70">
        <v>0.5208333333333334</v>
      </c>
      <c r="V8" s="71"/>
      <c r="W8" s="71"/>
      <c r="X8" s="71"/>
      <c r="Y8" s="70">
        <v>0.5763888888888888</v>
      </c>
      <c r="Z8" s="71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</row>
    <row r="9">
      <c r="A9" s="26" t="s">
        <v>39</v>
      </c>
      <c r="B9" s="24" t="s">
        <v>40</v>
      </c>
      <c r="C9" s="72" t="s">
        <v>39</v>
      </c>
      <c r="D9" s="28"/>
      <c r="E9" s="72"/>
      <c r="F9" s="73">
        <v>0.2152777777777778</v>
      </c>
      <c r="G9" s="72"/>
      <c r="H9" s="72"/>
      <c r="I9" s="74">
        <v>0.2847222222222222</v>
      </c>
      <c r="J9" s="72"/>
      <c r="K9" s="72"/>
      <c r="L9" s="74">
        <v>0.3416666666666667</v>
      </c>
      <c r="M9" s="72"/>
      <c r="N9" s="72"/>
      <c r="O9" s="72"/>
      <c r="P9" s="73">
        <v>0.4027777777777778</v>
      </c>
      <c r="Q9" s="28"/>
      <c r="R9" s="72"/>
      <c r="S9" s="72"/>
      <c r="T9" s="73">
        <v>0.4548611111111111</v>
      </c>
      <c r="U9" s="72"/>
      <c r="V9" s="74">
        <v>0.5069444444444444</v>
      </c>
      <c r="W9" s="72"/>
      <c r="X9" s="72"/>
      <c r="Y9" s="72"/>
      <c r="Z9" s="73">
        <v>0.6041666666666666</v>
      </c>
      <c r="AA9" s="27"/>
      <c r="AB9" s="27"/>
      <c r="AC9" s="27"/>
      <c r="AD9" s="28"/>
      <c r="AE9" s="27"/>
      <c r="AF9" s="27"/>
      <c r="AG9" s="27"/>
      <c r="AH9" s="27"/>
      <c r="AI9" s="27"/>
      <c r="AJ9" s="27"/>
      <c r="AK9" s="28"/>
      <c r="AL9" s="27"/>
      <c r="AM9" s="27"/>
      <c r="AN9" s="27"/>
      <c r="AO9" s="28"/>
      <c r="AP9" s="28"/>
      <c r="AQ9" s="27"/>
      <c r="AR9" s="27"/>
      <c r="AS9" s="27"/>
      <c r="AT9" s="27"/>
      <c r="AU9" s="27"/>
      <c r="AV9" s="27"/>
      <c r="AW9" s="27"/>
    </row>
    <row r="10">
      <c r="A10" s="24" t="s">
        <v>41</v>
      </c>
      <c r="B10" s="24" t="s">
        <v>42</v>
      </c>
      <c r="AA10" s="22"/>
      <c r="AB10" s="22"/>
      <c r="AC10" s="22"/>
      <c r="AE10" s="22"/>
      <c r="AF10" s="22"/>
      <c r="AG10" s="22"/>
      <c r="AH10" s="22"/>
      <c r="AI10" s="22"/>
      <c r="AJ10" s="22"/>
      <c r="AL10" s="22"/>
      <c r="AM10" s="22"/>
      <c r="AN10" s="22"/>
      <c r="AQ10" s="22"/>
      <c r="AR10" s="22"/>
      <c r="AS10" s="22"/>
      <c r="AT10" s="22"/>
      <c r="AU10" s="22"/>
      <c r="AV10" s="22"/>
      <c r="AW10" s="22"/>
    </row>
    <row r="11">
      <c r="A11" s="24" t="s">
        <v>43</v>
      </c>
      <c r="B11" s="24" t="s">
        <v>44</v>
      </c>
      <c r="C11" s="71" t="s">
        <v>43</v>
      </c>
      <c r="E11" s="71"/>
      <c r="F11" s="70">
        <v>0.22013888888888888</v>
      </c>
      <c r="G11" s="71"/>
      <c r="H11" s="71"/>
      <c r="I11" s="75">
        <v>0.28958333333333336</v>
      </c>
      <c r="J11" s="71"/>
      <c r="K11" s="71"/>
      <c r="L11" s="75">
        <v>0.34652777777777777</v>
      </c>
      <c r="M11" s="71"/>
      <c r="N11" s="71"/>
      <c r="O11" s="71"/>
      <c r="P11" s="70">
        <v>0.4076388888888889</v>
      </c>
      <c r="R11" s="71"/>
      <c r="S11" s="71"/>
      <c r="T11" s="70">
        <v>0.4597222222222222</v>
      </c>
      <c r="U11" s="71"/>
      <c r="V11" s="75">
        <v>0.5118055555555555</v>
      </c>
      <c r="W11" s="71"/>
      <c r="X11" s="71"/>
      <c r="Y11" s="71"/>
      <c r="Z11" s="70">
        <v>0.6090277777777777</v>
      </c>
      <c r="AA11" s="22"/>
      <c r="AB11" s="22"/>
      <c r="AC11" s="22"/>
      <c r="AE11" s="22"/>
      <c r="AF11" s="22"/>
      <c r="AG11" s="22"/>
      <c r="AH11" s="22"/>
      <c r="AI11" s="22"/>
      <c r="AJ11" s="22"/>
      <c r="AL11" s="22"/>
      <c r="AM11" s="22"/>
      <c r="AN11" s="22"/>
      <c r="AQ11" s="22"/>
      <c r="AR11" s="22"/>
      <c r="AS11" s="22"/>
      <c r="AT11" s="22"/>
      <c r="AU11" s="22"/>
      <c r="AV11" s="22"/>
      <c r="AW11" s="22"/>
    </row>
    <row r="12">
      <c r="A12" s="24" t="s">
        <v>45</v>
      </c>
      <c r="B12" s="24" t="s">
        <v>46</v>
      </c>
      <c r="C12" s="71" t="s">
        <v>45</v>
      </c>
      <c r="E12" s="71"/>
      <c r="F12" s="70">
        <v>0.22291666666666668</v>
      </c>
      <c r="G12" s="71"/>
      <c r="H12" s="71"/>
      <c r="I12" s="75">
        <v>0.2923611111111111</v>
      </c>
      <c r="J12" s="71"/>
      <c r="K12" s="71"/>
      <c r="L12" s="75">
        <v>0.34930555555555554</v>
      </c>
      <c r="M12" s="71"/>
      <c r="N12" s="71"/>
      <c r="O12" s="71"/>
      <c r="P12" s="70">
        <v>0.41041666666666665</v>
      </c>
      <c r="R12" s="71"/>
      <c r="S12" s="71"/>
      <c r="T12" s="70">
        <v>0.4625</v>
      </c>
      <c r="U12" s="71"/>
      <c r="V12" s="75">
        <v>0.5145833333333333</v>
      </c>
      <c r="W12" s="71"/>
      <c r="X12" s="71"/>
      <c r="Y12" s="71"/>
      <c r="Z12" s="70">
        <v>0.6118055555555556</v>
      </c>
      <c r="AA12" s="22"/>
      <c r="AB12" s="22"/>
      <c r="AC12" s="22"/>
      <c r="AE12" s="22"/>
      <c r="AF12" s="22"/>
      <c r="AG12" s="22"/>
      <c r="AH12" s="22"/>
      <c r="AI12" s="22"/>
      <c r="AJ12" s="22"/>
      <c r="AL12" s="22"/>
      <c r="AM12" s="22"/>
      <c r="AN12" s="22"/>
      <c r="AQ12" s="22"/>
      <c r="AR12" s="22"/>
      <c r="AS12" s="22"/>
      <c r="AT12" s="22"/>
      <c r="AU12" s="22"/>
      <c r="AV12" s="22"/>
      <c r="AW12" s="22"/>
    </row>
    <row r="13">
      <c r="A13" s="26" t="s">
        <v>47</v>
      </c>
      <c r="B13" s="24" t="s">
        <v>48</v>
      </c>
      <c r="C13" s="71" t="s">
        <v>47</v>
      </c>
      <c r="D13" s="75">
        <v>0.19444444444444445</v>
      </c>
      <c r="E13" s="71"/>
      <c r="F13" s="70">
        <v>0.22569444444444445</v>
      </c>
      <c r="G13" s="71"/>
      <c r="H13" s="70">
        <v>0.25833333333333336</v>
      </c>
      <c r="I13" s="75">
        <v>0.2951388888888889</v>
      </c>
      <c r="J13" s="71"/>
      <c r="K13" s="70">
        <v>0.3159722222222222</v>
      </c>
      <c r="L13" s="75">
        <v>0.35208333333333336</v>
      </c>
      <c r="M13" s="71"/>
      <c r="N13" s="71"/>
      <c r="O13" s="70">
        <v>0.3715277777777778</v>
      </c>
      <c r="P13" s="70">
        <v>0.4131944444444444</v>
      </c>
      <c r="R13" s="71"/>
      <c r="S13" s="70">
        <v>0.4652777777777778</v>
      </c>
      <c r="T13" s="71"/>
      <c r="U13" s="70">
        <v>0.5173611111111112</v>
      </c>
      <c r="V13" s="75">
        <v>0.5451388888888888</v>
      </c>
      <c r="W13" s="71"/>
      <c r="X13" s="71"/>
      <c r="Y13" s="70">
        <v>0.6145833333333334</v>
      </c>
      <c r="Z13" s="71"/>
      <c r="AA13" s="27"/>
      <c r="AB13" s="28"/>
      <c r="AC13" s="27"/>
      <c r="AD13" s="28"/>
      <c r="AE13" s="29"/>
      <c r="AF13" s="28"/>
      <c r="AG13" s="28"/>
      <c r="AH13" s="27"/>
      <c r="AI13" s="28"/>
      <c r="AJ13" s="29"/>
      <c r="AK13" s="28"/>
      <c r="AL13" s="28"/>
      <c r="AM13" s="29"/>
      <c r="AN13" s="27"/>
      <c r="AO13" s="28"/>
      <c r="AP13" s="28"/>
      <c r="AQ13" s="29"/>
      <c r="AR13" s="28"/>
      <c r="AS13" s="27"/>
      <c r="AT13" s="28"/>
      <c r="AU13" s="29"/>
      <c r="AV13" s="27"/>
      <c r="AW13" s="27"/>
    </row>
    <row r="14">
      <c r="A14" s="24" t="s">
        <v>49</v>
      </c>
      <c r="B14" s="24" t="s">
        <v>50</v>
      </c>
      <c r="C14" s="72" t="s">
        <v>49</v>
      </c>
      <c r="D14" s="74">
        <v>0.19722222222222222</v>
      </c>
      <c r="E14" s="76"/>
      <c r="F14" s="73">
        <v>0.22847222222222222</v>
      </c>
      <c r="G14" s="72"/>
      <c r="H14" s="73">
        <v>0.2611111111111111</v>
      </c>
      <c r="I14" s="74">
        <v>0.29791666666666666</v>
      </c>
      <c r="J14" s="76"/>
      <c r="K14" s="73">
        <v>0.31875</v>
      </c>
      <c r="L14" s="74">
        <v>0.3548611111111111</v>
      </c>
      <c r="M14" s="72"/>
      <c r="N14" s="76"/>
      <c r="O14" s="74">
        <v>0.37430555555555556</v>
      </c>
      <c r="P14" s="73">
        <v>0.41597222222222224</v>
      </c>
      <c r="Q14" s="28"/>
      <c r="R14" s="76"/>
      <c r="S14" s="74">
        <v>0.46805555555555556</v>
      </c>
      <c r="T14" s="72"/>
      <c r="U14" s="73">
        <v>0.5201388888888889</v>
      </c>
      <c r="V14" s="74">
        <v>0.5479166666666667</v>
      </c>
      <c r="W14" s="76"/>
      <c r="X14" s="28"/>
      <c r="Y14" s="74">
        <v>0.6173611111111111</v>
      </c>
      <c r="Z14" s="76"/>
      <c r="AA14" s="22"/>
      <c r="AC14" s="22"/>
      <c r="AE14" s="22"/>
      <c r="AH14" s="22"/>
      <c r="AJ14" s="22"/>
      <c r="AM14" s="22"/>
      <c r="AN14" s="22"/>
      <c r="AQ14" s="22"/>
      <c r="AS14" s="22"/>
      <c r="AU14" s="22"/>
      <c r="AV14" s="22"/>
      <c r="AW14" s="22"/>
    </row>
    <row r="15">
      <c r="A15" s="24" t="s">
        <v>51</v>
      </c>
      <c r="B15" s="24" t="s">
        <v>52</v>
      </c>
      <c r="C15" s="71" t="s">
        <v>51</v>
      </c>
      <c r="D15" s="75">
        <v>0.19930555555555557</v>
      </c>
      <c r="E15" s="71"/>
      <c r="F15" s="70">
        <v>0.23055555555555557</v>
      </c>
      <c r="G15" s="71"/>
      <c r="H15" s="70">
        <v>0.26319444444444445</v>
      </c>
      <c r="I15" s="75">
        <v>0.3</v>
      </c>
      <c r="J15" s="71"/>
      <c r="K15" s="70">
        <v>0.32083333333333336</v>
      </c>
      <c r="L15" s="75">
        <v>0.35694444444444445</v>
      </c>
      <c r="M15" s="71"/>
      <c r="N15" s="71"/>
      <c r="O15" s="75">
        <v>0.3763888888888889</v>
      </c>
      <c r="P15" s="70">
        <v>0.41805555555555557</v>
      </c>
      <c r="R15" s="71"/>
      <c r="S15" s="75">
        <v>0.4701388888888889</v>
      </c>
      <c r="T15" s="71"/>
      <c r="U15" s="70">
        <v>0.5222222222222223</v>
      </c>
      <c r="V15" s="75">
        <v>0.55</v>
      </c>
      <c r="W15" s="71"/>
      <c r="Y15" s="75">
        <v>0.6194444444444445</v>
      </c>
      <c r="Z15" s="71"/>
      <c r="AA15" s="22"/>
      <c r="AC15" s="22"/>
      <c r="AE15" s="22"/>
      <c r="AH15" s="22"/>
      <c r="AJ15" s="22"/>
      <c r="AM15" s="22"/>
      <c r="AN15" s="22"/>
      <c r="AQ15" s="22"/>
      <c r="AS15" s="22"/>
      <c r="AU15" s="22"/>
      <c r="AV15" s="22"/>
      <c r="AW15" s="22"/>
    </row>
    <row r="16">
      <c r="A16" s="26" t="s">
        <v>53</v>
      </c>
      <c r="B16" s="24" t="s">
        <v>54</v>
      </c>
    </row>
    <row r="17">
      <c r="A17" s="24" t="s">
        <v>55</v>
      </c>
      <c r="B17" s="24" t="s">
        <v>56</v>
      </c>
      <c r="C17" s="71" t="s">
        <v>59</v>
      </c>
      <c r="D17" s="75">
        <v>0.20208333333333334</v>
      </c>
      <c r="E17" s="71"/>
      <c r="F17" s="70">
        <v>0.23333333333333334</v>
      </c>
      <c r="G17" s="71"/>
      <c r="H17" s="70">
        <v>0.2659722222222222</v>
      </c>
      <c r="I17" s="75">
        <v>0.30277777777777776</v>
      </c>
      <c r="J17" s="71"/>
      <c r="K17" s="70">
        <v>0.3236111111111111</v>
      </c>
      <c r="L17" s="75">
        <v>0.3597222222222222</v>
      </c>
      <c r="M17" s="71"/>
      <c r="N17" s="71"/>
      <c r="O17" s="75">
        <v>0.37916666666666665</v>
      </c>
      <c r="P17" s="70">
        <v>0.42083333333333334</v>
      </c>
      <c r="R17" s="71"/>
      <c r="S17" s="75">
        <v>0.47291666666666665</v>
      </c>
      <c r="T17" s="71"/>
      <c r="U17" s="70">
        <v>0.525</v>
      </c>
      <c r="V17" s="75">
        <v>0.5527777777777778</v>
      </c>
      <c r="W17" s="71"/>
      <c r="Y17" s="75">
        <v>0.6222222222222222</v>
      </c>
      <c r="Z17" s="71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</row>
    <row r="18">
      <c r="A18" s="24" t="s">
        <v>57</v>
      </c>
      <c r="B18" s="24" t="s">
        <v>58</v>
      </c>
      <c r="C18" s="72" t="s">
        <v>61</v>
      </c>
      <c r="D18" s="73">
        <v>0.2048611111111111</v>
      </c>
      <c r="E18" s="73">
        <v>0.2152777777777778</v>
      </c>
      <c r="F18" s="73">
        <v>0.2361111111111111</v>
      </c>
      <c r="G18" s="72"/>
      <c r="H18" s="73">
        <v>0.26875</v>
      </c>
      <c r="I18" s="73">
        <v>0.2916666666666667</v>
      </c>
      <c r="J18" s="73">
        <v>0.3055555555555556</v>
      </c>
      <c r="K18" s="72"/>
      <c r="L18" s="73">
        <v>0.3263888888888889</v>
      </c>
      <c r="M18" s="73">
        <v>0.3625</v>
      </c>
      <c r="N18" s="73">
        <v>0.3680555555555556</v>
      </c>
      <c r="O18" s="72"/>
      <c r="P18" s="73">
        <v>0.3819444444444444</v>
      </c>
      <c r="Q18" s="73">
        <v>0.4236111111111111</v>
      </c>
      <c r="R18" s="73">
        <v>0.4444444444444444</v>
      </c>
      <c r="S18" s="72"/>
      <c r="T18" s="73">
        <v>0.4756944444444444</v>
      </c>
      <c r="U18" s="72"/>
      <c r="V18" s="73">
        <v>0.5277777777777778</v>
      </c>
      <c r="W18" s="73">
        <v>0.5555555555555556</v>
      </c>
      <c r="X18" s="73">
        <v>0.5694444444444444</v>
      </c>
      <c r="Y18" s="72"/>
      <c r="Z18" s="73">
        <v>0.625</v>
      </c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</row>
    <row r="19">
      <c r="A19" s="24" t="s">
        <v>59</v>
      </c>
      <c r="B19" s="24" t="s">
        <v>60</v>
      </c>
      <c r="C19" s="71" t="s">
        <v>89</v>
      </c>
      <c r="D19" s="70">
        <v>0.20625</v>
      </c>
      <c r="E19" s="70">
        <v>0.21666666666666667</v>
      </c>
      <c r="F19" s="70">
        <v>0.2375</v>
      </c>
      <c r="G19" s="71"/>
      <c r="H19" s="70">
        <v>0.2701388888888889</v>
      </c>
      <c r="I19" s="70">
        <v>0.29305555555555557</v>
      </c>
      <c r="J19" s="70">
        <v>0.30694444444444446</v>
      </c>
      <c r="K19" s="71"/>
      <c r="L19" s="70">
        <v>0.3277777777777778</v>
      </c>
      <c r="M19" s="70">
        <v>0.3638888888888889</v>
      </c>
      <c r="N19" s="70">
        <v>0.36944444444444446</v>
      </c>
      <c r="O19" s="71"/>
      <c r="P19" s="70">
        <v>0.38333333333333336</v>
      </c>
      <c r="Q19" s="70">
        <v>0.425</v>
      </c>
      <c r="R19" s="70">
        <v>0.44583333333333336</v>
      </c>
      <c r="S19" s="71"/>
      <c r="T19" s="70">
        <v>0.47708333333333336</v>
      </c>
      <c r="U19" s="71"/>
      <c r="V19" s="70">
        <v>0.5291666666666667</v>
      </c>
      <c r="W19" s="70">
        <v>0.5569444444444445</v>
      </c>
      <c r="X19" s="70">
        <v>0.5708333333333333</v>
      </c>
      <c r="Y19" s="71"/>
      <c r="Z19" s="70">
        <v>0.6263888888888889</v>
      </c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</row>
    <row r="20">
      <c r="A20" s="24" t="s">
        <v>61</v>
      </c>
      <c r="B20" s="24" t="s">
        <v>62</v>
      </c>
      <c r="C20" s="71" t="s">
        <v>87</v>
      </c>
      <c r="D20" s="70">
        <v>0.2076388888888889</v>
      </c>
      <c r="E20" s="70">
        <v>0.21805555555555556</v>
      </c>
      <c r="F20" s="70">
        <v>0.2388888888888889</v>
      </c>
      <c r="G20" s="71"/>
      <c r="H20" s="70">
        <v>0.27152777777777776</v>
      </c>
      <c r="I20" s="70">
        <v>0.29444444444444445</v>
      </c>
      <c r="J20" s="70">
        <v>0.30833333333333335</v>
      </c>
      <c r="K20" s="71"/>
      <c r="L20" s="70">
        <v>0.32916666666666666</v>
      </c>
      <c r="M20" s="70">
        <v>0.36527777777777776</v>
      </c>
      <c r="N20" s="70">
        <v>0.37083333333333335</v>
      </c>
      <c r="O20" s="71"/>
      <c r="P20" s="70">
        <v>0.38472222222222224</v>
      </c>
      <c r="Q20" s="70">
        <v>0.4263888888888889</v>
      </c>
      <c r="R20" s="70">
        <v>0.44722222222222224</v>
      </c>
      <c r="S20" s="71"/>
      <c r="T20" s="70">
        <v>0.47847222222222224</v>
      </c>
      <c r="U20" s="71"/>
      <c r="V20" s="70">
        <v>0.5305555555555556</v>
      </c>
      <c r="W20" s="70">
        <v>0.5583333333333333</v>
      </c>
      <c r="X20" s="70">
        <v>0.5722222222222222</v>
      </c>
      <c r="Y20" s="71"/>
      <c r="Z20" s="70">
        <v>0.6277777777777778</v>
      </c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</row>
    <row r="21">
      <c r="A21" s="25" t="s">
        <v>63</v>
      </c>
      <c r="B21" s="24" t="s">
        <v>64</v>
      </c>
      <c r="C21" s="71" t="s">
        <v>63</v>
      </c>
      <c r="D21" s="70">
        <v>0.20902777777777778</v>
      </c>
      <c r="E21" s="70">
        <v>0.21944444444444444</v>
      </c>
      <c r="F21" s="70">
        <v>0.24027777777777778</v>
      </c>
      <c r="G21" s="70">
        <v>0.25833333333333336</v>
      </c>
      <c r="H21" s="70">
        <v>0.27291666666666664</v>
      </c>
      <c r="I21" s="70">
        <v>0.29583333333333334</v>
      </c>
      <c r="J21" s="70">
        <v>0.30972222222222223</v>
      </c>
      <c r="K21" s="70">
        <v>0.32083333333333336</v>
      </c>
      <c r="L21" s="70">
        <v>0.33055555555555555</v>
      </c>
      <c r="M21" s="70">
        <v>0.36666666666666664</v>
      </c>
      <c r="N21" s="70">
        <v>0.37222222222222223</v>
      </c>
      <c r="O21" s="70">
        <v>0.3763888888888889</v>
      </c>
      <c r="P21" s="70">
        <v>0.3861111111111111</v>
      </c>
      <c r="Q21" s="70">
        <v>0.42777777777777776</v>
      </c>
      <c r="R21" s="70">
        <v>0.4486111111111111</v>
      </c>
      <c r="S21" s="70">
        <v>0.4666666666666667</v>
      </c>
      <c r="T21" s="70">
        <v>0.4798611111111111</v>
      </c>
      <c r="U21" s="70">
        <v>0.5222222222222223</v>
      </c>
      <c r="V21" s="70">
        <v>0.5319444444444444</v>
      </c>
      <c r="W21" s="70">
        <v>0.5597222222222222</v>
      </c>
      <c r="X21" s="70">
        <v>0.5736111111111111</v>
      </c>
      <c r="Y21" s="70">
        <v>0.5777777777777777</v>
      </c>
      <c r="Z21" s="70">
        <v>0.6291666666666667</v>
      </c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</row>
    <row r="22">
      <c r="A22" s="24" t="s">
        <v>65</v>
      </c>
      <c r="B22" s="24" t="s">
        <v>66</v>
      </c>
      <c r="C22" s="71" t="s">
        <v>65</v>
      </c>
      <c r="D22" s="70">
        <v>0.2111111111111111</v>
      </c>
      <c r="E22" s="70">
        <v>0.22152777777777777</v>
      </c>
      <c r="F22" s="70">
        <v>0.2423611111111111</v>
      </c>
      <c r="G22" s="70">
        <v>0.2604166666666667</v>
      </c>
      <c r="H22" s="70">
        <v>0.275</v>
      </c>
      <c r="I22" s="70">
        <v>0.29791666666666666</v>
      </c>
      <c r="J22" s="70">
        <v>0.31180555555555556</v>
      </c>
      <c r="K22" s="70">
        <v>0.3229166666666667</v>
      </c>
      <c r="L22" s="70">
        <v>0.3326388888888889</v>
      </c>
      <c r="M22" s="70">
        <v>0.36875</v>
      </c>
      <c r="N22" s="70">
        <v>0.37430555555555556</v>
      </c>
      <c r="O22" s="70">
        <v>0.3784722222222222</v>
      </c>
      <c r="P22" s="70">
        <v>0.38819444444444445</v>
      </c>
      <c r="Q22" s="70">
        <v>0.42986111111111114</v>
      </c>
      <c r="R22" s="70">
        <v>0.45069444444444445</v>
      </c>
      <c r="S22" s="70">
        <v>0.46875</v>
      </c>
      <c r="T22" s="70">
        <v>0.48194444444444445</v>
      </c>
      <c r="U22" s="70">
        <v>0.5243055555555556</v>
      </c>
      <c r="V22" s="70">
        <v>0.5340277777777778</v>
      </c>
      <c r="W22" s="70">
        <v>0.5618055555555556</v>
      </c>
      <c r="X22" s="70">
        <v>0.5756944444444444</v>
      </c>
      <c r="Y22" s="70">
        <v>0.5798611111111112</v>
      </c>
      <c r="Z22" s="70">
        <v>0.63125</v>
      </c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</row>
    <row r="23">
      <c r="A23" s="26" t="s">
        <v>67</v>
      </c>
      <c r="B23" s="24" t="s">
        <v>68</v>
      </c>
      <c r="C23" s="71" t="s">
        <v>67</v>
      </c>
      <c r="D23" s="70">
        <v>0.21458333333333332</v>
      </c>
      <c r="E23" s="71"/>
      <c r="F23" s="70">
        <v>0.24583333333333332</v>
      </c>
      <c r="G23" s="70">
        <v>0.2638888888888889</v>
      </c>
      <c r="H23" s="70">
        <v>0.27847222222222223</v>
      </c>
      <c r="I23" s="71"/>
      <c r="J23" s="70">
        <v>0.31527777777777777</v>
      </c>
      <c r="K23" s="70">
        <v>0.3263888888888889</v>
      </c>
      <c r="L23" s="70">
        <v>0.33611111111111114</v>
      </c>
      <c r="M23" s="70">
        <v>0.37222222222222223</v>
      </c>
      <c r="N23" s="71"/>
      <c r="O23" s="70">
        <v>0.3819444444444444</v>
      </c>
      <c r="P23" s="70">
        <v>0.39166666666666666</v>
      </c>
      <c r="Q23" s="70">
        <v>0.43333333333333335</v>
      </c>
      <c r="R23" s="71"/>
      <c r="S23" s="70">
        <v>0.4722222222222222</v>
      </c>
      <c r="T23" s="70">
        <v>0.48541666666666666</v>
      </c>
      <c r="U23" s="70">
        <v>0.5277777777777778</v>
      </c>
      <c r="V23" s="70">
        <v>0.5375</v>
      </c>
      <c r="W23" s="70">
        <v>0.5652777777777778</v>
      </c>
      <c r="X23" s="71"/>
      <c r="Y23" s="70">
        <v>0.5833333333333334</v>
      </c>
      <c r="Z23" s="70">
        <v>0.6347222222222222</v>
      </c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</row>
    <row r="24">
      <c r="A24" s="24" t="s">
        <v>69</v>
      </c>
      <c r="B24" s="24" t="s">
        <v>70</v>
      </c>
      <c r="C24" s="71" t="s">
        <v>69</v>
      </c>
      <c r="D24" s="70">
        <v>0.22083333333333333</v>
      </c>
      <c r="E24" s="71"/>
      <c r="F24" s="70">
        <v>0.2520833333333333</v>
      </c>
      <c r="G24" s="71"/>
      <c r="H24" s="70">
        <v>0.2847222222222222</v>
      </c>
      <c r="I24" s="71"/>
      <c r="J24" s="70">
        <v>0.3215277777777778</v>
      </c>
      <c r="K24" s="71"/>
      <c r="L24" s="70">
        <v>0.3423611111111111</v>
      </c>
      <c r="M24" s="70">
        <v>0.3784722222222222</v>
      </c>
      <c r="N24" s="71"/>
      <c r="O24" s="71"/>
      <c r="P24" s="70">
        <v>0.39791666666666664</v>
      </c>
      <c r="Q24" s="70">
        <v>0.4395833333333333</v>
      </c>
      <c r="R24" s="71"/>
      <c r="S24" s="71"/>
      <c r="T24" s="70">
        <v>0.49166666666666664</v>
      </c>
      <c r="U24" s="71"/>
      <c r="V24" s="70">
        <v>0.54375</v>
      </c>
      <c r="W24" s="70">
        <v>0.5715277777777777</v>
      </c>
      <c r="X24" s="71"/>
      <c r="Y24" s="71"/>
      <c r="Z24" s="70">
        <v>0.6409722222222223</v>
      </c>
      <c r="AA24" s="27"/>
      <c r="AB24" s="27"/>
      <c r="AC24" s="29"/>
      <c r="AD24" s="27"/>
      <c r="AE24" s="29"/>
      <c r="AF24" s="27"/>
      <c r="AG24" s="27"/>
      <c r="AH24" s="29"/>
      <c r="AI24" s="27"/>
      <c r="AJ24" s="29"/>
      <c r="AK24" s="27"/>
      <c r="AL24" s="27"/>
      <c r="AM24" s="29"/>
      <c r="AN24" s="29"/>
      <c r="AO24" s="27"/>
      <c r="AP24" s="27"/>
      <c r="AQ24" s="29"/>
      <c r="AR24" s="27"/>
      <c r="AS24" s="29"/>
      <c r="AT24" s="27"/>
      <c r="AU24" s="29"/>
      <c r="AV24" s="29"/>
      <c r="AW24" s="27"/>
    </row>
    <row r="25">
      <c r="A25" s="24"/>
      <c r="B25" s="24"/>
      <c r="C25" s="76"/>
      <c r="D25" s="72"/>
      <c r="E25" s="76"/>
      <c r="F25" s="72"/>
      <c r="G25" s="76"/>
      <c r="H25" s="72"/>
      <c r="I25" s="72"/>
      <c r="J25" s="76"/>
      <c r="K25" s="72"/>
      <c r="L25" s="72"/>
      <c r="M25" s="76"/>
      <c r="N25" s="76"/>
      <c r="O25" s="76"/>
      <c r="P25" s="76"/>
      <c r="Q25" s="76"/>
      <c r="R25" s="76"/>
      <c r="S25" s="76"/>
      <c r="T25" s="72"/>
      <c r="U25" s="76"/>
      <c r="V25" s="72"/>
      <c r="W25" s="76"/>
      <c r="X25" s="72"/>
      <c r="Y25" s="72"/>
      <c r="Z25" s="76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>
      <c r="C26" s="76" t="s">
        <v>92</v>
      </c>
      <c r="D26" s="72"/>
      <c r="E26" s="76"/>
      <c r="F26" s="72"/>
      <c r="G26" s="76"/>
      <c r="H26" s="72"/>
      <c r="I26" s="72"/>
      <c r="J26" s="76"/>
      <c r="K26" s="72"/>
      <c r="L26" s="72"/>
      <c r="M26" s="76"/>
      <c r="N26" s="76"/>
      <c r="O26" s="76"/>
      <c r="P26" s="76"/>
      <c r="Q26" s="76"/>
      <c r="R26" s="76"/>
      <c r="S26" s="76"/>
      <c r="T26" s="72"/>
      <c r="U26" s="76"/>
      <c r="V26" s="72"/>
      <c r="W26" s="76"/>
      <c r="X26" s="72"/>
      <c r="Y26" s="72"/>
      <c r="Z26" s="76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</row>
    <row r="27">
      <c r="A27" s="24" t="s">
        <v>71</v>
      </c>
      <c r="B27" s="24" t="s">
        <v>72</v>
      </c>
      <c r="C27" s="71" t="s">
        <v>71</v>
      </c>
      <c r="D27" s="70">
        <v>0.22916666666666666</v>
      </c>
      <c r="E27" s="71"/>
      <c r="F27" s="70">
        <v>0.2604166666666667</v>
      </c>
      <c r="G27" s="71"/>
      <c r="H27" s="70">
        <v>0.29305555555555557</v>
      </c>
      <c r="I27" s="71"/>
      <c r="J27" s="70">
        <v>0.3298611111111111</v>
      </c>
      <c r="K27" s="71"/>
      <c r="L27" s="70">
        <v>0.3506944444444444</v>
      </c>
      <c r="M27" s="70">
        <v>0.38680555555555557</v>
      </c>
      <c r="N27" s="71"/>
      <c r="O27" s="71"/>
      <c r="P27" s="70">
        <v>0.40625</v>
      </c>
      <c r="Q27" s="70">
        <v>0.4479166666666667</v>
      </c>
      <c r="R27" s="71"/>
      <c r="S27" s="71"/>
      <c r="T27" s="70">
        <v>0.5</v>
      </c>
      <c r="U27" s="71"/>
      <c r="V27" s="70">
        <v>0.5520833333333334</v>
      </c>
      <c r="W27" s="70">
        <v>0.5798611111111112</v>
      </c>
      <c r="X27" s="71"/>
      <c r="Y27" s="71"/>
      <c r="Z27" s="70">
        <v>0.6493055555555556</v>
      </c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</row>
    <row r="28">
      <c r="A28" s="24" t="s">
        <v>73</v>
      </c>
      <c r="B28" s="24" t="s">
        <v>74</v>
      </c>
      <c r="C28" s="71" t="s">
        <v>73</v>
      </c>
      <c r="D28" s="71"/>
      <c r="E28" s="70">
        <v>0.22361111111111112</v>
      </c>
      <c r="F28" s="71"/>
      <c r="G28" s="71"/>
      <c r="H28" s="71"/>
      <c r="I28" s="70">
        <v>0.3</v>
      </c>
      <c r="J28" s="71"/>
      <c r="K28" s="71"/>
      <c r="L28" s="71"/>
      <c r="M28" s="71"/>
      <c r="N28" s="70">
        <v>0.3763888888888889</v>
      </c>
      <c r="O28" s="71"/>
      <c r="P28" s="71"/>
      <c r="Q28" s="71"/>
      <c r="R28" s="70">
        <v>0.4527777777777778</v>
      </c>
      <c r="S28" s="71"/>
      <c r="T28" s="71"/>
      <c r="U28" s="71"/>
      <c r="V28" s="71"/>
      <c r="W28" s="71"/>
      <c r="X28" s="70">
        <v>0.5777777777777777</v>
      </c>
      <c r="Y28" s="71"/>
      <c r="Z28" s="71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</row>
    <row r="29">
      <c r="A29" s="24" t="s">
        <v>75</v>
      </c>
      <c r="B29" s="24" t="s">
        <v>76</v>
      </c>
      <c r="C29" s="71" t="s">
        <v>75</v>
      </c>
      <c r="D29" s="71"/>
      <c r="E29" s="70">
        <v>0.225</v>
      </c>
      <c r="F29" s="71"/>
      <c r="G29" s="71"/>
      <c r="H29" s="71"/>
      <c r="I29" s="70">
        <v>0.3013888888888889</v>
      </c>
      <c r="J29" s="71"/>
      <c r="K29" s="71"/>
      <c r="L29" s="71"/>
      <c r="M29" s="71"/>
      <c r="N29" s="70">
        <v>0.37777777777777777</v>
      </c>
      <c r="O29" s="71"/>
      <c r="P29" s="71"/>
      <c r="Q29" s="71"/>
      <c r="R29" s="70">
        <v>0.45416666666666666</v>
      </c>
      <c r="S29" s="71"/>
      <c r="T29" s="71"/>
      <c r="U29" s="71"/>
      <c r="V29" s="71"/>
      <c r="W29" s="71"/>
      <c r="X29" s="70">
        <v>0.5791666666666667</v>
      </c>
      <c r="Y29" s="71"/>
      <c r="Z29" s="71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</row>
    <row r="30">
      <c r="A30" s="24" t="s">
        <v>77</v>
      </c>
      <c r="B30" s="24" t="s">
        <v>78</v>
      </c>
      <c r="C30" s="71" t="s">
        <v>77</v>
      </c>
      <c r="D30" s="71"/>
      <c r="E30" s="70">
        <v>0.22708333333333333</v>
      </c>
      <c r="F30" s="71"/>
      <c r="G30" s="71"/>
      <c r="H30" s="71"/>
      <c r="I30" s="70">
        <v>0.3034722222222222</v>
      </c>
      <c r="J30" s="71"/>
      <c r="K30" s="71"/>
      <c r="L30" s="71"/>
      <c r="M30" s="71"/>
      <c r="N30" s="70">
        <v>0.3798611111111111</v>
      </c>
      <c r="O30" s="71"/>
      <c r="P30" s="71"/>
      <c r="Q30" s="71"/>
      <c r="R30" s="70">
        <v>0.45625</v>
      </c>
      <c r="S30" s="71"/>
      <c r="T30" s="71"/>
      <c r="U30" s="71"/>
      <c r="V30" s="71"/>
      <c r="W30" s="71"/>
      <c r="X30" s="70">
        <v>0.58125</v>
      </c>
      <c r="Y30" s="71"/>
      <c r="Z30" s="71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>
      <c r="A31" s="24" t="s">
        <v>79</v>
      </c>
      <c r="B31" s="24" t="s">
        <v>80</v>
      </c>
      <c r="C31" s="71" t="s">
        <v>79</v>
      </c>
      <c r="D31" s="71"/>
      <c r="E31" s="70">
        <v>0.22916666666666666</v>
      </c>
      <c r="F31" s="71"/>
      <c r="G31" s="71"/>
      <c r="H31" s="71"/>
      <c r="I31" s="70">
        <v>0.3055555555555556</v>
      </c>
      <c r="J31" s="71"/>
      <c r="K31" s="71"/>
      <c r="L31" s="71"/>
      <c r="M31" s="71"/>
      <c r="N31" s="70">
        <v>0.3819444444444444</v>
      </c>
      <c r="O31" s="71"/>
      <c r="P31" s="71"/>
      <c r="Q31" s="71"/>
      <c r="R31" s="70">
        <v>0.4583333333333333</v>
      </c>
      <c r="S31" s="71"/>
      <c r="T31" s="71"/>
      <c r="U31" s="71"/>
      <c r="V31" s="71"/>
      <c r="W31" s="71"/>
      <c r="X31" s="70">
        <v>0.5833333333333334</v>
      </c>
      <c r="Y31" s="71"/>
      <c r="Z31" s="71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</row>
    <row r="32">
      <c r="A32" s="24" t="s">
        <v>81</v>
      </c>
      <c r="B32" s="24" t="s">
        <v>82</v>
      </c>
      <c r="C32" s="71" t="s">
        <v>81</v>
      </c>
      <c r="D32" s="71"/>
      <c r="E32" s="70">
        <v>0.23125</v>
      </c>
      <c r="F32" s="71"/>
      <c r="G32" s="71"/>
      <c r="H32" s="71"/>
      <c r="I32" s="70">
        <v>0.3076388888888889</v>
      </c>
      <c r="J32" s="71"/>
      <c r="K32" s="71"/>
      <c r="L32" s="71"/>
      <c r="M32" s="71"/>
      <c r="N32" s="70">
        <v>0.3840277777777778</v>
      </c>
      <c r="O32" s="71"/>
      <c r="P32" s="71"/>
      <c r="Q32" s="71"/>
      <c r="R32" s="70">
        <v>0.46041666666666664</v>
      </c>
      <c r="S32" s="71"/>
      <c r="T32" s="71"/>
      <c r="U32" s="71"/>
      <c r="V32" s="71"/>
      <c r="W32" s="71"/>
      <c r="X32" s="70">
        <v>0.5854166666666667</v>
      </c>
      <c r="Y32" s="71"/>
      <c r="Z32" s="71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</row>
    <row r="33">
      <c r="A33" s="24" t="s">
        <v>83</v>
      </c>
      <c r="B33" s="24" t="s">
        <v>84</v>
      </c>
      <c r="C33" s="71" t="s">
        <v>83</v>
      </c>
      <c r="D33" s="71"/>
      <c r="E33" s="70">
        <v>0.23472222222222222</v>
      </c>
      <c r="F33" s="71"/>
      <c r="G33" s="71"/>
      <c r="H33" s="71"/>
      <c r="I33" s="70">
        <v>0.3111111111111111</v>
      </c>
      <c r="J33" s="71"/>
      <c r="K33" s="71"/>
      <c r="L33" s="71"/>
      <c r="M33" s="71"/>
      <c r="N33" s="70">
        <v>0.3875</v>
      </c>
      <c r="O33" s="71"/>
      <c r="P33" s="71"/>
      <c r="Q33" s="71"/>
      <c r="R33" s="70">
        <v>0.4638888888888889</v>
      </c>
      <c r="S33" s="71"/>
      <c r="T33" s="71"/>
      <c r="U33" s="71"/>
      <c r="V33" s="71"/>
      <c r="W33" s="71"/>
      <c r="X33" s="70">
        <v>0.5888888888888889</v>
      </c>
      <c r="Y33" s="71"/>
      <c r="Z33" s="71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</row>
    <row r="34">
      <c r="A34" s="26" t="s">
        <v>85</v>
      </c>
      <c r="B34" s="24" t="s">
        <v>86</v>
      </c>
      <c r="C34" s="71" t="s">
        <v>85</v>
      </c>
      <c r="D34" s="70">
        <v>0.2361111111111111</v>
      </c>
      <c r="E34" s="70">
        <v>0.24027777777777778</v>
      </c>
      <c r="F34" s="70">
        <v>0.2604166666666667</v>
      </c>
      <c r="G34" s="71"/>
      <c r="H34" s="70">
        <v>0.3</v>
      </c>
      <c r="I34" s="70">
        <v>0.31666666666666665</v>
      </c>
      <c r="J34" s="70">
        <v>0.3368055555555556</v>
      </c>
      <c r="K34" s="71"/>
      <c r="L34" s="70">
        <v>0.3576388888888889</v>
      </c>
      <c r="M34" s="70">
        <v>0.39375</v>
      </c>
      <c r="N34" s="70">
        <v>0.39305555555555555</v>
      </c>
      <c r="O34" s="71"/>
      <c r="P34" s="70">
        <v>0.4131944444444444</v>
      </c>
      <c r="Q34" s="70">
        <v>0.4548611111111111</v>
      </c>
      <c r="R34" s="70">
        <v>0.46944444444444444</v>
      </c>
      <c r="S34" s="71"/>
      <c r="T34" s="70">
        <v>0.5069444444444444</v>
      </c>
      <c r="U34" s="71"/>
      <c r="V34" s="70">
        <v>0.5590277777777778</v>
      </c>
      <c r="W34" s="70">
        <v>0.5868055555555556</v>
      </c>
      <c r="X34" s="70">
        <v>0.5944444444444444</v>
      </c>
      <c r="Y34" s="71"/>
      <c r="Z34" s="70">
        <v>0.65625</v>
      </c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</row>
    <row r="35">
      <c r="C35" s="27"/>
      <c r="D35" s="27"/>
      <c r="E35" s="27"/>
      <c r="F35" s="27"/>
      <c r="G35" s="27"/>
      <c r="H35" s="27"/>
      <c r="I35" s="27"/>
      <c r="J35" s="28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B38" s="20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32" t="s">
        <v>91</v>
      </c>
      <c r="B41" s="77">
        <v>9400.0</v>
      </c>
      <c r="C41" s="77">
        <v>9300.0</v>
      </c>
      <c r="D41" s="77">
        <v>9900.0</v>
      </c>
      <c r="E41" s="77">
        <v>9002.0</v>
      </c>
      <c r="F41" s="77">
        <v>9402.0</v>
      </c>
      <c r="G41" s="77">
        <v>9302.0</v>
      </c>
      <c r="H41" s="77">
        <v>9902.0</v>
      </c>
      <c r="I41" s="77">
        <v>9004.0</v>
      </c>
      <c r="J41" s="77">
        <v>9404.0</v>
      </c>
      <c r="K41" s="77">
        <v>9904.0</v>
      </c>
      <c r="L41" s="77">
        <v>9304.0</v>
      </c>
      <c r="M41" s="77">
        <v>9006.0</v>
      </c>
      <c r="N41" s="77">
        <v>9406.0</v>
      </c>
      <c r="O41" s="77">
        <v>9906.0</v>
      </c>
      <c r="P41" s="77">
        <v>9306.0</v>
      </c>
      <c r="Q41" s="77">
        <v>9008.0</v>
      </c>
      <c r="R41" s="77">
        <v>9908.0</v>
      </c>
      <c r="S41" s="77">
        <v>9010.0</v>
      </c>
      <c r="T41" s="77">
        <v>9910.0</v>
      </c>
      <c r="U41" s="77">
        <v>9408.0</v>
      </c>
      <c r="V41" s="77">
        <v>9308.0</v>
      </c>
      <c r="W41" s="77">
        <v>9012.0</v>
      </c>
      <c r="X41" s="77">
        <v>9912.0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32" t="s">
        <v>27</v>
      </c>
      <c r="B42" s="78"/>
      <c r="C42" s="78"/>
      <c r="D42" s="78"/>
      <c r="E42" s="79">
        <v>0.24305555555555555</v>
      </c>
      <c r="F42" s="78"/>
      <c r="G42" s="78"/>
      <c r="H42" s="78"/>
      <c r="I42" s="79">
        <v>0.3055555555555556</v>
      </c>
      <c r="J42" s="78"/>
      <c r="K42" s="80"/>
      <c r="L42" s="80"/>
      <c r="M42" s="79">
        <v>0.3611111111111111</v>
      </c>
      <c r="N42" s="80"/>
      <c r="O42" s="80"/>
      <c r="P42" s="80"/>
      <c r="Q42" s="79">
        <v>0.4513888888888889</v>
      </c>
      <c r="R42" s="80"/>
      <c r="S42" s="79">
        <v>0.5069444444444444</v>
      </c>
      <c r="T42" s="80"/>
      <c r="U42" s="80"/>
      <c r="V42" s="80"/>
      <c r="W42" s="79">
        <v>0.5625</v>
      </c>
      <c r="X42" s="80"/>
    </row>
    <row r="43">
      <c r="A43" s="60" t="s">
        <v>29</v>
      </c>
      <c r="B43" s="60"/>
      <c r="C43" s="60"/>
      <c r="D43" s="60"/>
      <c r="E43" s="81">
        <v>0.24722222222222223</v>
      </c>
      <c r="F43" s="60"/>
      <c r="G43" s="60"/>
      <c r="H43" s="60"/>
      <c r="I43" s="81">
        <v>0.30972222222222223</v>
      </c>
      <c r="J43" s="60"/>
      <c r="K43" s="80"/>
      <c r="L43" s="80"/>
      <c r="M43" s="81">
        <v>0.36527777777777776</v>
      </c>
      <c r="N43" s="80"/>
      <c r="O43" s="80"/>
      <c r="P43" s="80"/>
      <c r="Q43" s="81">
        <v>0.45555555555555555</v>
      </c>
      <c r="R43" s="80"/>
      <c r="S43" s="81">
        <v>0.5111111111111111</v>
      </c>
      <c r="T43" s="80"/>
      <c r="U43" s="80"/>
      <c r="V43" s="80"/>
      <c r="W43" s="81">
        <v>0.5666666666666667</v>
      </c>
      <c r="X43" s="80"/>
    </row>
    <row r="44">
      <c r="A44" s="60" t="s">
        <v>31</v>
      </c>
      <c r="B44" s="60"/>
      <c r="C44" s="60"/>
      <c r="D44" s="60"/>
      <c r="E44" s="81">
        <v>0.24930555555555556</v>
      </c>
      <c r="F44" s="60"/>
      <c r="G44" s="60"/>
      <c r="H44" s="60"/>
      <c r="I44" s="81">
        <v>0.31180555555555556</v>
      </c>
      <c r="J44" s="60"/>
      <c r="K44" s="80"/>
      <c r="L44" s="80"/>
      <c r="M44" s="81">
        <v>0.36736111111111114</v>
      </c>
      <c r="N44" s="80"/>
      <c r="O44" s="80"/>
      <c r="P44" s="80"/>
      <c r="Q44" s="81">
        <v>0.4576388888888889</v>
      </c>
      <c r="R44" s="80"/>
      <c r="S44" s="81">
        <v>0.5131944444444444</v>
      </c>
      <c r="T44" s="80"/>
      <c r="U44" s="80"/>
      <c r="V44" s="80"/>
      <c r="W44" s="81">
        <v>0.56875</v>
      </c>
      <c r="X44" s="80"/>
    </row>
    <row r="45">
      <c r="A45" s="60" t="s">
        <v>33</v>
      </c>
      <c r="B45" s="78"/>
      <c r="C45" s="78"/>
      <c r="D45" s="78"/>
      <c r="E45" s="81">
        <v>0.2520833333333333</v>
      </c>
      <c r="F45" s="78"/>
      <c r="G45" s="78"/>
      <c r="H45" s="78"/>
      <c r="I45" s="81">
        <v>0.3145833333333333</v>
      </c>
      <c r="J45" s="78"/>
      <c r="K45" s="80"/>
      <c r="L45" s="80"/>
      <c r="M45" s="81">
        <v>0.3701388888888889</v>
      </c>
      <c r="N45" s="80"/>
      <c r="O45" s="80"/>
      <c r="P45" s="80"/>
      <c r="Q45" s="81">
        <v>0.46041666666666664</v>
      </c>
      <c r="R45" s="80"/>
      <c r="S45" s="81">
        <v>0.5159722222222223</v>
      </c>
      <c r="T45" s="80"/>
      <c r="U45" s="80"/>
      <c r="V45" s="80"/>
      <c r="W45" s="81">
        <v>0.5715277777777777</v>
      </c>
      <c r="X45" s="80"/>
    </row>
    <row r="46">
      <c r="A46" s="60" t="s">
        <v>35</v>
      </c>
      <c r="B46" s="60"/>
      <c r="C46" s="60"/>
      <c r="D46" s="60"/>
      <c r="E46" s="81">
        <v>0.2548611111111111</v>
      </c>
      <c r="F46" s="60"/>
      <c r="G46" s="60"/>
      <c r="H46" s="60"/>
      <c r="I46" s="81">
        <v>0.3173611111111111</v>
      </c>
      <c r="J46" s="60"/>
      <c r="K46" s="80"/>
      <c r="L46" s="80"/>
      <c r="M46" s="81">
        <v>0.3729166666666667</v>
      </c>
      <c r="N46" s="80"/>
      <c r="O46" s="80"/>
      <c r="P46" s="80"/>
      <c r="Q46" s="81">
        <v>0.46319444444444446</v>
      </c>
      <c r="R46" s="80"/>
      <c r="S46" s="81">
        <v>0.51875</v>
      </c>
      <c r="T46" s="80"/>
      <c r="U46" s="80"/>
      <c r="V46" s="80"/>
      <c r="W46" s="81">
        <v>0.5743055555555555</v>
      </c>
      <c r="X46" s="80"/>
    </row>
    <row r="47">
      <c r="A47" s="60" t="s">
        <v>37</v>
      </c>
      <c r="B47" s="78"/>
      <c r="C47" s="78"/>
      <c r="D47" s="78"/>
      <c r="E47" s="81">
        <v>0.2569444444444444</v>
      </c>
      <c r="F47" s="78"/>
      <c r="G47" s="78"/>
      <c r="H47" s="78"/>
      <c r="I47" s="81">
        <v>0.3194444444444444</v>
      </c>
      <c r="J47" s="78"/>
      <c r="K47" s="80"/>
      <c r="L47" s="80"/>
      <c r="M47" s="81">
        <v>0.375</v>
      </c>
      <c r="N47" s="80"/>
      <c r="O47" s="80"/>
      <c r="P47" s="80"/>
      <c r="Q47" s="81">
        <v>0.4652777777777778</v>
      </c>
      <c r="R47" s="80"/>
      <c r="S47" s="81">
        <v>0.5208333333333334</v>
      </c>
      <c r="T47" s="80"/>
      <c r="U47" s="80"/>
      <c r="V47" s="80"/>
      <c r="W47" s="81">
        <v>0.5763888888888888</v>
      </c>
      <c r="X47" s="80"/>
    </row>
    <row r="48">
      <c r="A48" s="82" t="s">
        <v>39</v>
      </c>
      <c r="B48" s="80"/>
      <c r="C48" s="80"/>
      <c r="D48" s="79">
        <v>0.2152777777777778</v>
      </c>
      <c r="E48" s="80"/>
      <c r="F48" s="80"/>
      <c r="G48" s="79">
        <v>0.2847222222222222</v>
      </c>
      <c r="H48" s="80"/>
      <c r="I48" s="80"/>
      <c r="J48" s="79">
        <v>0.3416666666666667</v>
      </c>
      <c r="K48" s="80"/>
      <c r="L48" s="80"/>
      <c r="M48" s="80"/>
      <c r="N48" s="79">
        <v>0.4027777777777778</v>
      </c>
      <c r="O48" s="80"/>
      <c r="P48" s="80"/>
      <c r="Q48" s="80"/>
      <c r="R48" s="79">
        <v>0.4548611111111111</v>
      </c>
      <c r="S48" s="80"/>
      <c r="T48" s="79">
        <v>0.5069444444444444</v>
      </c>
      <c r="U48" s="80"/>
      <c r="V48" s="80"/>
      <c r="W48" s="80"/>
      <c r="X48" s="79">
        <v>0.6041666666666666</v>
      </c>
    </row>
    <row r="49">
      <c r="A49" s="80" t="s">
        <v>43</v>
      </c>
      <c r="B49" s="80"/>
      <c r="C49" s="80"/>
      <c r="D49" s="81">
        <v>0.22013888888888888</v>
      </c>
      <c r="E49" s="80"/>
      <c r="F49" s="80"/>
      <c r="G49" s="81">
        <v>0.28958333333333336</v>
      </c>
      <c r="H49" s="80"/>
      <c r="I49" s="80"/>
      <c r="J49" s="81">
        <v>0.34652777777777777</v>
      </c>
      <c r="K49" s="80"/>
      <c r="L49" s="80"/>
      <c r="M49" s="80"/>
      <c r="N49" s="81">
        <v>0.4076388888888889</v>
      </c>
      <c r="O49" s="80"/>
      <c r="P49" s="80"/>
      <c r="Q49" s="80"/>
      <c r="R49" s="81">
        <v>0.4597222222222222</v>
      </c>
      <c r="S49" s="80"/>
      <c r="T49" s="81">
        <v>0.5118055555555555</v>
      </c>
      <c r="U49" s="80"/>
      <c r="V49" s="80"/>
      <c r="W49" s="80"/>
      <c r="X49" s="81">
        <v>0.6090277777777777</v>
      </c>
    </row>
    <row r="50">
      <c r="A50" s="80" t="s">
        <v>45</v>
      </c>
      <c r="B50" s="80"/>
      <c r="C50" s="80"/>
      <c r="D50" s="81">
        <v>0.22291666666666668</v>
      </c>
      <c r="E50" s="80"/>
      <c r="F50" s="80"/>
      <c r="G50" s="81">
        <v>0.2923611111111111</v>
      </c>
      <c r="H50" s="80"/>
      <c r="I50" s="80"/>
      <c r="J50" s="81">
        <v>0.34930555555555554</v>
      </c>
      <c r="K50" s="80"/>
      <c r="L50" s="80"/>
      <c r="M50" s="80"/>
      <c r="N50" s="81">
        <v>0.41041666666666665</v>
      </c>
      <c r="O50" s="80"/>
      <c r="P50" s="80"/>
      <c r="Q50" s="80"/>
      <c r="R50" s="81">
        <v>0.4625</v>
      </c>
      <c r="S50" s="80"/>
      <c r="T50" s="81">
        <v>0.5145833333333333</v>
      </c>
      <c r="U50" s="80"/>
      <c r="V50" s="80"/>
      <c r="W50" s="80"/>
      <c r="X50" s="81">
        <v>0.6118055555555556</v>
      </c>
    </row>
    <row r="51">
      <c r="A51" s="82" t="s">
        <v>47</v>
      </c>
      <c r="B51" s="79">
        <v>0.19444444444444445</v>
      </c>
      <c r="C51" s="80"/>
      <c r="D51" s="79">
        <v>0.22569444444444445</v>
      </c>
      <c r="E51" s="80"/>
      <c r="F51" s="79">
        <v>0.25833333333333336</v>
      </c>
      <c r="G51" s="79">
        <v>0.2951388888888889</v>
      </c>
      <c r="H51" s="80"/>
      <c r="I51" s="79">
        <v>0.3159722222222222</v>
      </c>
      <c r="J51" s="79">
        <v>0.35208333333333336</v>
      </c>
      <c r="K51" s="80"/>
      <c r="L51" s="80"/>
      <c r="M51" s="79">
        <v>0.3715277777777778</v>
      </c>
      <c r="N51" s="79">
        <v>0.4131944444444444</v>
      </c>
      <c r="O51" s="80"/>
      <c r="P51" s="80"/>
      <c r="Q51" s="79">
        <v>0.4652777777777778</v>
      </c>
      <c r="R51" s="80"/>
      <c r="S51" s="79">
        <v>0.5173611111111112</v>
      </c>
      <c r="T51" s="79">
        <v>0.5451388888888888</v>
      </c>
      <c r="U51" s="80"/>
      <c r="V51" s="80"/>
      <c r="W51" s="79">
        <v>0.6145833333333334</v>
      </c>
      <c r="X51" s="80"/>
    </row>
    <row r="52">
      <c r="A52" s="80" t="s">
        <v>49</v>
      </c>
      <c r="B52" s="81">
        <v>0.19722222222222222</v>
      </c>
      <c r="C52" s="80"/>
      <c r="D52" s="81">
        <v>0.22847222222222222</v>
      </c>
      <c r="E52" s="80"/>
      <c r="F52" s="81">
        <v>0.2611111111111111</v>
      </c>
      <c r="G52" s="81">
        <v>0.29791666666666666</v>
      </c>
      <c r="H52" s="80"/>
      <c r="I52" s="81">
        <v>0.31875</v>
      </c>
      <c r="J52" s="81">
        <v>0.3548611111111111</v>
      </c>
      <c r="K52" s="80"/>
      <c r="L52" s="80"/>
      <c r="M52" s="81">
        <v>0.37430555555555556</v>
      </c>
      <c r="N52" s="81">
        <v>0.41597222222222224</v>
      </c>
      <c r="O52" s="80"/>
      <c r="P52" s="80"/>
      <c r="Q52" s="81">
        <v>0.46805555555555556</v>
      </c>
      <c r="R52" s="80"/>
      <c r="S52" s="81">
        <v>0.5201388888888889</v>
      </c>
      <c r="T52" s="81">
        <v>0.5479166666666667</v>
      </c>
      <c r="U52" s="80"/>
      <c r="V52" s="80"/>
      <c r="W52" s="81">
        <v>0.6173611111111111</v>
      </c>
      <c r="X52" s="80"/>
    </row>
    <row r="53">
      <c r="A53" s="80" t="s">
        <v>51</v>
      </c>
      <c r="B53" s="81">
        <v>0.19930555555555557</v>
      </c>
      <c r="C53" s="80"/>
      <c r="D53" s="81">
        <v>0.23055555555555557</v>
      </c>
      <c r="E53" s="80"/>
      <c r="F53" s="81">
        <v>0.26319444444444445</v>
      </c>
      <c r="G53" s="81">
        <v>0.3</v>
      </c>
      <c r="H53" s="80"/>
      <c r="I53" s="81">
        <v>0.32083333333333336</v>
      </c>
      <c r="J53" s="81">
        <v>0.35694444444444445</v>
      </c>
      <c r="K53" s="80"/>
      <c r="L53" s="80"/>
      <c r="M53" s="81">
        <v>0.3763888888888889</v>
      </c>
      <c r="N53" s="81">
        <v>0.41805555555555557</v>
      </c>
      <c r="O53" s="80"/>
      <c r="P53" s="80"/>
      <c r="Q53" s="81">
        <v>0.4701388888888889</v>
      </c>
      <c r="R53" s="80"/>
      <c r="S53" s="81">
        <v>0.5222222222222223</v>
      </c>
      <c r="T53" s="81">
        <v>0.55</v>
      </c>
      <c r="U53" s="80"/>
      <c r="V53" s="80"/>
      <c r="W53" s="81">
        <v>0.6194444444444445</v>
      </c>
      <c r="X53" s="80"/>
    </row>
    <row r="54">
      <c r="A54" s="80" t="s">
        <v>59</v>
      </c>
      <c r="B54" s="81">
        <v>0.20208333333333334</v>
      </c>
      <c r="C54" s="80"/>
      <c r="D54" s="81">
        <v>0.23333333333333334</v>
      </c>
      <c r="E54" s="80"/>
      <c r="F54" s="81">
        <v>0.2659722222222222</v>
      </c>
      <c r="G54" s="81">
        <v>0.30277777777777776</v>
      </c>
      <c r="H54" s="80"/>
      <c r="I54" s="81">
        <v>0.3236111111111111</v>
      </c>
      <c r="J54" s="81">
        <v>0.3597222222222222</v>
      </c>
      <c r="K54" s="80"/>
      <c r="L54" s="80"/>
      <c r="M54" s="81">
        <v>0.37916666666666665</v>
      </c>
      <c r="N54" s="81">
        <v>0.42083333333333334</v>
      </c>
      <c r="O54" s="80"/>
      <c r="P54" s="80"/>
      <c r="Q54" s="81">
        <v>0.47291666666666665</v>
      </c>
      <c r="R54" s="80"/>
      <c r="S54" s="81">
        <v>0.525</v>
      </c>
      <c r="T54" s="81">
        <v>0.5527777777777778</v>
      </c>
      <c r="U54" s="80"/>
      <c r="V54" s="80"/>
      <c r="W54" s="81">
        <v>0.6222222222222222</v>
      </c>
      <c r="X54" s="80"/>
    </row>
    <row r="55">
      <c r="A55" s="80" t="s">
        <v>61</v>
      </c>
      <c r="B55" s="81">
        <v>0.2048611111111111</v>
      </c>
      <c r="C55" s="81">
        <v>0.2152777777777778</v>
      </c>
      <c r="D55" s="81">
        <v>0.2361111111111111</v>
      </c>
      <c r="E55" s="80"/>
      <c r="F55" s="81">
        <v>0.26875</v>
      </c>
      <c r="G55" s="81">
        <v>0.2916666666666667</v>
      </c>
      <c r="H55" s="81">
        <v>0.3055555555555556</v>
      </c>
      <c r="I55" s="80"/>
      <c r="J55" s="81">
        <v>0.3263888888888889</v>
      </c>
      <c r="K55" s="81">
        <v>0.3625</v>
      </c>
      <c r="L55" s="81">
        <v>0.3680555555555556</v>
      </c>
      <c r="M55" s="80"/>
      <c r="N55" s="81">
        <v>0.3819444444444444</v>
      </c>
      <c r="O55" s="81">
        <v>0.4236111111111111</v>
      </c>
      <c r="P55" s="81">
        <v>0.4444444444444444</v>
      </c>
      <c r="Q55" s="80"/>
      <c r="R55" s="81">
        <v>0.4756944444444444</v>
      </c>
      <c r="S55" s="80"/>
      <c r="T55" s="81">
        <v>0.5277777777777778</v>
      </c>
      <c r="U55" s="81">
        <v>0.5555555555555556</v>
      </c>
      <c r="V55" s="81">
        <v>0.5694444444444444</v>
      </c>
      <c r="W55" s="80"/>
      <c r="X55" s="81">
        <v>0.625</v>
      </c>
    </row>
    <row r="56">
      <c r="A56" s="80" t="s">
        <v>89</v>
      </c>
      <c r="B56" s="81">
        <v>0.20625</v>
      </c>
      <c r="C56" s="81">
        <v>0.21666666666666667</v>
      </c>
      <c r="D56" s="81">
        <v>0.2375</v>
      </c>
      <c r="E56" s="80"/>
      <c r="F56" s="81">
        <v>0.2701388888888889</v>
      </c>
      <c r="G56" s="81">
        <v>0.29305555555555557</v>
      </c>
      <c r="H56" s="81">
        <v>0.30694444444444446</v>
      </c>
      <c r="I56" s="80"/>
      <c r="J56" s="81">
        <v>0.3277777777777778</v>
      </c>
      <c r="K56" s="81">
        <v>0.3638888888888889</v>
      </c>
      <c r="L56" s="81">
        <v>0.36944444444444446</v>
      </c>
      <c r="M56" s="80"/>
      <c r="N56" s="81">
        <v>0.38333333333333336</v>
      </c>
      <c r="O56" s="81">
        <v>0.425</v>
      </c>
      <c r="P56" s="81">
        <v>0.44583333333333336</v>
      </c>
      <c r="Q56" s="80"/>
      <c r="R56" s="81">
        <v>0.47708333333333336</v>
      </c>
      <c r="S56" s="80"/>
      <c r="T56" s="81">
        <v>0.5291666666666667</v>
      </c>
      <c r="U56" s="81">
        <v>0.5569444444444445</v>
      </c>
      <c r="V56" s="81">
        <v>0.5708333333333333</v>
      </c>
      <c r="W56" s="80"/>
      <c r="X56" s="81">
        <v>0.6263888888888889</v>
      </c>
    </row>
    <row r="57">
      <c r="A57" s="80" t="s">
        <v>87</v>
      </c>
      <c r="B57" s="81">
        <v>0.2076388888888889</v>
      </c>
      <c r="C57" s="81">
        <v>0.21805555555555556</v>
      </c>
      <c r="D57" s="81">
        <v>0.2388888888888889</v>
      </c>
      <c r="E57" s="80"/>
      <c r="F57" s="81">
        <v>0.27152777777777776</v>
      </c>
      <c r="G57" s="81">
        <v>0.29444444444444445</v>
      </c>
      <c r="H57" s="81">
        <v>0.30833333333333335</v>
      </c>
      <c r="I57" s="80"/>
      <c r="J57" s="81">
        <v>0.32916666666666666</v>
      </c>
      <c r="K57" s="81">
        <v>0.36527777777777776</v>
      </c>
      <c r="L57" s="81">
        <v>0.37083333333333335</v>
      </c>
      <c r="M57" s="80"/>
      <c r="N57" s="81">
        <v>0.38472222222222224</v>
      </c>
      <c r="O57" s="81">
        <v>0.4263888888888889</v>
      </c>
      <c r="P57" s="81">
        <v>0.44722222222222224</v>
      </c>
      <c r="Q57" s="80"/>
      <c r="R57" s="81">
        <v>0.47847222222222224</v>
      </c>
      <c r="S57" s="80"/>
      <c r="T57" s="81">
        <v>0.5305555555555556</v>
      </c>
      <c r="U57" s="81">
        <v>0.5583333333333333</v>
      </c>
      <c r="V57" s="81">
        <v>0.5722222222222222</v>
      </c>
      <c r="W57" s="80"/>
      <c r="X57" s="81">
        <v>0.6277777777777778</v>
      </c>
    </row>
    <row r="58">
      <c r="A58" s="80" t="s">
        <v>63</v>
      </c>
      <c r="B58" s="81">
        <v>0.20902777777777778</v>
      </c>
      <c r="C58" s="81">
        <v>0.21944444444444444</v>
      </c>
      <c r="D58" s="81">
        <v>0.24027777777777778</v>
      </c>
      <c r="E58" s="81">
        <v>0.25833333333333336</v>
      </c>
      <c r="F58" s="81">
        <v>0.27291666666666664</v>
      </c>
      <c r="G58" s="81">
        <v>0.29583333333333334</v>
      </c>
      <c r="H58" s="81">
        <v>0.30972222222222223</v>
      </c>
      <c r="I58" s="81">
        <v>0.32083333333333336</v>
      </c>
      <c r="J58" s="81">
        <v>0.33055555555555555</v>
      </c>
      <c r="K58" s="81">
        <v>0.36666666666666664</v>
      </c>
      <c r="L58" s="81">
        <v>0.37222222222222223</v>
      </c>
      <c r="M58" s="81">
        <v>0.3763888888888889</v>
      </c>
      <c r="N58" s="81">
        <v>0.3861111111111111</v>
      </c>
      <c r="O58" s="81">
        <v>0.42777777777777776</v>
      </c>
      <c r="P58" s="81">
        <v>0.4486111111111111</v>
      </c>
      <c r="Q58" s="81">
        <v>0.4666666666666667</v>
      </c>
      <c r="R58" s="81">
        <v>0.4798611111111111</v>
      </c>
      <c r="S58" s="81">
        <v>0.5222222222222223</v>
      </c>
      <c r="T58" s="81">
        <v>0.5319444444444444</v>
      </c>
      <c r="U58" s="81">
        <v>0.5597222222222222</v>
      </c>
      <c r="V58" s="81">
        <v>0.5736111111111111</v>
      </c>
      <c r="W58" s="81">
        <v>0.5777777777777777</v>
      </c>
      <c r="X58" s="81">
        <v>0.6291666666666667</v>
      </c>
    </row>
    <row r="59">
      <c r="A59" s="80" t="s">
        <v>65</v>
      </c>
      <c r="B59" s="81">
        <v>0.2111111111111111</v>
      </c>
      <c r="C59" s="81">
        <v>0.22152777777777777</v>
      </c>
      <c r="D59" s="81">
        <v>0.2423611111111111</v>
      </c>
      <c r="E59" s="81">
        <v>0.2604166666666667</v>
      </c>
      <c r="F59" s="81">
        <v>0.275</v>
      </c>
      <c r="G59" s="81">
        <v>0.29791666666666666</v>
      </c>
      <c r="H59" s="81">
        <v>0.31180555555555556</v>
      </c>
      <c r="I59" s="81">
        <v>0.3229166666666667</v>
      </c>
      <c r="J59" s="81">
        <v>0.3326388888888889</v>
      </c>
      <c r="K59" s="81">
        <v>0.36875</v>
      </c>
      <c r="L59" s="81">
        <v>0.37430555555555556</v>
      </c>
      <c r="M59" s="81">
        <v>0.3784722222222222</v>
      </c>
      <c r="N59" s="81">
        <v>0.38819444444444445</v>
      </c>
      <c r="O59" s="81">
        <v>0.42986111111111114</v>
      </c>
      <c r="P59" s="81">
        <v>0.45069444444444445</v>
      </c>
      <c r="Q59" s="81">
        <v>0.46875</v>
      </c>
      <c r="R59" s="81">
        <v>0.48194444444444445</v>
      </c>
      <c r="S59" s="81">
        <v>0.5243055555555556</v>
      </c>
      <c r="T59" s="81">
        <v>0.5340277777777778</v>
      </c>
      <c r="U59" s="81">
        <v>0.5618055555555556</v>
      </c>
      <c r="V59" s="81">
        <v>0.5756944444444444</v>
      </c>
      <c r="W59" s="81">
        <v>0.5798611111111112</v>
      </c>
      <c r="X59" s="81">
        <v>0.63125</v>
      </c>
    </row>
    <row r="60">
      <c r="A60" s="82" t="s">
        <v>67</v>
      </c>
      <c r="B60" s="79">
        <v>0.21458333333333332</v>
      </c>
      <c r="C60" s="80"/>
      <c r="D60" s="79">
        <v>0.24583333333333332</v>
      </c>
      <c r="E60" s="79">
        <v>0.2638888888888889</v>
      </c>
      <c r="F60" s="79">
        <v>0.27847222222222223</v>
      </c>
      <c r="G60" s="80"/>
      <c r="H60" s="79">
        <v>0.31527777777777777</v>
      </c>
      <c r="I60" s="79">
        <v>0.3263888888888889</v>
      </c>
      <c r="J60" s="79">
        <v>0.33611111111111114</v>
      </c>
      <c r="K60" s="79">
        <v>0.37222222222222223</v>
      </c>
      <c r="L60" s="80"/>
      <c r="M60" s="79">
        <v>0.3819444444444444</v>
      </c>
      <c r="N60" s="79">
        <v>0.39166666666666666</v>
      </c>
      <c r="O60" s="79">
        <v>0.43333333333333335</v>
      </c>
      <c r="P60" s="80"/>
      <c r="Q60" s="79">
        <v>0.4722222222222222</v>
      </c>
      <c r="R60" s="79">
        <v>0.48541666666666666</v>
      </c>
      <c r="S60" s="79">
        <v>0.5277777777777778</v>
      </c>
      <c r="T60" s="79">
        <v>0.5375</v>
      </c>
      <c r="U60" s="79">
        <v>0.5652777777777778</v>
      </c>
      <c r="V60" s="80"/>
      <c r="W60" s="79">
        <v>0.5833333333333334</v>
      </c>
      <c r="X60" s="79">
        <v>0.6347222222222222</v>
      </c>
    </row>
    <row r="61">
      <c r="A61" s="80" t="s">
        <v>69</v>
      </c>
      <c r="B61" s="81">
        <v>0.22083333333333333</v>
      </c>
      <c r="C61" s="80"/>
      <c r="D61" s="81">
        <v>0.2520833333333333</v>
      </c>
      <c r="E61" s="80"/>
      <c r="F61" s="81">
        <v>0.2847222222222222</v>
      </c>
      <c r="G61" s="80"/>
      <c r="H61" s="81">
        <v>0.3215277777777778</v>
      </c>
      <c r="I61" s="80"/>
      <c r="J61" s="81">
        <v>0.3423611111111111</v>
      </c>
      <c r="K61" s="81">
        <v>0.3784722222222222</v>
      </c>
      <c r="L61" s="80"/>
      <c r="M61" s="80"/>
      <c r="N61" s="81">
        <v>0.39791666666666664</v>
      </c>
      <c r="O61" s="81">
        <v>0.4395833333333333</v>
      </c>
      <c r="P61" s="80"/>
      <c r="Q61" s="80"/>
      <c r="R61" s="81">
        <v>0.49166666666666664</v>
      </c>
      <c r="S61" s="80"/>
      <c r="T61" s="81">
        <v>0.54375</v>
      </c>
      <c r="U61" s="81">
        <v>0.5715277777777777</v>
      </c>
      <c r="V61" s="80"/>
      <c r="W61" s="80"/>
      <c r="X61" s="81">
        <v>0.6409722222222223</v>
      </c>
    </row>
    <row r="62">
      <c r="A62" s="80" t="s">
        <v>92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</row>
    <row r="63">
      <c r="A63" s="80" t="s">
        <v>71</v>
      </c>
      <c r="B63" s="81">
        <v>0.22916666666666666</v>
      </c>
      <c r="C63" s="80"/>
      <c r="D63" s="81">
        <v>0.2604166666666667</v>
      </c>
      <c r="E63" s="80"/>
      <c r="F63" s="81">
        <v>0.29305555555555557</v>
      </c>
      <c r="G63" s="80"/>
      <c r="H63" s="81">
        <v>0.3298611111111111</v>
      </c>
      <c r="I63" s="80"/>
      <c r="J63" s="81">
        <v>0.3506944444444444</v>
      </c>
      <c r="K63" s="81">
        <v>0.38680555555555557</v>
      </c>
      <c r="L63" s="80"/>
      <c r="M63" s="80"/>
      <c r="N63" s="81">
        <v>0.40625</v>
      </c>
      <c r="O63" s="81">
        <v>0.4479166666666667</v>
      </c>
      <c r="P63" s="80"/>
      <c r="Q63" s="80"/>
      <c r="R63" s="81">
        <v>0.5</v>
      </c>
      <c r="S63" s="80"/>
      <c r="T63" s="81">
        <v>0.5520833333333334</v>
      </c>
      <c r="U63" s="81">
        <v>0.5798611111111112</v>
      </c>
      <c r="V63" s="80"/>
      <c r="W63" s="80"/>
      <c r="X63" s="81">
        <v>0.6493055555555556</v>
      </c>
    </row>
    <row r="64">
      <c r="A64" s="80" t="s">
        <v>73</v>
      </c>
      <c r="B64" s="80"/>
      <c r="C64" s="81">
        <v>0.22361111111111112</v>
      </c>
      <c r="D64" s="80"/>
      <c r="E64" s="80"/>
      <c r="F64" s="80"/>
      <c r="G64" s="81">
        <v>0.3</v>
      </c>
      <c r="H64" s="80"/>
      <c r="I64" s="80"/>
      <c r="J64" s="80"/>
      <c r="K64" s="80"/>
      <c r="L64" s="81">
        <v>0.3763888888888889</v>
      </c>
      <c r="M64" s="80"/>
      <c r="N64" s="80"/>
      <c r="O64" s="80"/>
      <c r="P64" s="81">
        <v>0.4527777777777778</v>
      </c>
      <c r="Q64" s="80"/>
      <c r="R64" s="80"/>
      <c r="S64" s="80"/>
      <c r="T64" s="80"/>
      <c r="U64" s="80"/>
      <c r="V64" s="81">
        <v>0.5777777777777777</v>
      </c>
      <c r="W64" s="80"/>
      <c r="X64" s="80"/>
    </row>
    <row r="65">
      <c r="A65" s="80" t="s">
        <v>75</v>
      </c>
      <c r="B65" s="80"/>
      <c r="C65" s="81">
        <v>0.225</v>
      </c>
      <c r="D65" s="80"/>
      <c r="E65" s="80"/>
      <c r="F65" s="80"/>
      <c r="G65" s="81">
        <v>0.3013888888888889</v>
      </c>
      <c r="H65" s="80"/>
      <c r="I65" s="80"/>
      <c r="J65" s="80"/>
      <c r="K65" s="80"/>
      <c r="L65" s="81">
        <v>0.37777777777777777</v>
      </c>
      <c r="M65" s="80"/>
      <c r="N65" s="80"/>
      <c r="O65" s="80"/>
      <c r="P65" s="81">
        <v>0.45416666666666666</v>
      </c>
      <c r="Q65" s="80"/>
      <c r="R65" s="80"/>
      <c r="S65" s="80"/>
      <c r="T65" s="80"/>
      <c r="U65" s="80"/>
      <c r="V65" s="81">
        <v>0.5791666666666667</v>
      </c>
      <c r="W65" s="80"/>
      <c r="X65" s="80"/>
    </row>
    <row r="66">
      <c r="A66" s="80" t="s">
        <v>77</v>
      </c>
      <c r="B66" s="80"/>
      <c r="C66" s="81">
        <v>0.22708333333333333</v>
      </c>
      <c r="D66" s="80"/>
      <c r="E66" s="80"/>
      <c r="F66" s="80"/>
      <c r="G66" s="81">
        <v>0.3034722222222222</v>
      </c>
      <c r="H66" s="80"/>
      <c r="I66" s="80"/>
      <c r="J66" s="80"/>
      <c r="K66" s="80"/>
      <c r="L66" s="81">
        <v>0.3798611111111111</v>
      </c>
      <c r="M66" s="80"/>
      <c r="N66" s="80"/>
      <c r="O66" s="80"/>
      <c r="P66" s="81">
        <v>0.45625</v>
      </c>
      <c r="Q66" s="80"/>
      <c r="R66" s="80"/>
      <c r="S66" s="80"/>
      <c r="T66" s="80"/>
      <c r="U66" s="80"/>
      <c r="V66" s="81">
        <v>0.58125</v>
      </c>
      <c r="W66" s="80"/>
      <c r="X66" s="80"/>
    </row>
    <row r="67">
      <c r="A67" s="80" t="s">
        <v>79</v>
      </c>
      <c r="B67" s="80"/>
      <c r="C67" s="81">
        <v>0.22916666666666666</v>
      </c>
      <c r="D67" s="80"/>
      <c r="E67" s="80"/>
      <c r="F67" s="80"/>
      <c r="G67" s="81">
        <v>0.3055555555555556</v>
      </c>
      <c r="H67" s="80"/>
      <c r="I67" s="80"/>
      <c r="J67" s="80"/>
      <c r="K67" s="80"/>
      <c r="L67" s="81">
        <v>0.3819444444444444</v>
      </c>
      <c r="M67" s="80"/>
      <c r="N67" s="80"/>
      <c r="O67" s="80"/>
      <c r="P67" s="81">
        <v>0.4583333333333333</v>
      </c>
      <c r="Q67" s="80"/>
      <c r="R67" s="80"/>
      <c r="S67" s="80"/>
      <c r="T67" s="80"/>
      <c r="U67" s="80"/>
      <c r="V67" s="81">
        <v>0.5833333333333334</v>
      </c>
      <c r="W67" s="80"/>
      <c r="X67" s="80"/>
    </row>
    <row r="68">
      <c r="A68" s="80" t="s">
        <v>81</v>
      </c>
      <c r="B68" s="80"/>
      <c r="C68" s="81">
        <v>0.23125</v>
      </c>
      <c r="D68" s="80"/>
      <c r="E68" s="80"/>
      <c r="F68" s="80"/>
      <c r="G68" s="81">
        <v>0.3076388888888889</v>
      </c>
      <c r="H68" s="80"/>
      <c r="I68" s="80"/>
      <c r="J68" s="80"/>
      <c r="K68" s="80"/>
      <c r="L68" s="81">
        <v>0.3840277777777778</v>
      </c>
      <c r="M68" s="80"/>
      <c r="N68" s="80"/>
      <c r="O68" s="80"/>
      <c r="P68" s="81">
        <v>0.46041666666666664</v>
      </c>
      <c r="Q68" s="80"/>
      <c r="R68" s="80"/>
      <c r="S68" s="80"/>
      <c r="T68" s="80"/>
      <c r="U68" s="80"/>
      <c r="V68" s="81">
        <v>0.5854166666666667</v>
      </c>
      <c r="W68" s="80"/>
      <c r="X68" s="80"/>
    </row>
    <row r="69">
      <c r="A69" s="80" t="s">
        <v>83</v>
      </c>
      <c r="B69" s="80"/>
      <c r="C69" s="81">
        <v>0.23472222222222222</v>
      </c>
      <c r="D69" s="80"/>
      <c r="E69" s="80"/>
      <c r="F69" s="80"/>
      <c r="G69" s="81">
        <v>0.3111111111111111</v>
      </c>
      <c r="H69" s="80"/>
      <c r="I69" s="80"/>
      <c r="J69" s="80"/>
      <c r="K69" s="80"/>
      <c r="L69" s="81">
        <v>0.3875</v>
      </c>
      <c r="M69" s="80"/>
      <c r="N69" s="80"/>
      <c r="O69" s="80"/>
      <c r="P69" s="81">
        <v>0.4638888888888889</v>
      </c>
      <c r="Q69" s="80"/>
      <c r="R69" s="80"/>
      <c r="S69" s="80"/>
      <c r="T69" s="80"/>
      <c r="U69" s="80"/>
      <c r="V69" s="81">
        <v>0.5888888888888889</v>
      </c>
      <c r="W69" s="80"/>
      <c r="X69" s="80"/>
    </row>
    <row r="70">
      <c r="A70" s="82" t="s">
        <v>85</v>
      </c>
      <c r="B70" s="79">
        <v>0.2361111111111111</v>
      </c>
      <c r="C70" s="79">
        <v>0.24027777777777778</v>
      </c>
      <c r="D70" s="79">
        <v>0.2604166666666667</v>
      </c>
      <c r="E70" s="80"/>
      <c r="F70" s="79">
        <v>0.3</v>
      </c>
      <c r="G70" s="79">
        <v>0.31666666666666665</v>
      </c>
      <c r="H70" s="79">
        <v>0.3368055555555556</v>
      </c>
      <c r="I70" s="80"/>
      <c r="J70" s="79">
        <v>0.3576388888888889</v>
      </c>
      <c r="K70" s="79">
        <v>0.39375</v>
      </c>
      <c r="L70" s="79">
        <v>0.39305555555555555</v>
      </c>
      <c r="M70" s="80"/>
      <c r="N70" s="79">
        <v>0.4131944444444444</v>
      </c>
      <c r="O70" s="79">
        <v>0.4548611111111111</v>
      </c>
      <c r="P70" s="79">
        <v>0.46944444444444444</v>
      </c>
      <c r="Q70" s="80"/>
      <c r="R70" s="79">
        <v>0.5069444444444444</v>
      </c>
      <c r="S70" s="80"/>
      <c r="T70" s="79">
        <v>0.5590277777777778</v>
      </c>
      <c r="U70" s="79">
        <v>0.5868055555555556</v>
      </c>
      <c r="V70" s="79">
        <v>0.5944444444444444</v>
      </c>
      <c r="W70" s="80"/>
      <c r="X70" s="79">
        <v>0.65625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1" t="s">
        <v>3</v>
      </c>
      <c r="B2" s="1" t="s">
        <v>4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4"/>
      <c r="V2" s="4"/>
      <c r="W2" s="4"/>
      <c r="X2" s="4"/>
      <c r="Y2" s="4"/>
      <c r="Z2" s="4"/>
      <c r="AA2" s="4"/>
    </row>
    <row r="3">
      <c r="A3" s="83" t="s">
        <v>5</v>
      </c>
      <c r="B3" s="84" t="s">
        <v>6</v>
      </c>
      <c r="C3" s="85">
        <v>0.19444444444444445</v>
      </c>
      <c r="D3" s="85">
        <v>0.3125</v>
      </c>
      <c r="E3" s="85">
        <v>0.6840277777777778</v>
      </c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</row>
    <row r="4">
      <c r="A4" s="1" t="s">
        <v>7</v>
      </c>
      <c r="B4" s="86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86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86" t="s">
        <v>11</v>
      </c>
      <c r="B6" s="86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86" t="s">
        <v>13</v>
      </c>
      <c r="B7" s="87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86" t="s">
        <v>15</v>
      </c>
      <c r="B8" s="87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87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87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86" t="s">
        <v>21</v>
      </c>
      <c r="B11" s="87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86" t="s">
        <v>23</v>
      </c>
      <c r="B12" s="87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20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C15" s="12"/>
      <c r="D15" s="12"/>
      <c r="E15" s="12"/>
      <c r="F15" s="12"/>
      <c r="G15" s="12"/>
      <c r="H15" s="12"/>
      <c r="I15" s="12"/>
      <c r="J15" s="12"/>
      <c r="K15" s="12"/>
    </row>
    <row r="16"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sheetData>
    <row r="1">
      <c r="A1" s="86" t="s">
        <v>93</v>
      </c>
    </row>
    <row r="2">
      <c r="A2" s="86" t="s">
        <v>94</v>
      </c>
    </row>
    <row r="3">
      <c r="A3" s="86" t="s">
        <v>95</v>
      </c>
    </row>
    <row r="4">
      <c r="A4" s="86" t="s">
        <v>96</v>
      </c>
    </row>
    <row r="5">
      <c r="A5" s="86" t="s">
        <v>97</v>
      </c>
    </row>
    <row r="6">
      <c r="A6" s="86" t="s">
        <v>98</v>
      </c>
    </row>
    <row r="7">
      <c r="A7" s="86" t="s">
        <v>99</v>
      </c>
    </row>
    <row r="8">
      <c r="A8" s="86" t="s">
        <v>100</v>
      </c>
    </row>
    <row r="9">
      <c r="A9" s="86" t="s">
        <v>101</v>
      </c>
    </row>
    <row r="10">
      <c r="A10" s="86" t="s">
        <v>102</v>
      </c>
    </row>
    <row r="11">
      <c r="A11" s="86" t="s">
        <v>103</v>
      </c>
    </row>
    <row r="12">
      <c r="A12" s="86" t="s">
        <v>104</v>
      </c>
    </row>
    <row r="13">
      <c r="A13" s="86" t="s">
        <v>105</v>
      </c>
    </row>
    <row r="14">
      <c r="A14" s="86" t="s">
        <v>106</v>
      </c>
    </row>
    <row r="15">
      <c r="A15" s="86" t="s">
        <v>107</v>
      </c>
    </row>
    <row r="16">
      <c r="A16" s="86" t="s">
        <v>108</v>
      </c>
    </row>
    <row r="17">
      <c r="A17" s="86" t="s">
        <v>109</v>
      </c>
    </row>
    <row r="18">
      <c r="A18" s="86" t="s">
        <v>110</v>
      </c>
    </row>
    <row r="19">
      <c r="A19" s="86" t="s">
        <v>111</v>
      </c>
    </row>
    <row r="20">
      <c r="A20" s="86" t="s">
        <v>112</v>
      </c>
    </row>
    <row r="21">
      <c r="A21" s="86" t="s">
        <v>113</v>
      </c>
    </row>
    <row r="22">
      <c r="A22" s="86" t="s">
        <v>114</v>
      </c>
    </row>
    <row r="23">
      <c r="A23" s="86" t="s">
        <v>115</v>
      </c>
    </row>
    <row r="24">
      <c r="A24" s="86" t="s">
        <v>116</v>
      </c>
    </row>
    <row r="25">
      <c r="A25" s="86" t="s">
        <v>117</v>
      </c>
    </row>
    <row r="26">
      <c r="A26" s="86" t="s">
        <v>118</v>
      </c>
    </row>
    <row r="27">
      <c r="A27" s="86" t="s">
        <v>119</v>
      </c>
    </row>
    <row r="28">
      <c r="A28" s="86" t="s">
        <v>120</v>
      </c>
    </row>
    <row r="29">
      <c r="A29" s="86" t="s">
        <v>121</v>
      </c>
    </row>
    <row r="30">
      <c r="A30" s="86" t="s">
        <v>122</v>
      </c>
    </row>
    <row r="31">
      <c r="A31" s="86" t="s">
        <v>123</v>
      </c>
    </row>
    <row r="32">
      <c r="A32" s="86" t="s">
        <v>124</v>
      </c>
    </row>
    <row r="33">
      <c r="A33" s="86" t="s">
        <v>125</v>
      </c>
    </row>
    <row r="34">
      <c r="A34" s="86" t="s">
        <v>126</v>
      </c>
    </row>
    <row r="35">
      <c r="A35" s="86" t="s">
        <v>127</v>
      </c>
    </row>
    <row r="36">
      <c r="A36" s="86" t="s">
        <v>128</v>
      </c>
    </row>
    <row r="37">
      <c r="A37" s="86" t="s">
        <v>129</v>
      </c>
    </row>
    <row r="38">
      <c r="A38" s="86" t="s">
        <v>130</v>
      </c>
    </row>
    <row r="39">
      <c r="A39" s="86" t="s">
        <v>131</v>
      </c>
    </row>
    <row r="40">
      <c r="A40" s="86" t="s">
        <v>132</v>
      </c>
    </row>
    <row r="41">
      <c r="A41" s="86" t="s">
        <v>133</v>
      </c>
    </row>
    <row r="42">
      <c r="A42" s="86" t="s">
        <v>134</v>
      </c>
    </row>
    <row r="43">
      <c r="A43" s="86" t="s">
        <v>135</v>
      </c>
    </row>
    <row r="44">
      <c r="A44" s="86" t="s">
        <v>136</v>
      </c>
    </row>
    <row r="45">
      <c r="A45" s="86" t="s">
        <v>137</v>
      </c>
    </row>
    <row r="46">
      <c r="A46" s="86" t="s">
        <v>138</v>
      </c>
    </row>
    <row r="47">
      <c r="A47" s="86" t="s">
        <v>139</v>
      </c>
    </row>
    <row r="48">
      <c r="A48" s="86" t="s">
        <v>140</v>
      </c>
    </row>
    <row r="49">
      <c r="A49" s="86" t="s">
        <v>141</v>
      </c>
    </row>
    <row r="50">
      <c r="A50" s="86" t="s">
        <v>142</v>
      </c>
    </row>
    <row r="51">
      <c r="A51" s="86" t="s">
        <v>143</v>
      </c>
    </row>
    <row r="52">
      <c r="A52" s="86" t="s">
        <v>144</v>
      </c>
    </row>
    <row r="53">
      <c r="A53" s="86" t="s">
        <v>145</v>
      </c>
    </row>
    <row r="54">
      <c r="A54" s="86" t="s">
        <v>146</v>
      </c>
    </row>
    <row r="55">
      <c r="A55" s="86" t="s">
        <v>147</v>
      </c>
    </row>
    <row r="56">
      <c r="A56" s="86" t="s">
        <v>148</v>
      </c>
    </row>
    <row r="57">
      <c r="A57" s="86" t="s">
        <v>149</v>
      </c>
    </row>
    <row r="58">
      <c r="A58" s="86" t="s">
        <v>150</v>
      </c>
    </row>
    <row r="59">
      <c r="A59" s="86" t="s">
        <v>151</v>
      </c>
    </row>
    <row r="60">
      <c r="A60" s="86" t="s">
        <v>152</v>
      </c>
    </row>
    <row r="61">
      <c r="A61" s="86" t="s">
        <v>153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IFERROR(__xludf.DUMMYFUNCTION("ArrayFormula((FILTER('CTCEN-OUT_Weekday'!A:BZ, BYCOL('CTCEN-OUT_Weekday'!A:BZ, LAMBDA(c, OR(COLUMN(c)&lt;=2, INDEX(c, MATCH(""*NOLUNGILE*"", 'CTCEN-OUT_Weekday'!$A:$A, 0))&lt;&gt;""""))))))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IFERROR(__xludf.DUMMYFUNCTION("""COMPUTED_VALUE"""),9901.0)</f>
        <v>9901</v>
      </c>
      <c r="D2" s="5">
        <f>IFERROR(__xludf.DUMMYFUNCTION("""COMPUTED_VALUE"""),9401.0)</f>
        <v>9401</v>
      </c>
      <c r="E2" s="5">
        <f>IFERROR(__xludf.DUMMYFUNCTION("""COMPUTED_VALUE"""),9903.0)</f>
        <v>9903</v>
      </c>
      <c r="F2" s="5">
        <f>IFERROR(__xludf.DUMMYFUNCTION("""COMPUTED_VALUE"""),9403.0)</f>
        <v>9403</v>
      </c>
      <c r="G2" s="5">
        <f>IFERROR(__xludf.DUMMYFUNCTION("""COMPUTED_VALUE"""),9905.0)</f>
        <v>9905</v>
      </c>
      <c r="H2" s="5">
        <f>IFERROR(__xludf.DUMMYFUNCTION("""COMPUTED_VALUE"""),9405.0)</f>
        <v>9405</v>
      </c>
      <c r="I2" s="5">
        <f>IFERROR(__xludf.DUMMYFUNCTION("""COMPUTED_VALUE"""),9907.0)</f>
        <v>9907</v>
      </c>
      <c r="J2" s="5">
        <f>IFERROR(__xludf.DUMMYFUNCTION("""COMPUTED_VALUE"""),9909.0)</f>
        <v>9909</v>
      </c>
      <c r="K2" s="5">
        <f>IFERROR(__xludf.DUMMYFUNCTION("""COMPUTED_VALUE"""),9911.0)</f>
        <v>9911</v>
      </c>
      <c r="L2" s="5">
        <f>IFERROR(__xludf.DUMMYFUNCTION("""COMPUTED_VALUE"""),9407.0)</f>
        <v>9407</v>
      </c>
      <c r="M2" s="5">
        <f>IFERROR(__xludf.DUMMYFUNCTION("""COMPUTED_VALUE"""),9913.0)</f>
        <v>9913</v>
      </c>
      <c r="N2" s="5">
        <f>IFERROR(__xludf.DUMMYFUNCTION("""COMPUTED_VALUE"""),9409.0)</f>
        <v>9409</v>
      </c>
      <c r="O2" s="5">
        <f>IFERROR(__xludf.DUMMYFUNCTION("""COMPUTED_VALUE"""),9915.0)</f>
        <v>9915</v>
      </c>
      <c r="P2" s="5">
        <f>IFERROR(__xludf.DUMMYFUNCTION("""COMPUTED_VALUE"""),9411.0)</f>
        <v>9411</v>
      </c>
      <c r="Q2" s="5">
        <f>IFERROR(__xludf.DUMMYFUNCTION("""COMPUTED_VALUE"""),9917.0)</f>
        <v>9917</v>
      </c>
      <c r="R2" s="5">
        <f>IFERROR(__xludf.DUMMYFUNCTION("""COMPUTED_VALUE"""),9413.0)</f>
        <v>9413</v>
      </c>
      <c r="S2" s="5">
        <f>IFERROR(__xludf.DUMMYFUNCTION("""COMPUTED_VALUE"""),9919.0)</f>
        <v>9919</v>
      </c>
      <c r="T2" s="5">
        <f>IFERROR(__xludf.DUMMYFUNCTION("""COMPUTED_VALUE"""),9415.0)</f>
        <v>9415</v>
      </c>
      <c r="U2" s="6">
        <f>IFERROR(__xludf.DUMMYFUNCTION("""COMPUTED_VALUE"""),9921.0)</f>
        <v>9921</v>
      </c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8" t="str">
        <f>IFERROR(__xludf.DUMMYFUNCTION("""COMPUTED_VALUE"""),"-33.92363127060243, 18.42718648501388")</f>
        <v>-33.92363127060243, 18.42718648501388</v>
      </c>
      <c r="C3" s="9">
        <f>IFERROR(__xludf.DUMMYFUNCTION("""COMPUTED_VALUE"""),0.2013888888888889)</f>
        <v>0.2013888889</v>
      </c>
      <c r="D3" s="9">
        <f>IFERROR(__xludf.DUMMYFUNCTION("""COMPUTED_VALUE"""),0.24305555555555555)</f>
        <v>0.2430555556</v>
      </c>
      <c r="E3" s="9">
        <f>IFERROR(__xludf.DUMMYFUNCTION("""COMPUTED_VALUE"""),0.2534722222222222)</f>
        <v>0.2534722222</v>
      </c>
      <c r="F3" s="9">
        <f>IFERROR(__xludf.DUMMYFUNCTION("""COMPUTED_VALUE"""),0.2951388888888889)</f>
        <v>0.2951388889</v>
      </c>
      <c r="G3" s="9">
        <f>IFERROR(__xludf.DUMMYFUNCTION("""COMPUTED_VALUE"""),0.3055555555555556)</f>
        <v>0.3055555556</v>
      </c>
      <c r="H3" s="9">
        <f>IFERROR(__xludf.DUMMYFUNCTION("""COMPUTED_VALUE"""),0.34930555555555554)</f>
        <v>0.3493055556</v>
      </c>
      <c r="I3" s="9">
        <f>IFERROR(__xludf.DUMMYFUNCTION("""COMPUTED_VALUE"""),0.375)</f>
        <v>0.375</v>
      </c>
      <c r="J3" s="9">
        <f>IFERROR(__xludf.DUMMYFUNCTION("""COMPUTED_VALUE"""),0.4305555555555556)</f>
        <v>0.4305555556</v>
      </c>
      <c r="K3" s="9">
        <f>IFERROR(__xludf.DUMMYFUNCTION("""COMPUTED_VALUE"""),0.4861111111111111)</f>
        <v>0.4861111111</v>
      </c>
      <c r="L3" s="9">
        <f>IFERROR(__xludf.DUMMYFUNCTION("""COMPUTED_VALUE"""),0.4965277777777778)</f>
        <v>0.4965277778</v>
      </c>
      <c r="M3" s="9">
        <f>IFERROR(__xludf.DUMMYFUNCTION("""COMPUTED_VALUE"""),0.5729166666666666)</f>
        <v>0.5729166667</v>
      </c>
      <c r="N3" s="9">
        <f>IFERROR(__xludf.DUMMYFUNCTION("""COMPUTED_VALUE"""),0.5902777777777778)</f>
        <v>0.5902777778</v>
      </c>
      <c r="O3" s="9">
        <f>IFERROR(__xludf.DUMMYFUNCTION("""COMPUTED_VALUE"""),0.625)</f>
        <v>0.625</v>
      </c>
      <c r="P3" s="9">
        <f>IFERROR(__xludf.DUMMYFUNCTION("""COMPUTED_VALUE"""),0.6631944444444444)</f>
        <v>0.6631944444</v>
      </c>
      <c r="Q3" s="9">
        <f>IFERROR(__xludf.DUMMYFUNCTION("""COMPUTED_VALUE"""),0.6770833333333334)</f>
        <v>0.6770833333</v>
      </c>
      <c r="R3" s="9">
        <f>IFERROR(__xludf.DUMMYFUNCTION("""COMPUTED_VALUE"""),0.7243055555555555)</f>
        <v>0.7243055556</v>
      </c>
      <c r="S3" s="9">
        <f>IFERROR(__xludf.DUMMYFUNCTION("""COMPUTED_VALUE"""),0.7326388888888888)</f>
        <v>0.7326388889</v>
      </c>
      <c r="T3" s="9">
        <f>IFERROR(__xludf.DUMMYFUNCTION("""COMPUTED_VALUE"""),0.7569444444444444)</f>
        <v>0.7569444444</v>
      </c>
      <c r="U3" s="89">
        <f>IFERROR(__xludf.DUMMYFUNCTION("""COMPUTED_VALUE"""),0.8020833333333334)</f>
        <v>0.8020833333</v>
      </c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0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tr">
        <f>IFERROR(__xludf.DUMMYFUNCTION("""COMPUTED_VALUE"""),"SALT RIVER")</f>
        <v>SALT RIVER</v>
      </c>
      <c r="B5" s="90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tr">
        <f>IFERROR(__xludf.DUMMYFUNCTION("""COMPUTED_VALUE"""),"KOEBERG RD")</f>
        <v>KOEBERG RD</v>
      </c>
      <c r="B6" s="90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tr">
        <f>IFERROR(__xludf.DUMMYFUNCTION("""COMPUTED_VALUE"""),"MAITLAND")</f>
        <v>MAITLAND</v>
      </c>
      <c r="B7" s="91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tr">
        <f>IFERROR(__xludf.DUMMYFUNCTION("""COMPUTED_VALUE"""),"NDABENI")</f>
        <v>NDABENI</v>
      </c>
      <c r="B8" s="91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tr">
        <f>IFERROR(__xludf.DUMMYFUNCTION("""COMPUTED_VALUE"""),"PINELANDS")</f>
        <v>PINELANDS</v>
      </c>
      <c r="B9" s="91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tr">
        <f>IFERROR(__xludf.DUMMYFUNCTION("""COMPUTED_VALUE"""),"ESPLANADE")</f>
        <v>ESPLANADE</v>
      </c>
      <c r="B10" s="91" t="str">
        <f>IFERROR(__xludf.DUMMYFUNCTION("""COMPUTED_VALUE"""),"-33.923640784366874, 18.446037955514498")</f>
        <v>-33.923640784366874, 18.446037955514498</v>
      </c>
      <c r="C10" s="12">
        <f>IFERROR(__xludf.DUMMYFUNCTION("""COMPUTED_VALUE"""),0.20833333333333334)</f>
        <v>0.2083333333</v>
      </c>
      <c r="D10" s="12">
        <f>IFERROR(__xludf.DUMMYFUNCTION("""COMPUTED_VALUE"""),0.25)</f>
        <v>0.25</v>
      </c>
      <c r="E10" s="12">
        <f>IFERROR(__xludf.DUMMYFUNCTION("""COMPUTED_VALUE"""),0.2604166666666667)</f>
        <v>0.2604166667</v>
      </c>
      <c r="F10" s="12">
        <f>IFERROR(__xludf.DUMMYFUNCTION("""COMPUTED_VALUE"""),0.3020833333333333)</f>
        <v>0.3020833333</v>
      </c>
      <c r="G10" s="12">
        <f>IFERROR(__xludf.DUMMYFUNCTION("""COMPUTED_VALUE"""),0.3125)</f>
        <v>0.3125</v>
      </c>
      <c r="H10" s="12">
        <f>IFERROR(__xludf.DUMMYFUNCTION("""COMPUTED_VALUE"""),0.35625)</f>
        <v>0.35625</v>
      </c>
      <c r="I10" s="12">
        <f>IFERROR(__xludf.DUMMYFUNCTION("""COMPUTED_VALUE"""),0.3819444444444444)</f>
        <v>0.3819444444</v>
      </c>
      <c r="J10" s="12">
        <f>IFERROR(__xludf.DUMMYFUNCTION("""COMPUTED_VALUE"""),0.4375)</f>
        <v>0.4375</v>
      </c>
      <c r="K10" s="12">
        <f>IFERROR(__xludf.DUMMYFUNCTION("""COMPUTED_VALUE"""),0.4930555555555556)</f>
        <v>0.4930555556</v>
      </c>
      <c r="L10" s="12">
        <f>IFERROR(__xludf.DUMMYFUNCTION("""COMPUTED_VALUE"""),0.5034722222222222)</f>
        <v>0.5034722222</v>
      </c>
      <c r="M10" s="12">
        <f>IFERROR(__xludf.DUMMYFUNCTION("""COMPUTED_VALUE"""),0.5798611111111112)</f>
        <v>0.5798611111</v>
      </c>
      <c r="N10" s="12">
        <f>IFERROR(__xludf.DUMMYFUNCTION("""COMPUTED_VALUE"""),0.5972222222222222)</f>
        <v>0.5972222222</v>
      </c>
      <c r="O10" s="12">
        <f>IFERROR(__xludf.DUMMYFUNCTION("""COMPUTED_VALUE"""),0.6319444444444444)</f>
        <v>0.6319444444</v>
      </c>
      <c r="P10" s="12">
        <f>IFERROR(__xludf.DUMMYFUNCTION("""COMPUTED_VALUE"""),0.6701388888888888)</f>
        <v>0.6701388889</v>
      </c>
      <c r="Q10" s="12">
        <f>IFERROR(__xludf.DUMMYFUNCTION("""COMPUTED_VALUE"""),0.6840277777777778)</f>
        <v>0.6840277778</v>
      </c>
      <c r="R10" s="12">
        <f>IFERROR(__xludf.DUMMYFUNCTION("""COMPUTED_VALUE"""),0.73125)</f>
        <v>0.73125</v>
      </c>
      <c r="S10" s="12">
        <f>IFERROR(__xludf.DUMMYFUNCTION("""COMPUTED_VALUE"""),0.7395833333333334)</f>
        <v>0.7395833333</v>
      </c>
      <c r="T10" s="12">
        <f>IFERROR(__xludf.DUMMYFUNCTION("""COMPUTED_VALUE"""),0.7638888888888888)</f>
        <v>0.7638888889</v>
      </c>
      <c r="U10" s="20">
        <f>IFERROR(__xludf.DUMMYFUNCTION("""COMPUTED_VALUE"""),0.8090277777777778)</f>
        <v>0.8090277778</v>
      </c>
    </row>
    <row r="11">
      <c r="A11" s="1" t="str">
        <f>IFERROR(__xludf.DUMMYFUNCTION("""COMPUTED_VALUE"""),"YSTERPLAAT")</f>
        <v>YSTERPLAAT</v>
      </c>
      <c r="B11" s="91" t="str">
        <f>IFERROR(__xludf.DUMMYFUNCTION("""COMPUTED_VALUE"""),"-33.9199022523178, 18.476775305514295")</f>
        <v>-33.9199022523178, 18.476775305514295</v>
      </c>
      <c r="C11" s="12">
        <f>IFERROR(__xludf.DUMMYFUNCTION("""COMPUTED_VALUE"""),0.21666666666666667)</f>
        <v>0.2166666667</v>
      </c>
      <c r="D11" s="12">
        <f>IFERROR(__xludf.DUMMYFUNCTION("""COMPUTED_VALUE"""),0.25833333333333336)</f>
        <v>0.2583333333</v>
      </c>
      <c r="E11" s="12">
        <f>IFERROR(__xludf.DUMMYFUNCTION("""COMPUTED_VALUE"""),0.26875)</f>
        <v>0.26875</v>
      </c>
      <c r="F11" s="12">
        <f>IFERROR(__xludf.DUMMYFUNCTION("""COMPUTED_VALUE"""),0.3104166666666667)</f>
        <v>0.3104166667</v>
      </c>
      <c r="G11" s="12">
        <f>IFERROR(__xludf.DUMMYFUNCTION("""COMPUTED_VALUE"""),0.32083333333333336)</f>
        <v>0.3208333333</v>
      </c>
      <c r="H11" s="12">
        <f>IFERROR(__xludf.DUMMYFUNCTION("""COMPUTED_VALUE"""),0.3645833333333333)</f>
        <v>0.3645833333</v>
      </c>
      <c r="I11" s="12">
        <f>IFERROR(__xludf.DUMMYFUNCTION("""COMPUTED_VALUE"""),0.3902777777777778)</f>
        <v>0.3902777778</v>
      </c>
      <c r="J11" s="12">
        <f>IFERROR(__xludf.DUMMYFUNCTION("""COMPUTED_VALUE"""),0.44583333333333336)</f>
        <v>0.4458333333</v>
      </c>
      <c r="K11" s="12">
        <f>IFERROR(__xludf.DUMMYFUNCTION("""COMPUTED_VALUE"""),0.5013888888888889)</f>
        <v>0.5013888889</v>
      </c>
      <c r="L11" s="12">
        <f>IFERROR(__xludf.DUMMYFUNCTION("""COMPUTED_VALUE"""),0.5118055555555555)</f>
        <v>0.5118055556</v>
      </c>
      <c r="M11" s="12">
        <f>IFERROR(__xludf.DUMMYFUNCTION("""COMPUTED_VALUE"""),0.5881944444444445)</f>
        <v>0.5881944444</v>
      </c>
      <c r="N11" s="12">
        <f>IFERROR(__xludf.DUMMYFUNCTION("""COMPUTED_VALUE"""),0.6055555555555555)</f>
        <v>0.6055555556</v>
      </c>
      <c r="O11" s="12">
        <f>IFERROR(__xludf.DUMMYFUNCTION("""COMPUTED_VALUE"""),0.6402777777777777)</f>
        <v>0.6402777778</v>
      </c>
      <c r="P11" s="12">
        <f>IFERROR(__xludf.DUMMYFUNCTION("""COMPUTED_VALUE"""),0.6784722222222223)</f>
        <v>0.6784722222</v>
      </c>
      <c r="Q11" s="12">
        <f>IFERROR(__xludf.DUMMYFUNCTION("""COMPUTED_VALUE"""),0.6923611111111111)</f>
        <v>0.6923611111</v>
      </c>
      <c r="R11" s="12">
        <f>IFERROR(__xludf.DUMMYFUNCTION("""COMPUTED_VALUE"""),0.7395833333333334)</f>
        <v>0.7395833333</v>
      </c>
      <c r="S11" s="12">
        <f>IFERROR(__xludf.DUMMYFUNCTION("""COMPUTED_VALUE"""),0.7479166666666667)</f>
        <v>0.7479166667</v>
      </c>
      <c r="T11" s="12">
        <f>IFERROR(__xludf.DUMMYFUNCTION("""COMPUTED_VALUE"""),0.7722222222222223)</f>
        <v>0.7722222222</v>
      </c>
      <c r="U11" s="20">
        <f>IFERROR(__xludf.DUMMYFUNCTION("""COMPUTED_VALUE"""),0.8173611111111111)</f>
        <v>0.8173611111</v>
      </c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IFERROR(__xludf.DUMMYFUNCTION("""COMPUTED_VALUE"""),0.22013888888888888)</f>
        <v>0.2201388889</v>
      </c>
      <c r="D12" s="12">
        <f>IFERROR(__xludf.DUMMYFUNCTION("""COMPUTED_VALUE"""),0.26180555555555557)</f>
        <v>0.2618055556</v>
      </c>
      <c r="E12" s="12">
        <f>IFERROR(__xludf.DUMMYFUNCTION("""COMPUTED_VALUE"""),0.2722222222222222)</f>
        <v>0.2722222222</v>
      </c>
      <c r="F12" s="12">
        <f>IFERROR(__xludf.DUMMYFUNCTION("""COMPUTED_VALUE"""),0.3138888888888889)</f>
        <v>0.3138888889</v>
      </c>
      <c r="G12" s="12">
        <f>IFERROR(__xludf.DUMMYFUNCTION("""COMPUTED_VALUE"""),0.32430555555555557)</f>
        <v>0.3243055556</v>
      </c>
      <c r="H12" s="12">
        <f>IFERROR(__xludf.DUMMYFUNCTION("""COMPUTED_VALUE"""),0.3680555555555556)</f>
        <v>0.3680555556</v>
      </c>
      <c r="I12" s="12">
        <f>IFERROR(__xludf.DUMMYFUNCTION("""COMPUTED_VALUE"""),0.39375)</f>
        <v>0.39375</v>
      </c>
      <c r="J12" s="12">
        <f>IFERROR(__xludf.DUMMYFUNCTION("""COMPUTED_VALUE"""),0.44930555555555557)</f>
        <v>0.4493055556</v>
      </c>
      <c r="K12" s="12">
        <f>IFERROR(__xludf.DUMMYFUNCTION("""COMPUTED_VALUE"""),0.5048611111111111)</f>
        <v>0.5048611111</v>
      </c>
      <c r="L12" s="12">
        <f>IFERROR(__xludf.DUMMYFUNCTION("""COMPUTED_VALUE"""),0.5152777777777777)</f>
        <v>0.5152777778</v>
      </c>
      <c r="M12" s="12">
        <f>IFERROR(__xludf.DUMMYFUNCTION("""COMPUTED_VALUE"""),0.5916666666666667)</f>
        <v>0.5916666667</v>
      </c>
      <c r="N12" s="12">
        <f>IFERROR(__xludf.DUMMYFUNCTION("""COMPUTED_VALUE"""),0.6090277777777777)</f>
        <v>0.6090277778</v>
      </c>
      <c r="O12" s="12">
        <f>IFERROR(__xludf.DUMMYFUNCTION("""COMPUTED_VALUE"""),0.64375)</f>
        <v>0.64375</v>
      </c>
      <c r="P12" s="12">
        <f>IFERROR(__xludf.DUMMYFUNCTION("""COMPUTED_VALUE"""),0.6819444444444445)</f>
        <v>0.6819444444</v>
      </c>
      <c r="Q12" s="12">
        <f>IFERROR(__xludf.DUMMYFUNCTION("""COMPUTED_VALUE"""),0.6958333333333333)</f>
        <v>0.6958333333</v>
      </c>
      <c r="R12" s="12">
        <f>IFERROR(__xludf.DUMMYFUNCTION("""COMPUTED_VALUE"""),0.7430555555555556)</f>
        <v>0.7430555556</v>
      </c>
      <c r="S12" s="12">
        <f>IFERROR(__xludf.DUMMYFUNCTION("""COMPUTED_VALUE"""),0.7513888888888889)</f>
        <v>0.7513888889</v>
      </c>
      <c r="T12" s="12">
        <f>IFERROR(__xludf.DUMMYFUNCTION("""COMPUTED_VALUE"""),0.7756944444444445)</f>
        <v>0.7756944444</v>
      </c>
      <c r="U12" s="20">
        <f>IFERROR(__xludf.DUMMYFUNCTION("""COMPUTED_VALUE"""),0.8208333333333333)</f>
        <v>0.8208333333</v>
      </c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IFERROR(__xludf.DUMMYFUNCTION("""COMPUTED_VALUE"""),0.22361111111111112)</f>
        <v>0.2236111111</v>
      </c>
      <c r="D13" s="12">
        <f>IFERROR(__xludf.DUMMYFUNCTION("""COMPUTED_VALUE"""),0.2652777777777778)</f>
        <v>0.2652777778</v>
      </c>
      <c r="E13" s="12">
        <f>IFERROR(__xludf.DUMMYFUNCTION("""COMPUTED_VALUE"""),0.27569444444444446)</f>
        <v>0.2756944444</v>
      </c>
      <c r="F13" s="12">
        <f>IFERROR(__xludf.DUMMYFUNCTION("""COMPUTED_VALUE"""),0.3173611111111111)</f>
        <v>0.3173611111</v>
      </c>
      <c r="G13" s="12">
        <f>IFERROR(__xludf.DUMMYFUNCTION("""COMPUTED_VALUE"""),0.3277777777777778)</f>
        <v>0.3277777778</v>
      </c>
      <c r="H13" s="12">
        <f>IFERROR(__xludf.DUMMYFUNCTION("""COMPUTED_VALUE"""),0.3715277777777778)</f>
        <v>0.3715277778</v>
      </c>
      <c r="I13" s="12">
        <f>IFERROR(__xludf.DUMMYFUNCTION("""COMPUTED_VALUE"""),0.3972222222222222)</f>
        <v>0.3972222222</v>
      </c>
      <c r="J13" s="12">
        <f>IFERROR(__xludf.DUMMYFUNCTION("""COMPUTED_VALUE"""),0.4527777777777778)</f>
        <v>0.4527777778</v>
      </c>
      <c r="K13" s="12">
        <f>IFERROR(__xludf.DUMMYFUNCTION("""COMPUTED_VALUE"""),0.5083333333333333)</f>
        <v>0.5083333333</v>
      </c>
      <c r="L13" s="12">
        <f>IFERROR(__xludf.DUMMYFUNCTION("""COMPUTED_VALUE"""),0.51875)</f>
        <v>0.51875</v>
      </c>
      <c r="M13" s="12">
        <f>IFERROR(__xludf.DUMMYFUNCTION("""COMPUTED_VALUE"""),0.5951388888888889)</f>
        <v>0.5951388889</v>
      </c>
      <c r="N13" s="12">
        <f>IFERROR(__xludf.DUMMYFUNCTION("""COMPUTED_VALUE"""),0.6125)</f>
        <v>0.6125</v>
      </c>
      <c r="O13" s="12">
        <f>IFERROR(__xludf.DUMMYFUNCTION("""COMPUTED_VALUE"""),0.6472222222222223)</f>
        <v>0.6472222222</v>
      </c>
      <c r="P13" s="12">
        <f>IFERROR(__xludf.DUMMYFUNCTION("""COMPUTED_VALUE"""),0.6854166666666667)</f>
        <v>0.6854166667</v>
      </c>
      <c r="Q13" s="12">
        <f>IFERROR(__xludf.DUMMYFUNCTION("""COMPUTED_VALUE"""),0.6993055555555555)</f>
        <v>0.6993055556</v>
      </c>
      <c r="R13" s="12">
        <f>IFERROR(__xludf.DUMMYFUNCTION("""COMPUTED_VALUE"""),0.7465277777777778)</f>
        <v>0.7465277778</v>
      </c>
      <c r="S13" s="12">
        <f>IFERROR(__xludf.DUMMYFUNCTION("""COMPUTED_VALUE"""),0.7548611111111111)</f>
        <v>0.7548611111</v>
      </c>
      <c r="T13" s="12">
        <f>IFERROR(__xludf.DUMMYFUNCTION("""COMPUTED_VALUE"""),0.7791666666666667)</f>
        <v>0.7791666667</v>
      </c>
      <c r="U13" s="20">
        <f>IFERROR(__xludf.DUMMYFUNCTION("""COMPUTED_VALUE"""),0.8243055555555555)</f>
        <v>0.8243055556</v>
      </c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IFERROR(__xludf.DUMMYFUNCTION("""COMPUTED_VALUE"""),0.225)</f>
        <v>0.225</v>
      </c>
      <c r="D14" s="12">
        <f>IFERROR(__xludf.DUMMYFUNCTION("""COMPUTED_VALUE"""),0.26666666666666666)</f>
        <v>0.2666666667</v>
      </c>
      <c r="E14" s="12">
        <f>IFERROR(__xludf.DUMMYFUNCTION("""COMPUTED_VALUE"""),0.27708333333333335)</f>
        <v>0.2770833333</v>
      </c>
      <c r="F14" s="12">
        <f>IFERROR(__xludf.DUMMYFUNCTION("""COMPUTED_VALUE"""),0.31875)</f>
        <v>0.31875</v>
      </c>
      <c r="G14" s="12">
        <f>IFERROR(__xludf.DUMMYFUNCTION("""COMPUTED_VALUE"""),0.32916666666666666)</f>
        <v>0.3291666667</v>
      </c>
      <c r="H14" s="12">
        <f>IFERROR(__xludf.DUMMYFUNCTION("""COMPUTED_VALUE"""),0.3729166666666667)</f>
        <v>0.3729166667</v>
      </c>
      <c r="I14" s="12">
        <f>IFERROR(__xludf.DUMMYFUNCTION("""COMPUTED_VALUE"""),0.39861111111111114)</f>
        <v>0.3986111111</v>
      </c>
      <c r="J14" s="12">
        <f>IFERROR(__xludf.DUMMYFUNCTION("""COMPUTED_VALUE"""),0.45416666666666666)</f>
        <v>0.4541666667</v>
      </c>
      <c r="K14" s="12">
        <f>IFERROR(__xludf.DUMMYFUNCTION("""COMPUTED_VALUE"""),0.5097222222222222)</f>
        <v>0.5097222222</v>
      </c>
      <c r="L14" s="20">
        <f>IFERROR(__xludf.DUMMYFUNCTION("""COMPUTED_VALUE"""),0.5201388888888889)</f>
        <v>0.5201388889</v>
      </c>
      <c r="M14" s="20">
        <f>IFERROR(__xludf.DUMMYFUNCTION("""COMPUTED_VALUE"""),0.5965277777777778)</f>
        <v>0.5965277778</v>
      </c>
      <c r="N14" s="20">
        <f>IFERROR(__xludf.DUMMYFUNCTION("""COMPUTED_VALUE"""),0.6138888888888889)</f>
        <v>0.6138888889</v>
      </c>
      <c r="O14" s="20">
        <f>IFERROR(__xludf.DUMMYFUNCTION("""COMPUTED_VALUE"""),0.6486111111111111)</f>
        <v>0.6486111111</v>
      </c>
      <c r="P14" s="20">
        <f>IFERROR(__xludf.DUMMYFUNCTION("""COMPUTED_VALUE"""),0.6868055555555556)</f>
        <v>0.6868055556</v>
      </c>
      <c r="Q14" s="20">
        <f>IFERROR(__xludf.DUMMYFUNCTION("""COMPUTED_VALUE"""),0.7006944444444444)</f>
        <v>0.7006944444</v>
      </c>
      <c r="R14" s="20">
        <f>IFERROR(__xludf.DUMMYFUNCTION("""COMPUTED_VALUE"""),0.7479166666666667)</f>
        <v>0.7479166667</v>
      </c>
      <c r="S14" s="20">
        <f>IFERROR(__xludf.DUMMYFUNCTION("""COMPUTED_VALUE"""),0.75625)</f>
        <v>0.75625</v>
      </c>
      <c r="T14" s="20">
        <f>IFERROR(__xludf.DUMMYFUNCTION("""COMPUTED_VALUE"""),0.7805555555555556)</f>
        <v>0.7805555556</v>
      </c>
      <c r="U14" s="20">
        <f>IFERROR(__xludf.DUMMYFUNCTION("""COMPUTED_VALUE"""),0.8256944444444444)</f>
        <v>0.8256944444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IFERROR(__xludf.DUMMYFUNCTION("""COMPUTED_VALUE"""),0.2263888888888889)</f>
        <v>0.2263888889</v>
      </c>
      <c r="D15" s="12">
        <f>IFERROR(__xludf.DUMMYFUNCTION("""COMPUTED_VALUE"""),0.26805555555555555)</f>
        <v>0.2680555556</v>
      </c>
      <c r="E15" s="12">
        <f>IFERROR(__xludf.DUMMYFUNCTION("""COMPUTED_VALUE"""),0.27847222222222223)</f>
        <v>0.2784722222</v>
      </c>
      <c r="F15" s="12">
        <f>IFERROR(__xludf.DUMMYFUNCTION("""COMPUTED_VALUE"""),0.32013888888888886)</f>
        <v>0.3201388889</v>
      </c>
      <c r="G15" s="12">
        <f>IFERROR(__xludf.DUMMYFUNCTION("""COMPUTED_VALUE"""),0.33055555555555555)</f>
        <v>0.3305555556</v>
      </c>
      <c r="H15" s="12">
        <f>IFERROR(__xludf.DUMMYFUNCTION("""COMPUTED_VALUE"""),0.37430555555555556)</f>
        <v>0.3743055556</v>
      </c>
      <c r="I15" s="12">
        <f>IFERROR(__xludf.DUMMYFUNCTION("""COMPUTED_VALUE"""),0.4)</f>
        <v>0.4</v>
      </c>
      <c r="J15" s="12">
        <f>IFERROR(__xludf.DUMMYFUNCTION("""COMPUTED_VALUE"""),0.45555555555555555)</f>
        <v>0.4555555556</v>
      </c>
      <c r="K15" s="12">
        <f>IFERROR(__xludf.DUMMYFUNCTION("""COMPUTED_VALUE"""),0.5111111111111111)</f>
        <v>0.5111111111</v>
      </c>
      <c r="L15" s="20">
        <f>IFERROR(__xludf.DUMMYFUNCTION("""COMPUTED_VALUE"""),0.5215277777777778)</f>
        <v>0.5215277778</v>
      </c>
      <c r="M15" s="20">
        <f>IFERROR(__xludf.DUMMYFUNCTION("""COMPUTED_VALUE"""),0.5979166666666667)</f>
        <v>0.5979166667</v>
      </c>
      <c r="N15" s="20">
        <f>IFERROR(__xludf.DUMMYFUNCTION("""COMPUTED_VALUE"""),0.6152777777777778)</f>
        <v>0.6152777778</v>
      </c>
      <c r="O15" s="20">
        <f>IFERROR(__xludf.DUMMYFUNCTION("""COMPUTED_VALUE"""),0.65)</f>
        <v>0.65</v>
      </c>
      <c r="P15" s="20">
        <f>IFERROR(__xludf.DUMMYFUNCTION("""COMPUTED_VALUE"""),0.6881944444444444)</f>
        <v>0.6881944444</v>
      </c>
      <c r="Q15" s="20">
        <f>IFERROR(__xludf.DUMMYFUNCTION("""COMPUTED_VALUE"""),0.7020833333333333)</f>
        <v>0.7020833333</v>
      </c>
      <c r="R15" s="20">
        <f>IFERROR(__xludf.DUMMYFUNCTION("""COMPUTED_VALUE"""),0.7493055555555556)</f>
        <v>0.7493055556</v>
      </c>
      <c r="S15" s="20">
        <f>IFERROR(__xludf.DUMMYFUNCTION("""COMPUTED_VALUE"""),0.7576388888888889)</f>
        <v>0.7576388889</v>
      </c>
      <c r="T15" s="20">
        <f>IFERROR(__xludf.DUMMYFUNCTION("""COMPUTED_VALUE"""),0.7819444444444444)</f>
        <v>0.7819444444</v>
      </c>
      <c r="U15" s="20">
        <f>IFERROR(__xludf.DUMMYFUNCTION("""COMPUTED_VALUE"""),0.8270833333333333)</f>
        <v>0.8270833333</v>
      </c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IFERROR(__xludf.DUMMYFUNCTION("""COMPUTED_VALUE"""),0.22708333333333333)</f>
        <v>0.2270833333</v>
      </c>
      <c r="D16" s="12">
        <f>IFERROR(__xludf.DUMMYFUNCTION("""COMPUTED_VALUE"""),0.26875)</f>
        <v>0.26875</v>
      </c>
      <c r="E16" s="12">
        <f>IFERROR(__xludf.DUMMYFUNCTION("""COMPUTED_VALUE"""),0.2791666666666667)</f>
        <v>0.2791666667</v>
      </c>
      <c r="F16" s="12">
        <f>IFERROR(__xludf.DUMMYFUNCTION("""COMPUTED_VALUE"""),0.32083333333333336)</f>
        <v>0.3208333333</v>
      </c>
      <c r="G16" s="12">
        <f>IFERROR(__xludf.DUMMYFUNCTION("""COMPUTED_VALUE"""),0.33125)</f>
        <v>0.33125</v>
      </c>
      <c r="H16" s="12">
        <f>IFERROR(__xludf.DUMMYFUNCTION("""COMPUTED_VALUE"""),0.375)</f>
        <v>0.375</v>
      </c>
      <c r="I16" s="12">
        <f>IFERROR(__xludf.DUMMYFUNCTION("""COMPUTED_VALUE"""),0.40069444444444446)</f>
        <v>0.4006944444</v>
      </c>
      <c r="J16" s="12">
        <f>IFERROR(__xludf.DUMMYFUNCTION("""COMPUTED_VALUE"""),0.45625)</f>
        <v>0.45625</v>
      </c>
      <c r="K16" s="12">
        <f>IFERROR(__xludf.DUMMYFUNCTION("""COMPUTED_VALUE"""),0.5118055555555555)</f>
        <v>0.5118055556</v>
      </c>
      <c r="L16" s="12">
        <f>IFERROR(__xludf.DUMMYFUNCTION("""COMPUTED_VALUE"""),0.5222222222222223)</f>
        <v>0.5222222222</v>
      </c>
      <c r="M16" s="12">
        <f>IFERROR(__xludf.DUMMYFUNCTION("""COMPUTED_VALUE"""),0.5986111111111111)</f>
        <v>0.5986111111</v>
      </c>
      <c r="N16" s="12">
        <f>IFERROR(__xludf.DUMMYFUNCTION("""COMPUTED_VALUE"""),0.6159722222222223)</f>
        <v>0.6159722222</v>
      </c>
      <c r="O16" s="12">
        <f>IFERROR(__xludf.DUMMYFUNCTION("""COMPUTED_VALUE"""),0.6506944444444445)</f>
        <v>0.6506944444</v>
      </c>
      <c r="P16" s="12">
        <f>IFERROR(__xludf.DUMMYFUNCTION("""COMPUTED_VALUE"""),0.6888888888888889)</f>
        <v>0.6888888889</v>
      </c>
      <c r="Q16" s="12">
        <f>IFERROR(__xludf.DUMMYFUNCTION("""COMPUTED_VALUE"""),0.7027777777777777)</f>
        <v>0.7027777778</v>
      </c>
      <c r="R16" s="12">
        <f>IFERROR(__xludf.DUMMYFUNCTION("""COMPUTED_VALUE"""),0.75)</f>
        <v>0.75</v>
      </c>
      <c r="S16" s="12">
        <f>IFERROR(__xludf.DUMMYFUNCTION("""COMPUTED_VALUE"""),0.7583333333333333)</f>
        <v>0.7583333333</v>
      </c>
      <c r="T16" s="12">
        <f>IFERROR(__xludf.DUMMYFUNCTION("""COMPUTED_VALUE"""),0.7826388888888889)</f>
        <v>0.7826388889</v>
      </c>
      <c r="U16" s="20">
        <f>IFERROR(__xludf.DUMMYFUNCTION("""COMPUTED_VALUE"""),0.8277777777777777)</f>
        <v>0.8277777778</v>
      </c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IFERROR(__xludf.DUMMYFUNCTION("""COMPUTED_VALUE"""),0.2298611111111111)</f>
        <v>0.2298611111</v>
      </c>
      <c r="D17" s="12">
        <f>IFERROR(__xludf.DUMMYFUNCTION("""COMPUTED_VALUE"""),0.27152777777777776)</f>
        <v>0.2715277778</v>
      </c>
      <c r="E17" s="12">
        <f>IFERROR(__xludf.DUMMYFUNCTION("""COMPUTED_VALUE"""),0.28194444444444444)</f>
        <v>0.2819444444</v>
      </c>
      <c r="F17" s="12">
        <f>IFERROR(__xludf.DUMMYFUNCTION("""COMPUTED_VALUE"""),0.3236111111111111)</f>
        <v>0.3236111111</v>
      </c>
      <c r="G17" s="12">
        <f>IFERROR(__xludf.DUMMYFUNCTION("""COMPUTED_VALUE"""),0.33402777777777776)</f>
        <v>0.3340277778</v>
      </c>
      <c r="H17" s="12">
        <f>IFERROR(__xludf.DUMMYFUNCTION("""COMPUTED_VALUE"""),0.37777777777777777)</f>
        <v>0.3777777778</v>
      </c>
      <c r="I17" s="12">
        <f>IFERROR(__xludf.DUMMYFUNCTION("""COMPUTED_VALUE"""),0.40347222222222223)</f>
        <v>0.4034722222</v>
      </c>
      <c r="J17" s="12">
        <f>IFERROR(__xludf.DUMMYFUNCTION("""COMPUTED_VALUE"""),0.45902777777777776)</f>
        <v>0.4590277778</v>
      </c>
      <c r="K17" s="12">
        <f>IFERROR(__xludf.DUMMYFUNCTION("""COMPUTED_VALUE"""),0.5145833333333333)</f>
        <v>0.5145833333</v>
      </c>
      <c r="L17" s="12">
        <f>IFERROR(__xludf.DUMMYFUNCTION("""COMPUTED_VALUE"""),0.525)</f>
        <v>0.525</v>
      </c>
      <c r="M17" s="12">
        <f>IFERROR(__xludf.DUMMYFUNCTION("""COMPUTED_VALUE"""),0.6013888888888889)</f>
        <v>0.6013888889</v>
      </c>
      <c r="N17" s="12">
        <f>IFERROR(__xludf.DUMMYFUNCTION("""COMPUTED_VALUE"""),0.61875)</f>
        <v>0.61875</v>
      </c>
      <c r="O17" s="12">
        <f>IFERROR(__xludf.DUMMYFUNCTION("""COMPUTED_VALUE"""),0.6534722222222222)</f>
        <v>0.6534722222</v>
      </c>
      <c r="P17" s="12">
        <f>IFERROR(__xludf.DUMMYFUNCTION("""COMPUTED_VALUE"""),0.6916666666666667)</f>
        <v>0.6916666667</v>
      </c>
      <c r="Q17" s="12">
        <f>IFERROR(__xludf.DUMMYFUNCTION("""COMPUTED_VALUE"""),0.7055555555555556)</f>
        <v>0.7055555556</v>
      </c>
      <c r="R17" s="12">
        <f>IFERROR(__xludf.DUMMYFUNCTION("""COMPUTED_VALUE"""),0.7527777777777778)</f>
        <v>0.7527777778</v>
      </c>
      <c r="S17" s="12">
        <f>IFERROR(__xludf.DUMMYFUNCTION("""COMPUTED_VALUE"""),0.7611111111111111)</f>
        <v>0.7611111111</v>
      </c>
      <c r="T17" s="12">
        <f>IFERROR(__xludf.DUMMYFUNCTION("""COMPUTED_VALUE"""),0.7854166666666667)</f>
        <v>0.7854166667</v>
      </c>
      <c r="U17" s="20">
        <f>IFERROR(__xludf.DUMMYFUNCTION("""COMPUTED_VALUE"""),0.8305555555555556)</f>
        <v>0.8305555556</v>
      </c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IFERROR(__xludf.DUMMYFUNCTION("""COMPUTED_VALUE"""),0.23402777777777778)</f>
        <v>0.2340277778</v>
      </c>
      <c r="D18" s="12">
        <f>IFERROR(__xludf.DUMMYFUNCTION("""COMPUTED_VALUE"""),0.27569444444444446)</f>
        <v>0.2756944444</v>
      </c>
      <c r="E18" s="12">
        <f>IFERROR(__xludf.DUMMYFUNCTION("""COMPUTED_VALUE"""),0.2861111111111111)</f>
        <v>0.2861111111</v>
      </c>
      <c r="F18" s="12">
        <f>IFERROR(__xludf.DUMMYFUNCTION("""COMPUTED_VALUE"""),0.3277777777777778)</f>
        <v>0.3277777778</v>
      </c>
      <c r="G18" s="12">
        <f>IFERROR(__xludf.DUMMYFUNCTION("""COMPUTED_VALUE"""),0.33819444444444446)</f>
        <v>0.3381944444</v>
      </c>
      <c r="H18" s="12">
        <f>IFERROR(__xludf.DUMMYFUNCTION("""COMPUTED_VALUE"""),0.3819444444444444)</f>
        <v>0.3819444444</v>
      </c>
      <c r="I18" s="12">
        <f>IFERROR(__xludf.DUMMYFUNCTION("""COMPUTED_VALUE"""),0.4076388888888889)</f>
        <v>0.4076388889</v>
      </c>
      <c r="J18" s="12">
        <f>IFERROR(__xludf.DUMMYFUNCTION("""COMPUTED_VALUE"""),0.46319444444444446)</f>
        <v>0.4631944444</v>
      </c>
      <c r="K18" s="12">
        <f>IFERROR(__xludf.DUMMYFUNCTION("""COMPUTED_VALUE"""),0.51875)</f>
        <v>0.51875</v>
      </c>
      <c r="L18" s="12">
        <f>IFERROR(__xludf.DUMMYFUNCTION("""COMPUTED_VALUE"""),0.5291666666666667)</f>
        <v>0.5291666667</v>
      </c>
      <c r="M18" s="12">
        <f>IFERROR(__xludf.DUMMYFUNCTION("""COMPUTED_VALUE"""),0.6055555555555555)</f>
        <v>0.6055555556</v>
      </c>
      <c r="N18" s="12">
        <f>IFERROR(__xludf.DUMMYFUNCTION("""COMPUTED_VALUE"""),0.6208333333333333)</f>
        <v>0.6208333333</v>
      </c>
      <c r="O18" s="12">
        <f>IFERROR(__xludf.DUMMYFUNCTION("""COMPUTED_VALUE"""),0.6576388888888889)</f>
        <v>0.6576388889</v>
      </c>
      <c r="P18" s="12">
        <f>IFERROR(__xludf.DUMMYFUNCTION("""COMPUTED_VALUE"""),0.6958333333333333)</f>
        <v>0.6958333333</v>
      </c>
      <c r="Q18" s="12">
        <f>IFERROR(__xludf.DUMMYFUNCTION("""COMPUTED_VALUE"""),0.7097222222222223)</f>
        <v>0.7097222222</v>
      </c>
      <c r="R18" s="12">
        <f>IFERROR(__xludf.DUMMYFUNCTION("""COMPUTED_VALUE"""),0.7569444444444444)</f>
        <v>0.7569444444</v>
      </c>
      <c r="S18" s="12">
        <f>IFERROR(__xludf.DUMMYFUNCTION("""COMPUTED_VALUE"""),0.7652777777777777)</f>
        <v>0.7652777778</v>
      </c>
      <c r="T18" s="12">
        <f>IFERROR(__xludf.DUMMYFUNCTION("""COMPUTED_VALUE"""),0.7895833333333333)</f>
        <v>0.7895833333</v>
      </c>
      <c r="U18" s="20">
        <f>IFERROR(__xludf.DUMMYFUNCTION("""COMPUTED_VALUE"""),0.8326388888888889)</f>
        <v>0.8326388889</v>
      </c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87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>
        <f>IFERROR(__xludf.DUMMYFUNCTION("""COMPUTED_VALUE"""),0.23680555555555555)</f>
        <v>0.2368055556</v>
      </c>
      <c r="D22" s="17">
        <f>IFERROR(__xludf.DUMMYFUNCTION("""COMPUTED_VALUE"""),0.27847222222222223)</f>
        <v>0.2784722222</v>
      </c>
      <c r="E22" s="17">
        <f>IFERROR(__xludf.DUMMYFUNCTION("""COMPUTED_VALUE"""),0.28888888888888886)</f>
        <v>0.2888888889</v>
      </c>
      <c r="F22" s="17">
        <f>IFERROR(__xludf.DUMMYFUNCTION("""COMPUTED_VALUE"""),0.33055555555555555)</f>
        <v>0.3305555556</v>
      </c>
      <c r="G22" s="17">
        <f>IFERROR(__xludf.DUMMYFUNCTION("""COMPUTED_VALUE"""),0.34097222222222223)</f>
        <v>0.3409722222</v>
      </c>
      <c r="H22" s="17">
        <f>IFERROR(__xludf.DUMMYFUNCTION("""COMPUTED_VALUE"""),0.38472222222222224)</f>
        <v>0.3847222222</v>
      </c>
      <c r="I22" s="17">
        <f>IFERROR(__xludf.DUMMYFUNCTION("""COMPUTED_VALUE"""),0.41041666666666665)</f>
        <v>0.4104166667</v>
      </c>
      <c r="J22" s="17">
        <f>IFERROR(__xludf.DUMMYFUNCTION("""COMPUTED_VALUE"""),0.46597222222222223)</f>
        <v>0.4659722222</v>
      </c>
      <c r="K22" s="17">
        <f>IFERROR(__xludf.DUMMYFUNCTION("""COMPUTED_VALUE"""),0.5215277777777778)</f>
        <v>0.5215277778</v>
      </c>
      <c r="L22" s="17">
        <f>IFERROR(__xludf.DUMMYFUNCTION("""COMPUTED_VALUE"""),0.5319444444444444)</f>
        <v>0.5319444444</v>
      </c>
      <c r="M22" s="17">
        <f>IFERROR(__xludf.DUMMYFUNCTION("""COMPUTED_VALUE"""),0.6083333333333333)</f>
        <v>0.6083333333</v>
      </c>
      <c r="N22" s="17">
        <f>IFERROR(__xludf.DUMMYFUNCTION("""COMPUTED_VALUE"""),0.6236111111111111)</f>
        <v>0.6236111111</v>
      </c>
      <c r="O22" s="17">
        <f>IFERROR(__xludf.DUMMYFUNCTION("""COMPUTED_VALUE"""),0.6604166666666667)</f>
        <v>0.6604166667</v>
      </c>
      <c r="P22" s="17">
        <f>IFERROR(__xludf.DUMMYFUNCTION("""COMPUTED_VALUE"""),0.6986111111111111)</f>
        <v>0.6986111111</v>
      </c>
      <c r="Q22" s="17">
        <f>IFERROR(__xludf.DUMMYFUNCTION("""COMPUTED_VALUE"""),0.7125)</f>
        <v>0.7125</v>
      </c>
      <c r="R22" s="17">
        <f>IFERROR(__xludf.DUMMYFUNCTION("""COMPUTED_VALUE"""),0.7597222222222222)</f>
        <v>0.7597222222</v>
      </c>
      <c r="S22" s="17">
        <f>IFERROR(__xludf.DUMMYFUNCTION("""COMPUTED_VALUE"""),0.7680555555555556)</f>
        <v>0.7680555556</v>
      </c>
      <c r="T22" s="17">
        <f>IFERROR(__xludf.DUMMYFUNCTION("""COMPUTED_VALUE"""),0.7923611111111111)</f>
        <v>0.7923611111</v>
      </c>
      <c r="U22" s="20">
        <f>IFERROR(__xludf.DUMMYFUNCTION("""COMPUTED_VALUE"""),0.8354166666666667)</f>
        <v>0.8354166667</v>
      </c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IFERROR(__xludf.DUMMYFUNCTION("""COMPUTED_VALUE"""),0.2916666666666667)</f>
        <v>0.2916666667</v>
      </c>
      <c r="F23" s="17">
        <f>IFERROR(__xludf.DUMMYFUNCTION("""COMPUTED_VALUE"""),0.3333333333333333)</f>
        <v>0.3333333333</v>
      </c>
      <c r="G23" s="17">
        <f>IFERROR(__xludf.DUMMYFUNCTION("""COMPUTED_VALUE"""),0.34375)</f>
        <v>0.34375</v>
      </c>
      <c r="H23" s="17">
        <f>IFERROR(__xludf.DUMMYFUNCTION("""COMPUTED_VALUE"""),0.3875)</f>
        <v>0.3875</v>
      </c>
      <c r="I23" s="17">
        <f>IFERROR(__xludf.DUMMYFUNCTION("""COMPUTED_VALUE"""),0.4131944444444444)</f>
        <v>0.4131944444</v>
      </c>
      <c r="J23" s="17">
        <f>IFERROR(__xludf.DUMMYFUNCTION("""COMPUTED_VALUE"""),0.46875)</f>
        <v>0.46875</v>
      </c>
      <c r="K23" s="17">
        <f>IFERROR(__xludf.DUMMYFUNCTION("""COMPUTED_VALUE"""),0.5243055555555556)</f>
        <v>0.5243055556</v>
      </c>
      <c r="L23" s="17">
        <f>IFERROR(__xludf.DUMMYFUNCTION("""COMPUTED_VALUE"""),0.5347222222222222)</f>
        <v>0.5347222222</v>
      </c>
      <c r="M23" s="17">
        <f>IFERROR(__xludf.DUMMYFUNCTION("""COMPUTED_VALUE"""),0.6111111111111112)</f>
        <v>0.6111111111</v>
      </c>
      <c r="N23" s="17">
        <f>IFERROR(__xludf.DUMMYFUNCTION("""COMPUTED_VALUE"""),0.6263888888888889)</f>
        <v>0.6263888889</v>
      </c>
      <c r="O23" s="17">
        <f>IFERROR(__xludf.DUMMYFUNCTION("""COMPUTED_VALUE"""),0.6631944444444444)</f>
        <v>0.6631944444</v>
      </c>
      <c r="P23" s="17">
        <f>IFERROR(__xludf.DUMMYFUNCTION("""COMPUTED_VALUE"""),0.7013888888888888)</f>
        <v>0.7013888889</v>
      </c>
      <c r="Q23" s="17">
        <f>IFERROR(__xludf.DUMMYFUNCTION("""COMPUTED_VALUE"""),0.7152777777777778)</f>
        <v>0.7152777778</v>
      </c>
      <c r="R23" s="17">
        <f>IFERROR(__xludf.DUMMYFUNCTION("""COMPUTED_VALUE"""),0.7625)</f>
        <v>0.7625</v>
      </c>
      <c r="S23" s="17">
        <f>IFERROR(__xludf.DUMMYFUNCTION("""COMPUTED_VALUE"""),0.7708333333333334)</f>
        <v>0.7708333333</v>
      </c>
      <c r="T23" s="17">
        <f>IFERROR(__xludf.DUMMYFUNCTION("""COMPUTED_VALUE"""),0.7951388888888888)</f>
        <v>0.7951388889</v>
      </c>
      <c r="U23" s="20">
        <f>IFERROR(__xludf.DUMMYFUNCTION("""COMPUTED_VALUE"""),0.8381944444444445)</f>
        <v>0.8381944444</v>
      </c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>
        <f>IFERROR(__xludf.DUMMYFUNCTION("""COMPUTED_VALUE"""),0.2423611111111111)</f>
        <v>0.2423611111</v>
      </c>
      <c r="D24" s="17">
        <f>IFERROR(__xludf.DUMMYFUNCTION("""COMPUTED_VALUE"""),0.28402777777777777)</f>
        <v>0.2840277778</v>
      </c>
      <c r="E24" s="17">
        <f>IFERROR(__xludf.DUMMYFUNCTION("""COMPUTED_VALUE"""),0.29444444444444445)</f>
        <v>0.2944444444</v>
      </c>
      <c r="F24" s="17">
        <f>IFERROR(__xludf.DUMMYFUNCTION("""COMPUTED_VALUE"""),0.33611111111111114)</f>
        <v>0.3361111111</v>
      </c>
      <c r="G24" s="17">
        <f>IFERROR(__xludf.DUMMYFUNCTION("""COMPUTED_VALUE"""),0.34652777777777777)</f>
        <v>0.3465277778</v>
      </c>
      <c r="H24" s="17">
        <f>IFERROR(__xludf.DUMMYFUNCTION("""COMPUTED_VALUE"""),0.3902777777777778)</f>
        <v>0.3902777778</v>
      </c>
      <c r="I24" s="17">
        <f>IFERROR(__xludf.DUMMYFUNCTION("""COMPUTED_VALUE"""),0.41597222222222224)</f>
        <v>0.4159722222</v>
      </c>
      <c r="J24" s="17">
        <f>IFERROR(__xludf.DUMMYFUNCTION("""COMPUTED_VALUE"""),0.47152777777777777)</f>
        <v>0.4715277778</v>
      </c>
      <c r="K24" s="17">
        <f>IFERROR(__xludf.DUMMYFUNCTION("""COMPUTED_VALUE"""),0.5270833333333333)</f>
        <v>0.5270833333</v>
      </c>
      <c r="L24" s="17">
        <f>IFERROR(__xludf.DUMMYFUNCTION("""COMPUTED_VALUE"""),0.5375)</f>
        <v>0.5375</v>
      </c>
      <c r="M24" s="17">
        <f>IFERROR(__xludf.DUMMYFUNCTION("""COMPUTED_VALUE"""),0.6138888888888889)</f>
        <v>0.6138888889</v>
      </c>
      <c r="N24" s="17">
        <f>IFERROR(__xludf.DUMMYFUNCTION("""COMPUTED_VALUE"""),0.6319444444444444)</f>
        <v>0.6319444444</v>
      </c>
      <c r="O24" s="17">
        <f>IFERROR(__xludf.DUMMYFUNCTION("""COMPUTED_VALUE"""),0.6659722222222222)</f>
        <v>0.6659722222</v>
      </c>
      <c r="P24" s="17">
        <f>IFERROR(__xludf.DUMMYFUNCTION("""COMPUTED_VALUE"""),0.7013888888888888)</f>
        <v>0.7013888889</v>
      </c>
      <c r="Q24" s="17">
        <f>IFERROR(__xludf.DUMMYFUNCTION("""COMPUTED_VALUE"""),0.7180555555555556)</f>
        <v>0.7180555556</v>
      </c>
      <c r="R24" s="17">
        <f>IFERROR(__xludf.DUMMYFUNCTION("""COMPUTED_VALUE"""),0.7652777777777777)</f>
        <v>0.7652777778</v>
      </c>
      <c r="S24" s="17">
        <f>IFERROR(__xludf.DUMMYFUNCTION("""COMPUTED_VALUE"""),0.7736111111111111)</f>
        <v>0.7736111111</v>
      </c>
      <c r="T24" s="17">
        <f>IFERROR(__xludf.DUMMYFUNCTION("""COMPUTED_VALUE"""),0.7986111111111112)</f>
        <v>0.7986111111</v>
      </c>
      <c r="U24" s="20">
        <f>IFERROR(__xludf.DUMMYFUNCTION("""COMPUTED_VALUE"""),0.8409722222222222)</f>
        <v>0.8409722222</v>
      </c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>
        <f>IFERROR(__xludf.DUMMYFUNCTION("""COMPUTED_VALUE"""),0.24513888888888888)</f>
        <v>0.2451388889</v>
      </c>
      <c r="D25" s="17"/>
      <c r="E25" s="17">
        <f>IFERROR(__xludf.DUMMYFUNCTION("""COMPUTED_VALUE"""),0.2972222222222222)</f>
        <v>0.2972222222</v>
      </c>
      <c r="F25" s="17"/>
      <c r="G25" s="17">
        <f>IFERROR(__xludf.DUMMYFUNCTION("""COMPUTED_VALUE"""),0.34930555555555554)</f>
        <v>0.3493055556</v>
      </c>
      <c r="H25" s="17"/>
      <c r="I25" s="17">
        <f>IFERROR(__xludf.DUMMYFUNCTION("""COMPUTED_VALUE"""),0.41875)</f>
        <v>0.41875</v>
      </c>
      <c r="J25" s="17">
        <f>IFERROR(__xludf.DUMMYFUNCTION("""COMPUTED_VALUE"""),0.47430555555555554)</f>
        <v>0.4743055556</v>
      </c>
      <c r="K25" s="17">
        <f>IFERROR(__xludf.DUMMYFUNCTION("""COMPUTED_VALUE"""),0.5298611111111111)</f>
        <v>0.5298611111</v>
      </c>
      <c r="L25" s="17">
        <f>IFERROR(__xludf.DUMMYFUNCTION("""COMPUTED_VALUE"""),0.5451388888888888)</f>
        <v>0.5451388889</v>
      </c>
      <c r="M25" s="17">
        <f>IFERROR(__xludf.DUMMYFUNCTION("""COMPUTED_VALUE"""),0.6166666666666667)</f>
        <v>0.6166666667</v>
      </c>
      <c r="N25" s="17"/>
      <c r="O25" s="17">
        <f>IFERROR(__xludf.DUMMYFUNCTION("""COMPUTED_VALUE"""),0.66875)</f>
        <v>0.66875</v>
      </c>
      <c r="P25" s="17"/>
      <c r="Q25" s="17">
        <f>IFERROR(__xludf.DUMMYFUNCTION("""COMPUTED_VALUE"""),0.7208333333333333)</f>
        <v>0.7208333333</v>
      </c>
      <c r="R25" s="17"/>
      <c r="S25" s="17">
        <f>IFERROR(__xludf.DUMMYFUNCTION("""COMPUTED_VALUE"""),0.7763888888888889)</f>
        <v>0.7763888889</v>
      </c>
      <c r="T25" s="17"/>
      <c r="U25" s="20">
        <f>IFERROR(__xludf.DUMMYFUNCTION("""COMPUTED_VALUE"""),0.84375)</f>
        <v>0.84375</v>
      </c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>
        <f>IFERROR(__xludf.DUMMYFUNCTION("""COMPUTED_VALUE"""),0.24791666666666667)</f>
        <v>0.2479166667</v>
      </c>
      <c r="D26" s="17"/>
      <c r="E26" s="17">
        <f>IFERROR(__xludf.DUMMYFUNCTION("""COMPUTED_VALUE"""),0.3)</f>
        <v>0.3</v>
      </c>
      <c r="F26" s="17"/>
      <c r="G26" s="17">
        <f>IFERROR(__xludf.DUMMYFUNCTION("""COMPUTED_VALUE"""),0.35208333333333336)</f>
        <v>0.3520833333</v>
      </c>
      <c r="H26" s="17"/>
      <c r="I26" s="17">
        <f>IFERROR(__xludf.DUMMYFUNCTION("""COMPUTED_VALUE"""),0.4215277777777778)</f>
        <v>0.4215277778</v>
      </c>
      <c r="J26" s="17">
        <f>IFERROR(__xludf.DUMMYFUNCTION("""COMPUTED_VALUE"""),0.47708333333333336)</f>
        <v>0.4770833333</v>
      </c>
      <c r="K26" s="17">
        <f>IFERROR(__xludf.DUMMYFUNCTION("""COMPUTED_VALUE"""),0.5326388888888889)</f>
        <v>0.5326388889</v>
      </c>
      <c r="L26" s="17"/>
      <c r="M26" s="17">
        <f>IFERROR(__xludf.DUMMYFUNCTION("""COMPUTED_VALUE"""),0.6194444444444445)</f>
        <v>0.6194444444</v>
      </c>
      <c r="N26" s="17"/>
      <c r="O26" s="17">
        <f>IFERROR(__xludf.DUMMYFUNCTION("""COMPUTED_VALUE"""),0.6715277777777777)</f>
        <v>0.6715277778</v>
      </c>
      <c r="P26" s="17"/>
      <c r="Q26" s="17">
        <f>IFERROR(__xludf.DUMMYFUNCTION("""COMPUTED_VALUE"""),0.7236111111111111)</f>
        <v>0.7236111111</v>
      </c>
      <c r="R26" s="17"/>
      <c r="S26" s="17">
        <f>IFERROR(__xludf.DUMMYFUNCTION("""COMPUTED_VALUE"""),0.7791666666666667)</f>
        <v>0.7791666667</v>
      </c>
      <c r="T26" s="17"/>
      <c r="U26" s="20">
        <f>IFERROR(__xludf.DUMMYFUNCTION("""COMPUTED_VALUE"""),0.8465277777777778)</f>
        <v>0.8465277778</v>
      </c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>
        <f>IFERROR(__xludf.DUMMYFUNCTION("""COMPUTED_VALUE"""),0.25)</f>
        <v>0.25</v>
      </c>
      <c r="D27" s="17"/>
      <c r="E27" s="17">
        <f>IFERROR(__xludf.DUMMYFUNCTION("""COMPUTED_VALUE"""),0.3020833333333333)</f>
        <v>0.3020833333</v>
      </c>
      <c r="F27" s="17"/>
      <c r="G27" s="17">
        <f>IFERROR(__xludf.DUMMYFUNCTION("""COMPUTED_VALUE"""),0.3541666666666667)</f>
        <v>0.3541666667</v>
      </c>
      <c r="H27" s="17"/>
      <c r="I27" s="17">
        <f>IFERROR(__xludf.DUMMYFUNCTION("""COMPUTED_VALUE"""),0.4236111111111111)</f>
        <v>0.4236111111</v>
      </c>
      <c r="J27" s="17">
        <f>IFERROR(__xludf.DUMMYFUNCTION("""COMPUTED_VALUE"""),0.4791666666666667)</f>
        <v>0.4791666667</v>
      </c>
      <c r="K27" s="17">
        <f>IFERROR(__xludf.DUMMYFUNCTION("""COMPUTED_VALUE"""),0.5347222222222222)</f>
        <v>0.5347222222</v>
      </c>
      <c r="L27" s="17"/>
      <c r="M27" s="17">
        <f>IFERROR(__xludf.DUMMYFUNCTION("""COMPUTED_VALUE"""),0.6215277777777778)</f>
        <v>0.6215277778</v>
      </c>
      <c r="N27" s="17"/>
      <c r="O27" s="17">
        <f>IFERROR(__xludf.DUMMYFUNCTION("""COMPUTED_VALUE"""),0.6736111111111112)</f>
        <v>0.6736111111</v>
      </c>
      <c r="P27" s="17"/>
      <c r="Q27" s="17">
        <f>IFERROR(__xludf.DUMMYFUNCTION("""COMPUTED_VALUE"""),0.7256944444444444)</f>
        <v>0.7256944444</v>
      </c>
      <c r="R27" s="17"/>
      <c r="S27" s="17">
        <f>IFERROR(__xludf.DUMMYFUNCTION("""COMPUTED_VALUE"""),0.78125)</f>
        <v>0.78125</v>
      </c>
      <c r="T27" s="17"/>
      <c r="U27" s="20">
        <f>IFERROR(__xludf.DUMMYFUNCTION("""COMPUTED_VALUE"""),0.8486111111111111)</f>
        <v>0.8486111111</v>
      </c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>
        <f>IFERROR(__xludf.DUMMYFUNCTION("""COMPUTED_VALUE"""),0.25277777777777777)</f>
        <v>0.2527777778</v>
      </c>
      <c r="D28" s="17"/>
      <c r="E28" s="17">
        <f>IFERROR(__xludf.DUMMYFUNCTION("""COMPUTED_VALUE"""),0.30486111111111114)</f>
        <v>0.3048611111</v>
      </c>
      <c r="F28" s="17"/>
      <c r="G28" s="17">
        <f>IFERROR(__xludf.DUMMYFUNCTION("""COMPUTED_VALUE"""),0.3548611111111111)</f>
        <v>0.3548611111</v>
      </c>
      <c r="H28" s="17"/>
      <c r="I28" s="17">
        <f>IFERROR(__xludf.DUMMYFUNCTION("""COMPUTED_VALUE"""),0.4263888888888889)</f>
        <v>0.4263888889</v>
      </c>
      <c r="J28" s="17">
        <f>IFERROR(__xludf.DUMMYFUNCTION("""COMPUTED_VALUE"""),0.4798611111111111)</f>
        <v>0.4798611111</v>
      </c>
      <c r="K28" s="17">
        <f>IFERROR(__xludf.DUMMYFUNCTION("""COMPUTED_VALUE"""),0.5375)</f>
        <v>0.5375</v>
      </c>
      <c r="L28" s="17"/>
      <c r="M28" s="17">
        <f>IFERROR(__xludf.DUMMYFUNCTION("""COMPUTED_VALUE"""),0.6243055555555556)</f>
        <v>0.6243055556</v>
      </c>
      <c r="N28" s="17"/>
      <c r="O28" s="17">
        <f>IFERROR(__xludf.DUMMYFUNCTION("""COMPUTED_VALUE"""),0.6743055555555556)</f>
        <v>0.6743055556</v>
      </c>
      <c r="P28" s="17"/>
      <c r="Q28" s="17">
        <f>IFERROR(__xludf.DUMMYFUNCTION("""COMPUTED_VALUE"""),0.7284722222222222)</f>
        <v>0.7284722222</v>
      </c>
      <c r="R28" s="17"/>
      <c r="S28" s="17">
        <f>IFERROR(__xludf.DUMMYFUNCTION("""COMPUTED_VALUE"""),0.7840277777777778)</f>
        <v>0.7840277778</v>
      </c>
      <c r="T28" s="17"/>
      <c r="U28" s="20">
        <f>IFERROR(__xludf.DUMMYFUNCTION("""COMPUTED_VALUE"""),0.8513888888888889)</f>
        <v>0.8513888889</v>
      </c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87" t="str">
        <f>IFERROR(__xludf.DUMMYFUNCTION("""COMPUTED_VALUE"""),"SAREPTA")</f>
        <v>SAREPTA</v>
      </c>
      <c r="B33" s="87" t="str">
        <f>IFERROR(__xludf.DUMMYFUNCTION("""COMPUTED_VALUE"""),"-33.92655594121331, 18.661143180651308")</f>
        <v>-33.92655594121331, 18.661143180651308</v>
      </c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87" t="str">
        <f>IFERROR(__xludf.DUMMYFUNCTION("""COMPUTED_VALUE"""),"BELLVILLE")</f>
        <v>BELLVILLE</v>
      </c>
      <c r="B34" s="87" t="str">
        <f>IFERROR(__xludf.DUMMYFUNCTION("""COMPUTED_VALUE"""),"-33.906263459762684, 18.62662128465745")</f>
        <v>-33.906263459762684, 18.62662128465745</v>
      </c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87"/>
      <c r="B35" s="20"/>
      <c r="C35" s="19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>
      <c r="A36" s="87"/>
      <c r="B36" s="20"/>
      <c r="C36" s="16"/>
      <c r="D36" s="16"/>
      <c r="E36" s="17"/>
      <c r="F36" s="17"/>
      <c r="G36" s="17"/>
      <c r="H36" s="17"/>
      <c r="I36" s="17"/>
      <c r="J36" s="17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  <c r="L39" s="87"/>
      <c r="M39" s="20"/>
      <c r="N39" s="20"/>
      <c r="O39" s="20"/>
      <c r="P39" s="20"/>
      <c r="Q39" s="20"/>
      <c r="R39" s="20"/>
      <c r="S39" s="20"/>
      <c r="T39" s="20"/>
      <c r="U39" s="20"/>
    </row>
    <row r="40">
      <c r="A40" s="92"/>
      <c r="B40" s="19"/>
      <c r="C40" s="19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>
      <c r="A46" s="87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>
      <c r="A47" s="87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>
      <c r="A48" s="87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>
      <c r="A49" s="87"/>
      <c r="B49" s="8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87"/>
      <c r="B50" s="8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>
      <c r="A51" s="87"/>
      <c r="B51" s="8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>
      <c r="A52" s="87"/>
      <c r="B52" s="87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>
      <c r="A53" s="87"/>
      <c r="B53" s="87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>
      <c r="A54" s="87"/>
      <c r="B54" s="87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>
      <c r="A55" s="87"/>
      <c r="B55" s="87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>
      <c r="A56" s="87"/>
      <c r="B56" s="87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>
      <c r="A57" s="87"/>
      <c r="B57" s="87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>
      <c r="A58" s="87"/>
      <c r="B58" s="8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>
      <c r="A59" s="87"/>
      <c r="B59" s="87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>
      <c r="A60" s="87"/>
      <c r="B60" s="8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>
      <c r="A61" s="87"/>
      <c r="B61" s="87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>
      <c r="A62" s="87"/>
      <c r="B62" s="87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>
      <c r="A63" s="87"/>
      <c r="B63" s="8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>
      <c r="A64" s="87"/>
      <c r="B64" s="87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>
      <c r="A65" s="87"/>
      <c r="B65" s="87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>
      <c r="A66" s="87"/>
      <c r="B66" s="87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>
      <c r="A67" s="87"/>
      <c r="B67" s="87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>
      <c r="A68" s="87"/>
      <c r="B68" s="87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>
      <c r="A69" s="87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MATCH(""*NOLUNGILE*"", 'CTCEN-IN_Weekday'!$A:$A, 0))&lt;&gt;""""))))"),"Last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IFERROR(__xludf.DUMMYFUNCTION("""COMPUTED_VALUE"""),9400.0)</f>
        <v>9400</v>
      </c>
      <c r="D2" s="5">
        <f>IFERROR(__xludf.DUMMYFUNCTION("""COMPUTED_VALUE"""),9900.0)</f>
        <v>9900</v>
      </c>
      <c r="E2" s="5">
        <f>IFERROR(__xludf.DUMMYFUNCTION("""COMPUTED_VALUE"""),9402.0)</f>
        <v>9402</v>
      </c>
      <c r="F2" s="5">
        <f>IFERROR(__xludf.DUMMYFUNCTION("""COMPUTED_VALUE"""),9902.0)</f>
        <v>9902</v>
      </c>
      <c r="G2" s="5">
        <f>IFERROR(__xludf.DUMMYFUNCTION("""COMPUTED_VALUE"""),9404.0)</f>
        <v>9404</v>
      </c>
      <c r="H2" s="5">
        <f>IFERROR(__xludf.DUMMYFUNCTION("""COMPUTED_VALUE"""),9904.0)</f>
        <v>9904</v>
      </c>
      <c r="I2" s="5">
        <f>IFERROR(__xludf.DUMMYFUNCTION("""COMPUTED_VALUE"""),9406.0)</f>
        <v>9406</v>
      </c>
      <c r="J2" s="5">
        <f>IFERROR(__xludf.DUMMYFUNCTION("""COMPUTED_VALUE"""),9906.0)</f>
        <v>9906</v>
      </c>
      <c r="K2" s="5">
        <f>IFERROR(__xludf.DUMMYFUNCTION("""COMPUTED_VALUE"""),9408.0)</f>
        <v>9408</v>
      </c>
      <c r="L2" s="5">
        <f>IFERROR(__xludf.DUMMYFUNCTION("""COMPUTED_VALUE"""),9908.0)</f>
        <v>9908</v>
      </c>
      <c r="M2" s="5">
        <f>IFERROR(__xludf.DUMMYFUNCTION("""COMPUTED_VALUE"""),9910.0)</f>
        <v>9910</v>
      </c>
      <c r="N2" s="5">
        <f>IFERROR(__xludf.DUMMYFUNCTION("""COMPUTED_VALUE"""),9410.0)</f>
        <v>9410</v>
      </c>
      <c r="O2" s="5">
        <f>IFERROR(__xludf.DUMMYFUNCTION("""COMPUTED_VALUE"""),9912.0)</f>
        <v>9912</v>
      </c>
      <c r="P2" s="5">
        <f>IFERROR(__xludf.DUMMYFUNCTION("""COMPUTED_VALUE"""),9412.0)</f>
        <v>9412</v>
      </c>
      <c r="Q2" s="5">
        <f>IFERROR(__xludf.DUMMYFUNCTION("""COMPUTED_VALUE"""),9914.0)</f>
        <v>9914</v>
      </c>
      <c r="R2" s="5">
        <f>IFERROR(__xludf.DUMMYFUNCTION("""COMPUTED_VALUE"""),9916.0)</f>
        <v>9916</v>
      </c>
      <c r="S2" s="5">
        <f>IFERROR(__xludf.DUMMYFUNCTION("""COMPUTED_VALUE"""),9414.0)</f>
        <v>9414</v>
      </c>
      <c r="T2" s="5">
        <f>IFERROR(__xludf.DUMMYFUNCTION("""COMPUTED_VALUE"""),9918.0)</f>
        <v>9918</v>
      </c>
      <c r="U2" s="6">
        <f>IFERROR(__xludf.DUMMYFUNCTION("""COMPUTED_VALUE"""),9416.0)</f>
        <v>9416</v>
      </c>
      <c r="V2" s="6">
        <f>IFERROR(__xludf.DUMMYFUNCTION("""COMPUTED_VALUE"""),9920.0)</f>
        <v>9920</v>
      </c>
      <c r="W2" s="6">
        <f>IFERROR(__xludf.DUMMYFUNCTION("""COMPUTED_VALUE"""),9418.0)</f>
        <v>9418</v>
      </c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93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89"/>
      <c r="V3" s="89"/>
      <c r="W3" s="89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>
        <f>IFERROR(__xludf.DUMMYFUNCTION("""COMPUTED_VALUE"""),0.2048611111111111)</f>
        <v>0.2048611111</v>
      </c>
      <c r="E9" s="12"/>
      <c r="F9" s="12">
        <f>IFERROR(__xludf.DUMMYFUNCTION("""COMPUTED_VALUE"""),0.25833333333333336)</f>
        <v>0.2583333333</v>
      </c>
      <c r="G9" s="12"/>
      <c r="H9" s="12">
        <f>IFERROR(__xludf.DUMMYFUNCTION("""COMPUTED_VALUE"""),0.3125)</f>
        <v>0.3125</v>
      </c>
      <c r="I9" s="12"/>
      <c r="J9" s="12">
        <f>IFERROR(__xludf.DUMMYFUNCTION("""COMPUTED_VALUE"""),0.3625)</f>
        <v>0.3625</v>
      </c>
      <c r="K9" s="12"/>
      <c r="L9" s="12">
        <f>IFERROR(__xludf.DUMMYFUNCTION("""COMPUTED_VALUE"""),0.43194444444444446)</f>
        <v>0.4319444444</v>
      </c>
      <c r="M9" s="12">
        <f>IFERROR(__xludf.DUMMYFUNCTION("""COMPUTED_VALUE"""),0.4895833333333333)</f>
        <v>0.4895833333</v>
      </c>
      <c r="N9" s="12"/>
      <c r="O9" s="12">
        <f>IFERROR(__xludf.DUMMYFUNCTION("""COMPUTED_VALUE"""),0.5486111111111112)</f>
        <v>0.5486111111</v>
      </c>
      <c r="P9" s="12"/>
      <c r="Q9" s="12">
        <f>IFERROR(__xludf.DUMMYFUNCTION("""COMPUTED_VALUE"""),0.6263888888888889)</f>
        <v>0.6263888889</v>
      </c>
      <c r="R9" s="12">
        <f>IFERROR(__xludf.DUMMYFUNCTION("""COMPUTED_VALUE"""),0.6840277777777778)</f>
        <v>0.6840277778</v>
      </c>
      <c r="S9" s="12"/>
      <c r="T9" s="12">
        <f>IFERROR(__xludf.DUMMYFUNCTION("""COMPUTED_VALUE"""),0.7361111111111112)</f>
        <v>0.7361111111</v>
      </c>
      <c r="U9" s="20"/>
      <c r="V9" s="20">
        <f>IFERROR(__xludf.DUMMYFUNCTION("""COMPUTED_VALUE"""),0.7986111111111112)</f>
        <v>0.7986111111</v>
      </c>
      <c r="W9" s="20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>
        <f>IFERROR(__xludf.DUMMYFUNCTION("""COMPUTED_VALUE"""),0.2076388888888889)</f>
        <v>0.2076388889</v>
      </c>
      <c r="E10" s="12"/>
      <c r="F10" s="12">
        <f>IFERROR(__xludf.DUMMYFUNCTION("""COMPUTED_VALUE"""),0.2611111111111111)</f>
        <v>0.2611111111</v>
      </c>
      <c r="G10" s="12"/>
      <c r="H10" s="12">
        <f>IFERROR(__xludf.DUMMYFUNCTION("""COMPUTED_VALUE"""),0.31527777777777777)</f>
        <v>0.3152777778</v>
      </c>
      <c r="I10" s="12"/>
      <c r="J10" s="12">
        <f>IFERROR(__xludf.DUMMYFUNCTION("""COMPUTED_VALUE"""),0.36527777777777776)</f>
        <v>0.3652777778</v>
      </c>
      <c r="K10" s="12"/>
      <c r="L10" s="12">
        <f>IFERROR(__xludf.DUMMYFUNCTION("""COMPUTED_VALUE"""),0.43472222222222223)</f>
        <v>0.4347222222</v>
      </c>
      <c r="M10" s="12">
        <f>IFERROR(__xludf.DUMMYFUNCTION("""COMPUTED_VALUE"""),0.49236111111111114)</f>
        <v>0.4923611111</v>
      </c>
      <c r="N10" s="12"/>
      <c r="O10" s="12">
        <f>IFERROR(__xludf.DUMMYFUNCTION("""COMPUTED_VALUE"""),0.5513888888888889)</f>
        <v>0.5513888889</v>
      </c>
      <c r="P10" s="12"/>
      <c r="Q10" s="12">
        <f>IFERROR(__xludf.DUMMYFUNCTION("""COMPUTED_VALUE"""),0.6291666666666667)</f>
        <v>0.6291666667</v>
      </c>
      <c r="R10" s="12">
        <f>IFERROR(__xludf.DUMMYFUNCTION("""COMPUTED_VALUE"""),0.6868055555555556)</f>
        <v>0.6868055556</v>
      </c>
      <c r="S10" s="12"/>
      <c r="T10" s="12">
        <f>IFERROR(__xludf.DUMMYFUNCTION("""COMPUTED_VALUE"""),0.7388888888888889)</f>
        <v>0.7388888889</v>
      </c>
      <c r="U10" s="20"/>
      <c r="V10" s="20">
        <f>IFERROR(__xludf.DUMMYFUNCTION("""COMPUTED_VALUE"""),0.8013888888888889)</f>
        <v>0.8013888889</v>
      </c>
      <c r="W10" s="20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>
        <f>IFERROR(__xludf.DUMMYFUNCTION("""COMPUTED_VALUE"""),0.20972222222222223)</f>
        <v>0.2097222222</v>
      </c>
      <c r="E11" s="12"/>
      <c r="F11" s="12">
        <f>IFERROR(__xludf.DUMMYFUNCTION("""COMPUTED_VALUE"""),0.26319444444444445)</f>
        <v>0.2631944444</v>
      </c>
      <c r="G11" s="12"/>
      <c r="H11" s="12">
        <f>IFERROR(__xludf.DUMMYFUNCTION("""COMPUTED_VALUE"""),0.3173611111111111)</f>
        <v>0.3173611111</v>
      </c>
      <c r="I11" s="12"/>
      <c r="J11" s="12">
        <f>IFERROR(__xludf.DUMMYFUNCTION("""COMPUTED_VALUE"""),0.36736111111111114)</f>
        <v>0.3673611111</v>
      </c>
      <c r="K11" s="12"/>
      <c r="L11" s="12">
        <f>IFERROR(__xludf.DUMMYFUNCTION("""COMPUTED_VALUE"""),0.43680555555555556)</f>
        <v>0.4368055556</v>
      </c>
      <c r="M11" s="12">
        <f>IFERROR(__xludf.DUMMYFUNCTION("""COMPUTED_VALUE"""),0.49444444444444446)</f>
        <v>0.4944444444</v>
      </c>
      <c r="N11" s="12"/>
      <c r="O11" s="12">
        <f>IFERROR(__xludf.DUMMYFUNCTION("""COMPUTED_VALUE"""),0.5534722222222223)</f>
        <v>0.5534722222</v>
      </c>
      <c r="P11" s="12"/>
      <c r="Q11" s="12">
        <f>IFERROR(__xludf.DUMMYFUNCTION("""COMPUTED_VALUE"""),0.63125)</f>
        <v>0.63125</v>
      </c>
      <c r="R11" s="12">
        <f>IFERROR(__xludf.DUMMYFUNCTION("""COMPUTED_VALUE"""),0.6888888888888889)</f>
        <v>0.6888888889</v>
      </c>
      <c r="S11" s="12"/>
      <c r="T11" s="12">
        <f>IFERROR(__xludf.DUMMYFUNCTION("""COMPUTED_VALUE"""),0.7409722222222223)</f>
        <v>0.7409722222</v>
      </c>
      <c r="U11" s="20"/>
      <c r="V11" s="20">
        <f>IFERROR(__xludf.DUMMYFUNCTION("""COMPUTED_VALUE"""),0.8034722222222223)</f>
        <v>0.8034722222</v>
      </c>
      <c r="W11" s="20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>
        <f>IFERROR(__xludf.DUMMYFUNCTION("""COMPUTED_VALUE"""),0.2125)</f>
        <v>0.2125</v>
      </c>
      <c r="E12" s="12"/>
      <c r="F12" s="12">
        <f>IFERROR(__xludf.DUMMYFUNCTION("""COMPUTED_VALUE"""),0.2659722222222222)</f>
        <v>0.2659722222</v>
      </c>
      <c r="G12" s="12"/>
      <c r="H12" s="12">
        <f>IFERROR(__xludf.DUMMYFUNCTION("""COMPUTED_VALUE"""),0.32013888888888886)</f>
        <v>0.3201388889</v>
      </c>
      <c r="I12" s="12"/>
      <c r="J12" s="12">
        <f>IFERROR(__xludf.DUMMYFUNCTION("""COMPUTED_VALUE"""),0.3701388888888889)</f>
        <v>0.3701388889</v>
      </c>
      <c r="K12" s="12"/>
      <c r="L12" s="12">
        <f>IFERROR(__xludf.DUMMYFUNCTION("""COMPUTED_VALUE"""),0.4395833333333333)</f>
        <v>0.4395833333</v>
      </c>
      <c r="M12" s="12">
        <f>IFERROR(__xludf.DUMMYFUNCTION("""COMPUTED_VALUE"""),0.49722222222222223)</f>
        <v>0.4972222222</v>
      </c>
      <c r="N12" s="12"/>
      <c r="O12" s="12">
        <f>IFERROR(__xludf.DUMMYFUNCTION("""COMPUTED_VALUE"""),0.55625)</f>
        <v>0.55625</v>
      </c>
      <c r="P12" s="12"/>
      <c r="Q12" s="12">
        <f>IFERROR(__xludf.DUMMYFUNCTION("""COMPUTED_VALUE"""),0.6340277777777777)</f>
        <v>0.6340277778</v>
      </c>
      <c r="R12" s="12">
        <f>IFERROR(__xludf.DUMMYFUNCTION("""COMPUTED_VALUE"""),0.6916666666666667)</f>
        <v>0.6916666667</v>
      </c>
      <c r="S12" s="12"/>
      <c r="T12" s="12">
        <f>IFERROR(__xludf.DUMMYFUNCTION("""COMPUTED_VALUE"""),0.74375)</f>
        <v>0.74375</v>
      </c>
      <c r="U12" s="20"/>
      <c r="V12" s="20">
        <f>IFERROR(__xludf.DUMMYFUNCTION("""COMPUTED_VALUE"""),0.80625)</f>
        <v>0.80625</v>
      </c>
      <c r="W12" s="20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>
        <f>IFERROR(__xludf.DUMMYFUNCTION("""COMPUTED_VALUE"""),0.19444444444444445)</f>
        <v>0.1944444444</v>
      </c>
      <c r="D13" s="12">
        <f>IFERROR(__xludf.DUMMYFUNCTION("""COMPUTED_VALUE"""),0.2152777777777778)</f>
        <v>0.2152777778</v>
      </c>
      <c r="E13" s="12">
        <f>IFERROR(__xludf.DUMMYFUNCTION("""COMPUTED_VALUE"""),0.22569444444444445)</f>
        <v>0.2256944444</v>
      </c>
      <c r="F13" s="12">
        <f>IFERROR(__xludf.DUMMYFUNCTION("""COMPUTED_VALUE"""),0.26875)</f>
        <v>0.26875</v>
      </c>
      <c r="G13" s="12">
        <f>IFERROR(__xludf.DUMMYFUNCTION("""COMPUTED_VALUE"""),0.30069444444444443)</f>
        <v>0.3006944444</v>
      </c>
      <c r="H13" s="12">
        <f>IFERROR(__xludf.DUMMYFUNCTION("""COMPUTED_VALUE"""),0.3229166666666667)</f>
        <v>0.3229166667</v>
      </c>
      <c r="I13" s="12">
        <f>IFERROR(__xludf.DUMMYFUNCTION("""COMPUTED_VALUE"""),0.3472222222222222)</f>
        <v>0.3472222222</v>
      </c>
      <c r="J13" s="12">
        <f>IFERROR(__xludf.DUMMYFUNCTION("""COMPUTED_VALUE"""),0.3729166666666667)</f>
        <v>0.3729166667</v>
      </c>
      <c r="K13" s="12">
        <f>IFERROR(__xludf.DUMMYFUNCTION("""COMPUTED_VALUE"""),0.3972222222222222)</f>
        <v>0.3972222222</v>
      </c>
      <c r="L13" s="12">
        <f>IFERROR(__xludf.DUMMYFUNCTION("""COMPUTED_VALUE"""),0.4423611111111111)</f>
        <v>0.4423611111</v>
      </c>
      <c r="M13" s="12">
        <f>IFERROR(__xludf.DUMMYFUNCTION("""COMPUTED_VALUE"""),0.5)</f>
        <v>0.5</v>
      </c>
      <c r="N13" s="12">
        <f>IFERROR(__xludf.DUMMYFUNCTION("""COMPUTED_VALUE"""),0.5451388888888888)</f>
        <v>0.5451388889</v>
      </c>
      <c r="O13" s="12">
        <f>IFERROR(__xludf.DUMMYFUNCTION("""COMPUTED_VALUE"""),0.5590277777777778)</f>
        <v>0.5590277778</v>
      </c>
      <c r="P13" s="12">
        <f>IFERROR(__xludf.DUMMYFUNCTION("""COMPUTED_VALUE"""),0.6388888888888888)</f>
        <v>0.6388888889</v>
      </c>
      <c r="Q13" s="12">
        <f>IFERROR(__xludf.DUMMYFUNCTION("""COMPUTED_VALUE"""),0.6368055555555555)</f>
        <v>0.6368055556</v>
      </c>
      <c r="R13" s="12">
        <f>IFERROR(__xludf.DUMMYFUNCTION("""COMPUTED_VALUE"""),0.6944444444444444)</f>
        <v>0.6944444444</v>
      </c>
      <c r="S13" s="12">
        <f>IFERROR(__xludf.DUMMYFUNCTION("""COMPUTED_VALUE"""),0.7083333333333334)</f>
        <v>0.7083333333</v>
      </c>
      <c r="T13" s="12">
        <f>IFERROR(__xludf.DUMMYFUNCTION("""COMPUTED_VALUE"""),0.7465277777777778)</f>
        <v>0.7465277778</v>
      </c>
      <c r="U13" s="20">
        <f>IFERROR(__xludf.DUMMYFUNCTION("""COMPUTED_VALUE"""),0.7722222222222223)</f>
        <v>0.7722222222</v>
      </c>
      <c r="V13" s="20">
        <f>IFERROR(__xludf.DUMMYFUNCTION("""COMPUTED_VALUE"""),0.8090277777777778)</f>
        <v>0.8090277778</v>
      </c>
      <c r="W13" s="20">
        <f>IFERROR(__xludf.DUMMYFUNCTION("""COMPUTED_VALUE"""),0.8229166666666666)</f>
        <v>0.8229166667</v>
      </c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>
        <f>IFERROR(__xludf.DUMMYFUNCTION("""COMPUTED_VALUE"""),0.19722222222222222)</f>
        <v>0.1972222222</v>
      </c>
      <c r="D14" s="12">
        <f>IFERROR(__xludf.DUMMYFUNCTION("""COMPUTED_VALUE"""),0.21805555555555556)</f>
        <v>0.2180555556</v>
      </c>
      <c r="E14" s="12">
        <f>IFERROR(__xludf.DUMMYFUNCTION("""COMPUTED_VALUE"""),0.22847222222222222)</f>
        <v>0.2284722222</v>
      </c>
      <c r="F14" s="12">
        <f>IFERROR(__xludf.DUMMYFUNCTION("""COMPUTED_VALUE"""),0.27152777777777776)</f>
        <v>0.2715277778</v>
      </c>
      <c r="G14" s="12">
        <f>IFERROR(__xludf.DUMMYFUNCTION("""COMPUTED_VALUE"""),0.3034722222222222)</f>
        <v>0.3034722222</v>
      </c>
      <c r="H14" s="12">
        <f>IFERROR(__xludf.DUMMYFUNCTION("""COMPUTED_VALUE"""),0.32569444444444445)</f>
        <v>0.3256944444</v>
      </c>
      <c r="I14" s="12">
        <f>IFERROR(__xludf.DUMMYFUNCTION("""COMPUTED_VALUE"""),0.35)</f>
        <v>0.35</v>
      </c>
      <c r="J14" s="12">
        <f>IFERROR(__xludf.DUMMYFUNCTION("""COMPUTED_VALUE"""),0.37569444444444444)</f>
        <v>0.3756944444</v>
      </c>
      <c r="K14" s="12">
        <f>IFERROR(__xludf.DUMMYFUNCTION("""COMPUTED_VALUE"""),0.4)</f>
        <v>0.4</v>
      </c>
      <c r="L14" s="20">
        <f>IFERROR(__xludf.DUMMYFUNCTION("""COMPUTED_VALUE"""),0.44513888888888886)</f>
        <v>0.4451388889</v>
      </c>
      <c r="M14" s="20">
        <f>IFERROR(__xludf.DUMMYFUNCTION("""COMPUTED_VALUE"""),0.5027777777777778)</f>
        <v>0.5027777778</v>
      </c>
      <c r="N14" s="20">
        <f>IFERROR(__xludf.DUMMYFUNCTION("""COMPUTED_VALUE"""),0.5479166666666667)</f>
        <v>0.5479166667</v>
      </c>
      <c r="O14" s="20">
        <f>IFERROR(__xludf.DUMMYFUNCTION("""COMPUTED_VALUE"""),0.5618055555555556)</f>
        <v>0.5618055556</v>
      </c>
      <c r="P14" s="20">
        <f>IFERROR(__xludf.DUMMYFUNCTION("""COMPUTED_VALUE"""),0.6416666666666667)</f>
        <v>0.6416666667</v>
      </c>
      <c r="Q14" s="20">
        <f>IFERROR(__xludf.DUMMYFUNCTION("""COMPUTED_VALUE"""),0.6395833333333333)</f>
        <v>0.6395833333</v>
      </c>
      <c r="R14" s="20">
        <f>IFERROR(__xludf.DUMMYFUNCTION("""COMPUTED_VALUE"""),0.6972222222222222)</f>
        <v>0.6972222222</v>
      </c>
      <c r="S14" s="20">
        <f>IFERROR(__xludf.DUMMYFUNCTION("""COMPUTED_VALUE"""),0.7111111111111111)</f>
        <v>0.7111111111</v>
      </c>
      <c r="T14" s="20">
        <f>IFERROR(__xludf.DUMMYFUNCTION("""COMPUTED_VALUE"""),0.7493055555555556)</f>
        <v>0.7493055556</v>
      </c>
      <c r="U14" s="20">
        <f>IFERROR(__xludf.DUMMYFUNCTION("""COMPUTED_VALUE"""),0.775)</f>
        <v>0.775</v>
      </c>
      <c r="V14" s="20">
        <f>IFERROR(__xludf.DUMMYFUNCTION("""COMPUTED_VALUE"""),0.8118055555555556)</f>
        <v>0.8118055556</v>
      </c>
      <c r="W14" s="20">
        <f>IFERROR(__xludf.DUMMYFUNCTION("""COMPUTED_VALUE"""),0.8256944444444444)</f>
        <v>0.8256944444</v>
      </c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>
        <f>IFERROR(__xludf.DUMMYFUNCTION("""COMPUTED_VALUE"""),0.19930555555555557)</f>
        <v>0.1993055556</v>
      </c>
      <c r="D15" s="12">
        <f>IFERROR(__xludf.DUMMYFUNCTION("""COMPUTED_VALUE"""),0.22013888888888888)</f>
        <v>0.2201388889</v>
      </c>
      <c r="E15" s="12">
        <f>IFERROR(__xludf.DUMMYFUNCTION("""COMPUTED_VALUE"""),0.23055555555555557)</f>
        <v>0.2305555556</v>
      </c>
      <c r="F15" s="12">
        <f>IFERROR(__xludf.DUMMYFUNCTION("""COMPUTED_VALUE"""),0.27361111111111114)</f>
        <v>0.2736111111</v>
      </c>
      <c r="G15" s="12">
        <f>IFERROR(__xludf.DUMMYFUNCTION("""COMPUTED_VALUE"""),0.3055555555555556)</f>
        <v>0.3055555556</v>
      </c>
      <c r="H15" s="12">
        <f>IFERROR(__xludf.DUMMYFUNCTION("""COMPUTED_VALUE"""),0.3277777777777778)</f>
        <v>0.3277777778</v>
      </c>
      <c r="I15" s="12">
        <f>IFERROR(__xludf.DUMMYFUNCTION("""COMPUTED_VALUE"""),0.35208333333333336)</f>
        <v>0.3520833333</v>
      </c>
      <c r="J15" s="12">
        <f>IFERROR(__xludf.DUMMYFUNCTION("""COMPUTED_VALUE"""),0.37777777777777777)</f>
        <v>0.3777777778</v>
      </c>
      <c r="K15" s="12">
        <f>IFERROR(__xludf.DUMMYFUNCTION("""COMPUTED_VALUE"""),0.40208333333333335)</f>
        <v>0.4020833333</v>
      </c>
      <c r="L15" s="20">
        <f>IFERROR(__xludf.DUMMYFUNCTION("""COMPUTED_VALUE"""),0.44722222222222224)</f>
        <v>0.4472222222</v>
      </c>
      <c r="M15" s="20">
        <f>IFERROR(__xludf.DUMMYFUNCTION("""COMPUTED_VALUE"""),0.5048611111111111)</f>
        <v>0.5048611111</v>
      </c>
      <c r="N15" s="20">
        <f>IFERROR(__xludf.DUMMYFUNCTION("""COMPUTED_VALUE"""),0.55)</f>
        <v>0.55</v>
      </c>
      <c r="O15" s="20">
        <f>IFERROR(__xludf.DUMMYFUNCTION("""COMPUTED_VALUE"""),0.5638888888888889)</f>
        <v>0.5638888889</v>
      </c>
      <c r="P15" s="20">
        <f>IFERROR(__xludf.DUMMYFUNCTION("""COMPUTED_VALUE"""),0.64375)</f>
        <v>0.64375</v>
      </c>
      <c r="Q15" s="20">
        <f>IFERROR(__xludf.DUMMYFUNCTION("""COMPUTED_VALUE"""),0.6416666666666667)</f>
        <v>0.6416666667</v>
      </c>
      <c r="R15" s="20">
        <f>IFERROR(__xludf.DUMMYFUNCTION("""COMPUTED_VALUE"""),0.6993055555555555)</f>
        <v>0.6993055556</v>
      </c>
      <c r="S15" s="20">
        <f>IFERROR(__xludf.DUMMYFUNCTION("""COMPUTED_VALUE"""),0.7131944444444445)</f>
        <v>0.7131944444</v>
      </c>
      <c r="T15" s="20">
        <f>IFERROR(__xludf.DUMMYFUNCTION("""COMPUTED_VALUE"""),0.7513888888888889)</f>
        <v>0.7513888889</v>
      </c>
      <c r="U15" s="20">
        <f>IFERROR(__xludf.DUMMYFUNCTION("""COMPUTED_VALUE"""),0.7770833333333333)</f>
        <v>0.7770833333</v>
      </c>
      <c r="V15" s="20">
        <f>IFERROR(__xludf.DUMMYFUNCTION("""COMPUTED_VALUE"""),0.8138888888888889)</f>
        <v>0.8138888889</v>
      </c>
      <c r="W15" s="20">
        <f>IFERROR(__xludf.DUMMYFUNCTION("""COMPUTED_VALUE"""),0.8277777777777777)</f>
        <v>0.8277777778</v>
      </c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IFERROR(__xludf.DUMMYFUNCTION("""COMPUTED_VALUE"""),0.20277777777777778)</f>
        <v>0.2027777778</v>
      </c>
      <c r="D19" s="12">
        <f>IFERROR(__xludf.DUMMYFUNCTION("""COMPUTED_VALUE"""),0.22361111111111112)</f>
        <v>0.2236111111</v>
      </c>
      <c r="E19" s="12">
        <f>IFERROR(__xludf.DUMMYFUNCTION("""COMPUTED_VALUE"""),0.23402777777777778)</f>
        <v>0.2340277778</v>
      </c>
      <c r="F19" s="12">
        <f>IFERROR(__xludf.DUMMYFUNCTION("""COMPUTED_VALUE"""),0.27708333333333335)</f>
        <v>0.2770833333</v>
      </c>
      <c r="G19" s="12">
        <f>IFERROR(__xludf.DUMMYFUNCTION("""COMPUTED_VALUE"""),0.3090277777777778)</f>
        <v>0.3090277778</v>
      </c>
      <c r="H19" s="12">
        <f>IFERROR(__xludf.DUMMYFUNCTION("""COMPUTED_VALUE"""),0.33125)</f>
        <v>0.33125</v>
      </c>
      <c r="I19" s="12">
        <f>IFERROR(__xludf.DUMMYFUNCTION("""COMPUTED_VALUE"""),0.35555555555555557)</f>
        <v>0.3555555556</v>
      </c>
      <c r="J19" s="12">
        <f>IFERROR(__xludf.DUMMYFUNCTION("""COMPUTED_VALUE"""),0.38125)</f>
        <v>0.38125</v>
      </c>
      <c r="K19" s="12">
        <f>IFERROR(__xludf.DUMMYFUNCTION("""COMPUTED_VALUE"""),0.40555555555555556)</f>
        <v>0.4055555556</v>
      </c>
      <c r="L19" s="12">
        <f>IFERROR(__xludf.DUMMYFUNCTION("""COMPUTED_VALUE"""),0.45069444444444445)</f>
        <v>0.4506944444</v>
      </c>
      <c r="M19" s="12">
        <f>IFERROR(__xludf.DUMMYFUNCTION("""COMPUTED_VALUE"""),0.5083333333333333)</f>
        <v>0.5083333333</v>
      </c>
      <c r="N19" s="12">
        <f>IFERROR(__xludf.DUMMYFUNCTION("""COMPUTED_VALUE"""),0.5534722222222223)</f>
        <v>0.5534722222</v>
      </c>
      <c r="O19" s="12">
        <f>IFERROR(__xludf.DUMMYFUNCTION("""COMPUTED_VALUE"""),0.5673611111111111)</f>
        <v>0.5673611111</v>
      </c>
      <c r="P19" s="12">
        <f>IFERROR(__xludf.DUMMYFUNCTION("""COMPUTED_VALUE"""),0.6472222222222223)</f>
        <v>0.6472222222</v>
      </c>
      <c r="Q19" s="12">
        <f>IFERROR(__xludf.DUMMYFUNCTION("""COMPUTED_VALUE"""),0.6451388888888889)</f>
        <v>0.6451388889</v>
      </c>
      <c r="R19" s="12">
        <f>IFERROR(__xludf.DUMMYFUNCTION("""COMPUTED_VALUE"""),0.7027777777777777)</f>
        <v>0.7027777778</v>
      </c>
      <c r="S19" s="12">
        <f>IFERROR(__xludf.DUMMYFUNCTION("""COMPUTED_VALUE"""),0.7166666666666667)</f>
        <v>0.7166666667</v>
      </c>
      <c r="T19" s="12">
        <f>IFERROR(__xludf.DUMMYFUNCTION("""COMPUTED_VALUE"""),0.7548611111111111)</f>
        <v>0.7548611111</v>
      </c>
      <c r="U19" s="20">
        <f>IFERROR(__xludf.DUMMYFUNCTION("""COMPUTED_VALUE"""),0.7805555555555556)</f>
        <v>0.7805555556</v>
      </c>
      <c r="V19" s="20">
        <f>IFERROR(__xludf.DUMMYFUNCTION("""COMPUTED_VALUE"""),0.8173611111111111)</f>
        <v>0.8173611111</v>
      </c>
      <c r="W19" s="20">
        <f>IFERROR(__xludf.DUMMYFUNCTION("""COMPUTED_VALUE"""),0.83125)</f>
        <v>0.83125</v>
      </c>
    </row>
    <row r="20">
      <c r="A20" s="87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IFERROR(__xludf.DUMMYFUNCTION("""COMPUTED_VALUE"""),0.20555555555555555)</f>
        <v>0.2055555556</v>
      </c>
      <c r="D20" s="17">
        <f>IFERROR(__xludf.DUMMYFUNCTION("""COMPUTED_VALUE"""),0.2263888888888889)</f>
        <v>0.2263888889</v>
      </c>
      <c r="E20" s="17">
        <f>IFERROR(__xludf.DUMMYFUNCTION("""COMPUTED_VALUE"""),0.23680555555555555)</f>
        <v>0.2368055556</v>
      </c>
      <c r="F20" s="17">
        <f>IFERROR(__xludf.DUMMYFUNCTION("""COMPUTED_VALUE"""),0.2798611111111111)</f>
        <v>0.2798611111</v>
      </c>
      <c r="G20" s="17">
        <f>IFERROR(__xludf.DUMMYFUNCTION("""COMPUTED_VALUE"""),0.31180555555555556)</f>
        <v>0.3118055556</v>
      </c>
      <c r="H20" s="17">
        <f>IFERROR(__xludf.DUMMYFUNCTION("""COMPUTED_VALUE"""),0.33402777777777776)</f>
        <v>0.3340277778</v>
      </c>
      <c r="I20" s="17">
        <f>IFERROR(__xludf.DUMMYFUNCTION("""COMPUTED_VALUE"""),0.35833333333333334)</f>
        <v>0.3583333333</v>
      </c>
      <c r="J20" s="17">
        <f>IFERROR(__xludf.DUMMYFUNCTION("""COMPUTED_VALUE"""),0.3840277777777778)</f>
        <v>0.3840277778</v>
      </c>
      <c r="K20" s="17">
        <f>IFERROR(__xludf.DUMMYFUNCTION("""COMPUTED_VALUE"""),0.4083333333333333)</f>
        <v>0.4083333333</v>
      </c>
      <c r="L20" s="17">
        <f>IFERROR(__xludf.DUMMYFUNCTION("""COMPUTED_VALUE"""),0.4534722222222222)</f>
        <v>0.4534722222</v>
      </c>
      <c r="M20" s="17">
        <f>IFERROR(__xludf.DUMMYFUNCTION("""COMPUTED_VALUE"""),0.5111111111111111)</f>
        <v>0.5111111111</v>
      </c>
      <c r="N20" s="17">
        <f>IFERROR(__xludf.DUMMYFUNCTION("""COMPUTED_VALUE"""),0.55625)</f>
        <v>0.55625</v>
      </c>
      <c r="O20" s="17">
        <f>IFERROR(__xludf.DUMMYFUNCTION("""COMPUTED_VALUE"""),0.5701388888888889)</f>
        <v>0.5701388889</v>
      </c>
      <c r="P20" s="17">
        <f>IFERROR(__xludf.DUMMYFUNCTION("""COMPUTED_VALUE"""),0.65)</f>
        <v>0.65</v>
      </c>
      <c r="Q20" s="17">
        <f>IFERROR(__xludf.DUMMYFUNCTION("""COMPUTED_VALUE"""),0.6479166666666667)</f>
        <v>0.6479166667</v>
      </c>
      <c r="R20" s="17">
        <f>IFERROR(__xludf.DUMMYFUNCTION("""COMPUTED_VALUE"""),0.7055555555555556)</f>
        <v>0.7055555556</v>
      </c>
      <c r="S20" s="17">
        <f>IFERROR(__xludf.DUMMYFUNCTION("""COMPUTED_VALUE"""),0.7194444444444444)</f>
        <v>0.7194444444</v>
      </c>
      <c r="T20" s="17">
        <f>IFERROR(__xludf.DUMMYFUNCTION("""COMPUTED_VALUE"""),0.7576388888888889)</f>
        <v>0.7576388889</v>
      </c>
      <c r="U20" s="20">
        <f>IFERROR(__xludf.DUMMYFUNCTION("""COMPUTED_VALUE"""),0.7833333333333333)</f>
        <v>0.7833333333</v>
      </c>
      <c r="V20" s="20">
        <f>IFERROR(__xludf.DUMMYFUNCTION("""COMPUTED_VALUE"""),0.8201388888888889)</f>
        <v>0.8201388889</v>
      </c>
      <c r="W20" s="20">
        <f>IFERROR(__xludf.DUMMYFUNCTION("""COMPUTED_VALUE"""),0.8340277777777778)</f>
        <v>0.8340277778</v>
      </c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IFERROR(__xludf.DUMMYFUNCTION("""COMPUTED_VALUE"""),0.20972222222222223)</f>
        <v>0.2097222222</v>
      </c>
      <c r="D21" s="17">
        <f>IFERROR(__xludf.DUMMYFUNCTION("""COMPUTED_VALUE"""),0.23055555555555557)</f>
        <v>0.2305555556</v>
      </c>
      <c r="E21" s="17">
        <f>IFERROR(__xludf.DUMMYFUNCTION("""COMPUTED_VALUE"""),0.24097222222222223)</f>
        <v>0.2409722222</v>
      </c>
      <c r="F21" s="17">
        <f>IFERROR(__xludf.DUMMYFUNCTION("""COMPUTED_VALUE"""),0.28402777777777777)</f>
        <v>0.2840277778</v>
      </c>
      <c r="G21" s="17">
        <f>IFERROR(__xludf.DUMMYFUNCTION("""COMPUTED_VALUE"""),0.3159722222222222)</f>
        <v>0.3159722222</v>
      </c>
      <c r="H21" s="17">
        <f>IFERROR(__xludf.DUMMYFUNCTION("""COMPUTED_VALUE"""),0.33819444444444446)</f>
        <v>0.3381944444</v>
      </c>
      <c r="I21" s="17">
        <f>IFERROR(__xludf.DUMMYFUNCTION("""COMPUTED_VALUE"""),0.3625)</f>
        <v>0.3625</v>
      </c>
      <c r="J21" s="17">
        <f>IFERROR(__xludf.DUMMYFUNCTION("""COMPUTED_VALUE"""),0.38819444444444445)</f>
        <v>0.3881944444</v>
      </c>
      <c r="K21" s="17">
        <f>IFERROR(__xludf.DUMMYFUNCTION("""COMPUTED_VALUE"""),0.4125)</f>
        <v>0.4125</v>
      </c>
      <c r="L21" s="17">
        <f>IFERROR(__xludf.DUMMYFUNCTION("""COMPUTED_VALUE"""),0.4576388888888889)</f>
        <v>0.4576388889</v>
      </c>
      <c r="M21" s="17">
        <f>IFERROR(__xludf.DUMMYFUNCTION("""COMPUTED_VALUE"""),0.5152777777777777)</f>
        <v>0.5152777778</v>
      </c>
      <c r="N21" s="17">
        <f>IFERROR(__xludf.DUMMYFUNCTION("""COMPUTED_VALUE"""),0.5604166666666667)</f>
        <v>0.5604166667</v>
      </c>
      <c r="O21" s="17">
        <f>IFERROR(__xludf.DUMMYFUNCTION("""COMPUTED_VALUE"""),0.5743055555555555)</f>
        <v>0.5743055556</v>
      </c>
      <c r="P21" s="17">
        <f>IFERROR(__xludf.DUMMYFUNCTION("""COMPUTED_VALUE"""),0.6541666666666667)</f>
        <v>0.6541666667</v>
      </c>
      <c r="Q21" s="17">
        <f>IFERROR(__xludf.DUMMYFUNCTION("""COMPUTED_VALUE"""),0.6520833333333333)</f>
        <v>0.6520833333</v>
      </c>
      <c r="R21" s="17">
        <f>IFERROR(__xludf.DUMMYFUNCTION("""COMPUTED_VALUE"""),0.7097222222222223)</f>
        <v>0.7097222222</v>
      </c>
      <c r="S21" s="17">
        <f>IFERROR(__xludf.DUMMYFUNCTION("""COMPUTED_VALUE"""),0.7236111111111111)</f>
        <v>0.7236111111</v>
      </c>
      <c r="T21" s="17">
        <f>IFERROR(__xludf.DUMMYFUNCTION("""COMPUTED_VALUE"""),0.7618055555555555)</f>
        <v>0.7618055556</v>
      </c>
      <c r="U21" s="20">
        <f>IFERROR(__xludf.DUMMYFUNCTION("""COMPUTED_VALUE"""),0.7875)</f>
        <v>0.7875</v>
      </c>
      <c r="V21" s="20">
        <f>IFERROR(__xludf.DUMMYFUNCTION("""COMPUTED_VALUE"""),0.8243055555555555)</f>
        <v>0.8243055556</v>
      </c>
      <c r="W21" s="20">
        <f>IFERROR(__xludf.DUMMYFUNCTION("""COMPUTED_VALUE"""),0.8381944444444445)</f>
        <v>0.8381944444</v>
      </c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IFERROR(__xludf.DUMMYFUNCTION("""COMPUTED_VALUE"""),0.21180555555555555)</f>
        <v>0.2118055556</v>
      </c>
      <c r="D22" s="17">
        <f>IFERROR(__xludf.DUMMYFUNCTION("""COMPUTED_VALUE"""),0.2326388888888889)</f>
        <v>0.2326388889</v>
      </c>
      <c r="E22" s="17">
        <f>IFERROR(__xludf.DUMMYFUNCTION("""COMPUTED_VALUE"""),0.24305555555555555)</f>
        <v>0.2430555556</v>
      </c>
      <c r="F22" s="17">
        <f>IFERROR(__xludf.DUMMYFUNCTION("""COMPUTED_VALUE"""),0.2861111111111111)</f>
        <v>0.2861111111</v>
      </c>
      <c r="G22" s="17">
        <f>IFERROR(__xludf.DUMMYFUNCTION("""COMPUTED_VALUE"""),0.31805555555555554)</f>
        <v>0.3180555556</v>
      </c>
      <c r="H22" s="17">
        <f>IFERROR(__xludf.DUMMYFUNCTION("""COMPUTED_VALUE"""),0.3402777777777778)</f>
        <v>0.3402777778</v>
      </c>
      <c r="I22" s="17">
        <f>IFERROR(__xludf.DUMMYFUNCTION("""COMPUTED_VALUE"""),0.3645833333333333)</f>
        <v>0.3645833333</v>
      </c>
      <c r="J22" s="17">
        <f>IFERROR(__xludf.DUMMYFUNCTION("""COMPUTED_VALUE"""),0.3902777777777778)</f>
        <v>0.3902777778</v>
      </c>
      <c r="K22" s="17">
        <f>IFERROR(__xludf.DUMMYFUNCTION("""COMPUTED_VALUE"""),0.41458333333333336)</f>
        <v>0.4145833333</v>
      </c>
      <c r="L22" s="17">
        <f>IFERROR(__xludf.DUMMYFUNCTION("""COMPUTED_VALUE"""),0.4597222222222222)</f>
        <v>0.4597222222</v>
      </c>
      <c r="M22" s="17">
        <f>IFERROR(__xludf.DUMMYFUNCTION("""COMPUTED_VALUE"""),0.5173611111111112)</f>
        <v>0.5173611111</v>
      </c>
      <c r="N22" s="17">
        <f>IFERROR(__xludf.DUMMYFUNCTION("""COMPUTED_VALUE"""),0.5625)</f>
        <v>0.5625</v>
      </c>
      <c r="O22" s="17">
        <f>IFERROR(__xludf.DUMMYFUNCTION("""COMPUTED_VALUE"""),0.5763888888888888)</f>
        <v>0.5763888889</v>
      </c>
      <c r="P22" s="17">
        <f>IFERROR(__xludf.DUMMYFUNCTION("""COMPUTED_VALUE"""),0.65625)</f>
        <v>0.65625</v>
      </c>
      <c r="Q22" s="17">
        <f>IFERROR(__xludf.DUMMYFUNCTION("""COMPUTED_VALUE"""),0.6541666666666667)</f>
        <v>0.6541666667</v>
      </c>
      <c r="R22" s="17">
        <f>IFERROR(__xludf.DUMMYFUNCTION("""COMPUTED_VALUE"""),0.7118055555555556)</f>
        <v>0.7118055556</v>
      </c>
      <c r="S22" s="17">
        <f>IFERROR(__xludf.DUMMYFUNCTION("""COMPUTED_VALUE"""),0.7256944444444444)</f>
        <v>0.7256944444</v>
      </c>
      <c r="T22" s="17">
        <f>IFERROR(__xludf.DUMMYFUNCTION("""COMPUTED_VALUE"""),0.7638888888888888)</f>
        <v>0.7638888889</v>
      </c>
      <c r="U22" s="20">
        <f>IFERROR(__xludf.DUMMYFUNCTION("""COMPUTED_VALUE"""),0.7895833333333333)</f>
        <v>0.7895833333</v>
      </c>
      <c r="V22" s="20">
        <f>IFERROR(__xludf.DUMMYFUNCTION("""COMPUTED_VALUE"""),0.8263888888888888)</f>
        <v>0.8263888889</v>
      </c>
      <c r="W22" s="20">
        <f>IFERROR(__xludf.DUMMYFUNCTION("""COMPUTED_VALUE"""),0.8402777777777778)</f>
        <v>0.8402777778</v>
      </c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IFERROR(__xludf.DUMMYFUNCTION("""COMPUTED_VALUE"""),0.2152777777777778)</f>
        <v>0.2152777778</v>
      </c>
      <c r="D23" s="17">
        <f>IFERROR(__xludf.DUMMYFUNCTION("""COMPUTED_VALUE"""),0.2361111111111111)</f>
        <v>0.2361111111</v>
      </c>
      <c r="E23" s="17">
        <f>IFERROR(__xludf.DUMMYFUNCTION("""COMPUTED_VALUE"""),0.2465277777777778)</f>
        <v>0.2465277778</v>
      </c>
      <c r="F23" s="17">
        <f>IFERROR(__xludf.DUMMYFUNCTION("""COMPUTED_VALUE"""),0.28958333333333336)</f>
        <v>0.2895833333</v>
      </c>
      <c r="G23" s="17">
        <f>IFERROR(__xludf.DUMMYFUNCTION("""COMPUTED_VALUE"""),0.3215277777777778)</f>
        <v>0.3215277778</v>
      </c>
      <c r="H23" s="17">
        <f>IFERROR(__xludf.DUMMYFUNCTION("""COMPUTED_VALUE"""),0.34375)</f>
        <v>0.34375</v>
      </c>
      <c r="I23" s="17">
        <f>IFERROR(__xludf.DUMMYFUNCTION("""COMPUTED_VALUE"""),0.3680555555555556)</f>
        <v>0.3680555556</v>
      </c>
      <c r="J23" s="17">
        <f>IFERROR(__xludf.DUMMYFUNCTION("""COMPUTED_VALUE"""),0.39375)</f>
        <v>0.39375</v>
      </c>
      <c r="K23" s="17">
        <f>IFERROR(__xludf.DUMMYFUNCTION("""COMPUTED_VALUE"""),0.41805555555555557)</f>
        <v>0.4180555556</v>
      </c>
      <c r="L23" s="17">
        <f>IFERROR(__xludf.DUMMYFUNCTION("""COMPUTED_VALUE"""),0.46319444444444446)</f>
        <v>0.4631944444</v>
      </c>
      <c r="M23" s="17">
        <f>IFERROR(__xludf.DUMMYFUNCTION("""COMPUTED_VALUE"""),0.5208333333333334)</f>
        <v>0.5208333333</v>
      </c>
      <c r="N23" s="17">
        <f>IFERROR(__xludf.DUMMYFUNCTION("""COMPUTED_VALUE"""),0.5659722222222222)</f>
        <v>0.5659722222</v>
      </c>
      <c r="O23" s="17">
        <f>IFERROR(__xludf.DUMMYFUNCTION("""COMPUTED_VALUE"""),0.5798611111111112)</f>
        <v>0.5798611111</v>
      </c>
      <c r="P23" s="17">
        <f>IFERROR(__xludf.DUMMYFUNCTION("""COMPUTED_VALUE"""),0.6597222222222222)</f>
        <v>0.6597222222</v>
      </c>
      <c r="Q23" s="17">
        <f>IFERROR(__xludf.DUMMYFUNCTION("""COMPUTED_VALUE"""),0.6576388888888889)</f>
        <v>0.6576388889</v>
      </c>
      <c r="R23" s="17">
        <f>IFERROR(__xludf.DUMMYFUNCTION("""COMPUTED_VALUE"""),0.7152777777777778)</f>
        <v>0.7152777778</v>
      </c>
      <c r="S23" s="17">
        <f>IFERROR(__xludf.DUMMYFUNCTION("""COMPUTED_VALUE"""),0.7291666666666666)</f>
        <v>0.7291666667</v>
      </c>
      <c r="T23" s="17">
        <f>IFERROR(__xludf.DUMMYFUNCTION("""COMPUTED_VALUE"""),0.7673611111111112)</f>
        <v>0.7673611111</v>
      </c>
      <c r="U23" s="20">
        <f>IFERROR(__xludf.DUMMYFUNCTION("""COMPUTED_VALUE"""),0.7930555555555555)</f>
        <v>0.7930555556</v>
      </c>
      <c r="V23" s="20">
        <f>IFERROR(__xludf.DUMMYFUNCTION("""COMPUTED_VALUE"""),0.8298611111111112)</f>
        <v>0.8298611111</v>
      </c>
      <c r="W23" s="20">
        <f>IFERROR(__xludf.DUMMYFUNCTION("""COMPUTED_VALUE"""),0.84375)</f>
        <v>0.84375</v>
      </c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>
        <f>IFERROR(__xludf.DUMMYFUNCTION("""COMPUTED_VALUE"""),0.22152777777777777)</f>
        <v>0.2215277778</v>
      </c>
      <c r="D24" s="17">
        <f>IFERROR(__xludf.DUMMYFUNCTION("""COMPUTED_VALUE"""),0.2423611111111111)</f>
        <v>0.2423611111</v>
      </c>
      <c r="E24" s="17">
        <f>IFERROR(__xludf.DUMMYFUNCTION("""COMPUTED_VALUE"""),0.25277777777777777)</f>
        <v>0.2527777778</v>
      </c>
      <c r="F24" s="17">
        <f>IFERROR(__xludf.DUMMYFUNCTION("""COMPUTED_VALUE"""),0.29583333333333334)</f>
        <v>0.2958333333</v>
      </c>
      <c r="G24" s="17">
        <f>IFERROR(__xludf.DUMMYFUNCTION("""COMPUTED_VALUE"""),0.3277777777777778)</f>
        <v>0.3277777778</v>
      </c>
      <c r="H24" s="17">
        <f>IFERROR(__xludf.DUMMYFUNCTION("""COMPUTED_VALUE"""),0.35)</f>
        <v>0.35</v>
      </c>
      <c r="I24" s="17">
        <f>IFERROR(__xludf.DUMMYFUNCTION("""COMPUTED_VALUE"""),0.37430555555555556)</f>
        <v>0.3743055556</v>
      </c>
      <c r="J24" s="17">
        <f>IFERROR(__xludf.DUMMYFUNCTION("""COMPUTED_VALUE"""),0.4)</f>
        <v>0.4</v>
      </c>
      <c r="K24" s="17">
        <f>IFERROR(__xludf.DUMMYFUNCTION("""COMPUTED_VALUE"""),0.42430555555555555)</f>
        <v>0.4243055556</v>
      </c>
      <c r="L24" s="17">
        <f>IFERROR(__xludf.DUMMYFUNCTION("""COMPUTED_VALUE"""),0.46944444444444444)</f>
        <v>0.4694444444</v>
      </c>
      <c r="M24" s="17">
        <f>IFERROR(__xludf.DUMMYFUNCTION("""COMPUTED_VALUE"""),0.5270833333333333)</f>
        <v>0.5270833333</v>
      </c>
      <c r="N24" s="17">
        <f>IFERROR(__xludf.DUMMYFUNCTION("""COMPUTED_VALUE"""),0.5722222222222222)</f>
        <v>0.5722222222</v>
      </c>
      <c r="O24" s="17">
        <f>IFERROR(__xludf.DUMMYFUNCTION("""COMPUTED_VALUE"""),0.5861111111111111)</f>
        <v>0.5861111111</v>
      </c>
      <c r="P24" s="17">
        <f>IFERROR(__xludf.DUMMYFUNCTION("""COMPUTED_VALUE"""),0.6659722222222222)</f>
        <v>0.6659722222</v>
      </c>
      <c r="Q24" s="17">
        <f>IFERROR(__xludf.DUMMYFUNCTION("""COMPUTED_VALUE"""),0.6638888888888889)</f>
        <v>0.6638888889</v>
      </c>
      <c r="R24" s="17">
        <f>IFERROR(__xludf.DUMMYFUNCTION("""COMPUTED_VALUE"""),0.7215277777777778)</f>
        <v>0.7215277778</v>
      </c>
      <c r="S24" s="17">
        <f>IFERROR(__xludf.DUMMYFUNCTION("""COMPUTED_VALUE"""),0.7354166666666667)</f>
        <v>0.7354166667</v>
      </c>
      <c r="T24" s="17">
        <f>IFERROR(__xludf.DUMMYFUNCTION("""COMPUTED_VALUE"""),0.7736111111111111)</f>
        <v>0.7736111111</v>
      </c>
      <c r="U24" s="20">
        <f>IFERROR(__xludf.DUMMYFUNCTION("""COMPUTED_VALUE"""),0.7993055555555556)</f>
        <v>0.7993055556</v>
      </c>
      <c r="V24" s="20">
        <f>IFERROR(__xludf.DUMMYFUNCTION("""COMPUTED_VALUE"""),0.8361111111111111)</f>
        <v>0.8361111111</v>
      </c>
      <c r="W24" s="20">
        <f>IFERROR(__xludf.DUMMYFUNCTION("""COMPUTED_VALUE"""),0.85)</f>
        <v>0.85</v>
      </c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>
        <f>IFERROR(__xludf.DUMMYFUNCTION("""COMPUTED_VALUE"""),0.2298611111111111)</f>
        <v>0.2298611111</v>
      </c>
      <c r="D25" s="17">
        <f>IFERROR(__xludf.DUMMYFUNCTION("""COMPUTED_VALUE"""),0.25069444444444444)</f>
        <v>0.2506944444</v>
      </c>
      <c r="E25" s="17">
        <f>IFERROR(__xludf.DUMMYFUNCTION("""COMPUTED_VALUE"""),0.2611111111111111)</f>
        <v>0.2611111111</v>
      </c>
      <c r="F25" s="17">
        <f>IFERROR(__xludf.DUMMYFUNCTION("""COMPUTED_VALUE"""),0.30416666666666664)</f>
        <v>0.3041666667</v>
      </c>
      <c r="G25" s="17">
        <f>IFERROR(__xludf.DUMMYFUNCTION("""COMPUTED_VALUE"""),0.33611111111111114)</f>
        <v>0.3361111111</v>
      </c>
      <c r="H25" s="17">
        <f>IFERROR(__xludf.DUMMYFUNCTION("""COMPUTED_VALUE"""),0.35833333333333334)</f>
        <v>0.3583333333</v>
      </c>
      <c r="I25" s="17">
        <f>IFERROR(__xludf.DUMMYFUNCTION("""COMPUTED_VALUE"""),0.38263888888888886)</f>
        <v>0.3826388889</v>
      </c>
      <c r="J25" s="17">
        <f>IFERROR(__xludf.DUMMYFUNCTION("""COMPUTED_VALUE"""),0.4083333333333333)</f>
        <v>0.4083333333</v>
      </c>
      <c r="K25" s="17">
        <f>IFERROR(__xludf.DUMMYFUNCTION("""COMPUTED_VALUE"""),0.4326388888888889)</f>
        <v>0.4326388889</v>
      </c>
      <c r="L25" s="17">
        <f>IFERROR(__xludf.DUMMYFUNCTION("""COMPUTED_VALUE"""),0.4777777777777778)</f>
        <v>0.4777777778</v>
      </c>
      <c r="M25" s="17">
        <f>IFERROR(__xludf.DUMMYFUNCTION("""COMPUTED_VALUE"""),0.5354166666666667)</f>
        <v>0.5354166667</v>
      </c>
      <c r="N25" s="17">
        <f>IFERROR(__xludf.DUMMYFUNCTION("""COMPUTED_VALUE"""),0.5805555555555556)</f>
        <v>0.5805555556</v>
      </c>
      <c r="O25" s="17">
        <f>IFERROR(__xludf.DUMMYFUNCTION("""COMPUTED_VALUE"""),0.5944444444444444)</f>
        <v>0.5944444444</v>
      </c>
      <c r="P25" s="17">
        <f>IFERROR(__xludf.DUMMYFUNCTION("""COMPUTED_VALUE"""),0.6743055555555556)</f>
        <v>0.6743055556</v>
      </c>
      <c r="Q25" s="17">
        <f>IFERROR(__xludf.DUMMYFUNCTION("""COMPUTED_VALUE"""),0.6722222222222223)</f>
        <v>0.6722222222</v>
      </c>
      <c r="R25" s="17">
        <f>IFERROR(__xludf.DUMMYFUNCTION("""COMPUTED_VALUE"""),0.7298611111111111)</f>
        <v>0.7298611111</v>
      </c>
      <c r="S25" s="17">
        <f>IFERROR(__xludf.DUMMYFUNCTION("""COMPUTED_VALUE"""),0.74375)</f>
        <v>0.74375</v>
      </c>
      <c r="T25" s="17">
        <f>IFERROR(__xludf.DUMMYFUNCTION("""COMPUTED_VALUE"""),0.7819444444444444)</f>
        <v>0.7819444444</v>
      </c>
      <c r="U25" s="20">
        <f>IFERROR(__xludf.DUMMYFUNCTION("""COMPUTED_VALUE"""),0.8076388888888889)</f>
        <v>0.8076388889</v>
      </c>
      <c r="V25" s="20">
        <f>IFERROR(__xludf.DUMMYFUNCTION("""COMPUTED_VALUE"""),0.8444444444444444)</f>
        <v>0.8444444444</v>
      </c>
      <c r="W25" s="20">
        <f>IFERROR(__xludf.DUMMYFUNCTION("""COMPUTED_VALUE"""),0.8583333333333333)</f>
        <v>0.8583333333</v>
      </c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IFERROR(__xludf.DUMMYFUNCTION("""COMPUTED_VALUE"""),0.2361111111111111)</f>
        <v>0.2361111111</v>
      </c>
      <c r="D32" s="19">
        <f>IFERROR(__xludf.DUMMYFUNCTION("""COMPUTED_VALUE"""),0.2569444444444444)</f>
        <v>0.2569444444</v>
      </c>
      <c r="E32" s="17">
        <f>IFERROR(__xludf.DUMMYFUNCTION("""COMPUTED_VALUE"""),0.28125)</f>
        <v>0.28125</v>
      </c>
      <c r="F32" s="16"/>
      <c r="G32" s="17">
        <f>IFERROR(__xludf.DUMMYFUNCTION("""COMPUTED_VALUE"""),0.3423611111111111)</f>
        <v>0.3423611111</v>
      </c>
      <c r="H32" s="17">
        <f>IFERROR(__xludf.DUMMYFUNCTION("""COMPUTED_VALUE"""),0.3611111111111111)</f>
        <v>0.3611111111</v>
      </c>
      <c r="I32" s="17">
        <f>IFERROR(__xludf.DUMMYFUNCTION("""COMPUTED_VALUE"""),0.3888888888888889)</f>
        <v>0.3888888889</v>
      </c>
      <c r="J32" s="17">
        <f>IFERROR(__xludf.DUMMYFUNCTION("""COMPUTED_VALUE"""),0.41805555555555557)</f>
        <v>0.4180555556</v>
      </c>
      <c r="K32" s="20">
        <f>IFERROR(__xludf.DUMMYFUNCTION("""COMPUTED_VALUE"""),0.4388888888888889)</f>
        <v>0.4388888889</v>
      </c>
      <c r="L32" s="20">
        <f>IFERROR(__xludf.DUMMYFUNCTION("""COMPUTED_VALUE"""),0.4847222222222222)</f>
        <v>0.4847222222</v>
      </c>
      <c r="M32" s="20">
        <f>IFERROR(__xludf.DUMMYFUNCTION("""COMPUTED_VALUE"""),0.5416666666666666)</f>
        <v>0.5416666667</v>
      </c>
      <c r="N32" s="20">
        <f>IFERROR(__xludf.DUMMYFUNCTION("""COMPUTED_VALUE"""),0.5868055555555556)</f>
        <v>0.5868055556</v>
      </c>
      <c r="O32" s="20">
        <f>IFERROR(__xludf.DUMMYFUNCTION("""COMPUTED_VALUE"""),0.6006944444444444)</f>
        <v>0.6006944444</v>
      </c>
      <c r="P32" s="20">
        <f>IFERROR(__xludf.DUMMYFUNCTION("""COMPUTED_VALUE"""),0.6805555555555556)</f>
        <v>0.6805555556</v>
      </c>
      <c r="Q32" s="20">
        <f>IFERROR(__xludf.DUMMYFUNCTION("""COMPUTED_VALUE"""),0.6784722222222223)</f>
        <v>0.6784722222</v>
      </c>
      <c r="R32" s="20">
        <f>IFERROR(__xludf.DUMMYFUNCTION("""COMPUTED_VALUE"""),0.7361111111111112)</f>
        <v>0.7361111111</v>
      </c>
      <c r="S32" s="20">
        <f>IFERROR(__xludf.DUMMYFUNCTION("""COMPUTED_VALUE"""),0.75)</f>
        <v>0.75</v>
      </c>
      <c r="T32" s="20">
        <f>IFERROR(__xludf.DUMMYFUNCTION("""COMPUTED_VALUE"""),0.7881944444444444)</f>
        <v>0.7881944444</v>
      </c>
      <c r="U32" s="20">
        <f>IFERROR(__xludf.DUMMYFUNCTION("""COMPUTED_VALUE"""),0.8138888888888889)</f>
        <v>0.8138888889</v>
      </c>
      <c r="V32" s="20">
        <f>IFERROR(__xludf.DUMMYFUNCTION("""COMPUTED_VALUE"""),0.8506944444444444)</f>
        <v>0.8506944444</v>
      </c>
      <c r="W32" s="20">
        <f>IFERROR(__xludf.DUMMYFUNCTION("""COMPUTED_VALUE"""),0.8645833333333334)</f>
        <v>0.8645833333</v>
      </c>
    </row>
    <row r="33">
      <c r="A33" s="87"/>
      <c r="B33" s="87"/>
      <c r="C33" s="19"/>
      <c r="D33" s="19"/>
      <c r="E33" s="19"/>
      <c r="F33" s="19"/>
      <c r="G33" s="19"/>
      <c r="H33" s="19"/>
      <c r="I33" s="19"/>
      <c r="J33" s="19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</row>
    <row r="34">
      <c r="A34" s="87"/>
      <c r="B34" s="87"/>
      <c r="C34" s="19"/>
      <c r="D34" s="19"/>
      <c r="E34" s="19"/>
      <c r="F34" s="19"/>
      <c r="G34" s="19"/>
      <c r="H34" s="19"/>
      <c r="I34" s="19"/>
      <c r="J34" s="19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</row>
    <row r="35">
      <c r="A35" s="87"/>
      <c r="B35" s="87"/>
      <c r="C35" s="19"/>
      <c r="D35" s="19"/>
      <c r="E35" s="19"/>
      <c r="F35" s="19"/>
      <c r="G35" s="19"/>
      <c r="H35" s="19"/>
      <c r="I35" s="19"/>
      <c r="J35" s="19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</row>
    <row r="36">
      <c r="A36" s="87"/>
      <c r="B36" s="20"/>
      <c r="C36" s="17"/>
      <c r="D36" s="16"/>
      <c r="E36" s="16"/>
      <c r="F36" s="16"/>
      <c r="G36" s="16"/>
      <c r="H36" s="16"/>
      <c r="I36" s="16"/>
      <c r="J36" s="16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</row>
    <row r="39">
      <c r="A39" s="92"/>
      <c r="B39" s="19"/>
      <c r="C39" s="19"/>
      <c r="D39" s="19"/>
      <c r="E39" s="19"/>
      <c r="F39" s="19"/>
      <c r="G39" s="19"/>
      <c r="H39" s="19"/>
      <c r="I39" s="19"/>
      <c r="J39" s="19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</row>
    <row r="83">
      <c r="A83" s="87"/>
      <c r="B83" s="75"/>
      <c r="C83" s="75"/>
      <c r="D83" s="75"/>
      <c r="E83" s="75"/>
      <c r="F83" s="75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</row>
    <row r="85">
      <c r="A85" s="87"/>
      <c r="B85" s="75"/>
      <c r="C85" s="75"/>
      <c r="D85" s="75"/>
      <c r="E85" s="75"/>
      <c r="F85" s="75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9401.0</v>
      </c>
      <c r="E2" s="5">
        <v>9903.0</v>
      </c>
      <c r="F2" s="5">
        <v>9403.0</v>
      </c>
      <c r="G2" s="5">
        <v>9905.0</v>
      </c>
      <c r="H2" s="5">
        <v>9405.0</v>
      </c>
      <c r="I2" s="5">
        <v>9907.0</v>
      </c>
      <c r="J2" s="5">
        <v>9909.0</v>
      </c>
      <c r="K2" s="5">
        <v>9911.0</v>
      </c>
      <c r="L2" s="5">
        <v>9407.0</v>
      </c>
      <c r="M2" s="5">
        <v>9913.0</v>
      </c>
      <c r="N2" s="5">
        <v>9409.0</v>
      </c>
      <c r="O2" s="5">
        <v>9915.0</v>
      </c>
      <c r="P2" s="5">
        <v>9411.0</v>
      </c>
      <c r="Q2" s="5">
        <v>9917.0</v>
      </c>
      <c r="R2" s="5">
        <v>9413.0</v>
      </c>
      <c r="S2" s="5">
        <v>9919.0</v>
      </c>
      <c r="T2" s="5">
        <v>9415.0</v>
      </c>
      <c r="U2" s="6">
        <v>9921.0</v>
      </c>
      <c r="V2" s="6"/>
      <c r="W2" s="6"/>
      <c r="X2" s="6"/>
      <c r="Y2" s="6"/>
      <c r="Z2" s="6"/>
      <c r="AA2" s="6"/>
    </row>
    <row r="3">
      <c r="A3" s="7" t="s">
        <v>85</v>
      </c>
      <c r="B3" s="93"/>
      <c r="C3" s="9">
        <v>0.2013888888888889</v>
      </c>
      <c r="D3" s="9">
        <v>0.24305555555555555</v>
      </c>
      <c r="E3" s="9">
        <v>0.2534722222222222</v>
      </c>
      <c r="F3" s="9">
        <v>0.2951388888888889</v>
      </c>
      <c r="G3" s="9">
        <v>0.3055555555555556</v>
      </c>
      <c r="H3" s="9">
        <v>0.34930555555555554</v>
      </c>
      <c r="I3" s="9">
        <v>0.375</v>
      </c>
      <c r="J3" s="9">
        <v>0.4305555555555556</v>
      </c>
      <c r="K3" s="9">
        <v>0.4861111111111111</v>
      </c>
      <c r="L3" s="9">
        <v>0.4965277777777778</v>
      </c>
      <c r="M3" s="9">
        <v>0.5729166666666666</v>
      </c>
      <c r="N3" s="9">
        <v>0.5902777777777778</v>
      </c>
      <c r="O3" s="9">
        <v>0.625</v>
      </c>
      <c r="P3" s="9">
        <v>0.6631944444444444</v>
      </c>
      <c r="Q3" s="9">
        <v>0.6770833333333334</v>
      </c>
      <c r="R3" s="9">
        <v>0.7243055555555555</v>
      </c>
      <c r="S3" s="9">
        <v>0.7326388888888888</v>
      </c>
      <c r="T3" s="9">
        <v>0.7569444444444444</v>
      </c>
      <c r="U3" s="89">
        <v>0.8020833333333334</v>
      </c>
      <c r="V3" s="10"/>
      <c r="W3" s="10"/>
      <c r="X3" s="10"/>
      <c r="Y3" s="10"/>
      <c r="Z3" s="10"/>
      <c r="AA3" s="10"/>
    </row>
    <row r="4">
      <c r="A4" s="1" t="s">
        <v>83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">
        <v>81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">
        <v>79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">
        <v>77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">
        <v>75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">
        <v>73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">
        <v>71</v>
      </c>
      <c r="B10" s="14"/>
      <c r="C10" s="12">
        <v>0.20833333333333334</v>
      </c>
      <c r="D10" s="12">
        <v>0.25</v>
      </c>
      <c r="E10" s="12">
        <v>0.2604166666666667</v>
      </c>
      <c r="F10" s="12">
        <v>0.3020833333333333</v>
      </c>
      <c r="G10" s="12">
        <v>0.3125</v>
      </c>
      <c r="H10" s="12">
        <v>0.35625</v>
      </c>
      <c r="I10" s="12">
        <v>0.3819444444444444</v>
      </c>
      <c r="J10" s="12">
        <v>0.4375</v>
      </c>
      <c r="K10" s="12">
        <v>0.4930555555555556</v>
      </c>
      <c r="L10" s="12">
        <v>0.5034722222222222</v>
      </c>
      <c r="M10" s="12">
        <v>0.5798611111111112</v>
      </c>
      <c r="N10" s="12">
        <v>0.5972222222222222</v>
      </c>
      <c r="O10" s="12">
        <v>0.6319444444444444</v>
      </c>
      <c r="P10" s="12">
        <v>0.6701388888888888</v>
      </c>
      <c r="Q10" s="12">
        <v>0.6840277777777778</v>
      </c>
      <c r="R10" s="12">
        <v>0.73125</v>
      </c>
      <c r="S10" s="12">
        <v>0.7395833333333334</v>
      </c>
      <c r="T10" s="12">
        <v>0.7638888888888888</v>
      </c>
      <c r="U10" s="20">
        <v>0.8090277777777778</v>
      </c>
    </row>
    <row r="11">
      <c r="A11" s="1" t="s">
        <v>69</v>
      </c>
      <c r="B11" s="14"/>
      <c r="C11" s="12">
        <v>0.21666666666666667</v>
      </c>
      <c r="D11" s="12">
        <v>0.25833333333333336</v>
      </c>
      <c r="E11" s="12">
        <v>0.26875</v>
      </c>
      <c r="F11" s="12">
        <v>0.3104166666666667</v>
      </c>
      <c r="G11" s="12">
        <v>0.32083333333333336</v>
      </c>
      <c r="H11" s="12">
        <v>0.3645833333333333</v>
      </c>
      <c r="I11" s="12">
        <v>0.3902777777777778</v>
      </c>
      <c r="J11" s="12">
        <v>0.44583333333333336</v>
      </c>
      <c r="K11" s="12">
        <v>0.5013888888888889</v>
      </c>
      <c r="L11" s="12">
        <v>0.5118055555555555</v>
      </c>
      <c r="M11" s="12">
        <v>0.5881944444444445</v>
      </c>
      <c r="N11" s="12">
        <v>0.6055555555555555</v>
      </c>
      <c r="O11" s="12">
        <v>0.6402777777777777</v>
      </c>
      <c r="P11" s="12">
        <v>0.6784722222222223</v>
      </c>
      <c r="Q11" s="12">
        <v>0.6923611111111111</v>
      </c>
      <c r="R11" s="12">
        <v>0.7395833333333334</v>
      </c>
      <c r="S11" s="12">
        <v>0.7479166666666667</v>
      </c>
      <c r="T11" s="12">
        <v>0.7722222222222223</v>
      </c>
      <c r="U11" s="20">
        <v>0.8173611111111111</v>
      </c>
    </row>
    <row r="12">
      <c r="A12" s="1" t="s">
        <v>67</v>
      </c>
      <c r="B12" s="14"/>
      <c r="C12" s="12">
        <v>0.22013888888888888</v>
      </c>
      <c r="D12" s="12">
        <v>0.26180555555555557</v>
      </c>
      <c r="E12" s="12">
        <v>0.2722222222222222</v>
      </c>
      <c r="F12" s="12">
        <v>0.3138888888888889</v>
      </c>
      <c r="G12" s="12">
        <v>0.32430555555555557</v>
      </c>
      <c r="H12" s="12">
        <v>0.3680555555555556</v>
      </c>
      <c r="I12" s="12">
        <v>0.39375</v>
      </c>
      <c r="J12" s="12">
        <v>0.44930555555555557</v>
      </c>
      <c r="K12" s="12">
        <v>0.5048611111111111</v>
      </c>
      <c r="L12" s="12">
        <v>0.5152777777777777</v>
      </c>
      <c r="M12" s="12">
        <v>0.5916666666666667</v>
      </c>
      <c r="N12" s="12">
        <v>0.6090277777777777</v>
      </c>
      <c r="O12" s="12">
        <v>0.64375</v>
      </c>
      <c r="P12" s="12">
        <v>0.6819444444444445</v>
      </c>
      <c r="Q12" s="12">
        <v>0.6958333333333333</v>
      </c>
      <c r="R12" s="12">
        <v>0.7430555555555556</v>
      </c>
      <c r="S12" s="12">
        <v>0.7513888888888889</v>
      </c>
      <c r="T12" s="12">
        <v>0.7756944444444445</v>
      </c>
      <c r="U12" s="20">
        <v>0.8208333333333333</v>
      </c>
    </row>
    <row r="13">
      <c r="A13" s="1" t="s">
        <v>65</v>
      </c>
      <c r="B13" s="14"/>
      <c r="C13" s="12">
        <v>0.22361111111111112</v>
      </c>
      <c r="D13" s="12">
        <v>0.2652777777777778</v>
      </c>
      <c r="E13" s="12">
        <v>0.27569444444444446</v>
      </c>
      <c r="F13" s="12">
        <v>0.3173611111111111</v>
      </c>
      <c r="G13" s="12">
        <v>0.3277777777777778</v>
      </c>
      <c r="H13" s="12">
        <v>0.3715277777777778</v>
      </c>
      <c r="I13" s="12">
        <v>0.3972222222222222</v>
      </c>
      <c r="J13" s="12">
        <v>0.4527777777777778</v>
      </c>
      <c r="K13" s="12">
        <v>0.5083333333333333</v>
      </c>
      <c r="L13" s="12">
        <v>0.51875</v>
      </c>
      <c r="M13" s="12">
        <v>0.5951388888888889</v>
      </c>
      <c r="N13" s="12">
        <v>0.6125</v>
      </c>
      <c r="O13" s="12">
        <v>0.6472222222222223</v>
      </c>
      <c r="P13" s="12">
        <v>0.6854166666666667</v>
      </c>
      <c r="Q13" s="12">
        <v>0.6993055555555555</v>
      </c>
      <c r="R13" s="12">
        <v>0.7465277777777778</v>
      </c>
      <c r="S13" s="12">
        <v>0.7548611111111111</v>
      </c>
      <c r="T13" s="12">
        <v>0.7791666666666667</v>
      </c>
      <c r="U13" s="20">
        <v>0.8243055555555555</v>
      </c>
    </row>
    <row r="14">
      <c r="A14" s="4" t="s">
        <v>63</v>
      </c>
      <c r="B14" s="14"/>
      <c r="C14" s="12">
        <v>0.225</v>
      </c>
      <c r="D14" s="12">
        <v>0.26666666666666666</v>
      </c>
      <c r="E14" s="12">
        <v>0.27708333333333335</v>
      </c>
      <c r="F14" s="12">
        <v>0.31875</v>
      </c>
      <c r="G14" s="12">
        <v>0.32916666666666666</v>
      </c>
      <c r="H14" s="12">
        <v>0.3729166666666667</v>
      </c>
      <c r="I14" s="12">
        <v>0.39861111111111114</v>
      </c>
      <c r="J14" s="12">
        <v>0.45416666666666666</v>
      </c>
      <c r="K14" s="12">
        <v>0.5097222222222222</v>
      </c>
      <c r="L14" s="20">
        <v>0.5201388888888889</v>
      </c>
      <c r="M14" s="20">
        <v>0.5965277777777778</v>
      </c>
      <c r="N14" s="20">
        <v>0.6138888888888889</v>
      </c>
      <c r="O14" s="20">
        <v>0.6486111111111111</v>
      </c>
      <c r="P14" s="20">
        <v>0.6868055555555556</v>
      </c>
      <c r="Q14" s="20">
        <v>0.7006944444444444</v>
      </c>
      <c r="R14" s="20">
        <v>0.7479166666666667</v>
      </c>
      <c r="S14" s="20">
        <v>0.75625</v>
      </c>
      <c r="T14" s="20">
        <v>0.7805555555555556</v>
      </c>
      <c r="U14" s="20">
        <v>0.8256944444444444</v>
      </c>
    </row>
    <row r="15">
      <c r="A15" s="1" t="s">
        <v>87</v>
      </c>
      <c r="B15" s="14"/>
      <c r="C15" s="12">
        <v>0.2263888888888889</v>
      </c>
      <c r="D15" s="12">
        <v>0.26805555555555555</v>
      </c>
      <c r="E15" s="12">
        <v>0.27847222222222223</v>
      </c>
      <c r="F15" s="12">
        <v>0.32013888888888886</v>
      </c>
      <c r="G15" s="12">
        <v>0.33055555555555555</v>
      </c>
      <c r="H15" s="12">
        <v>0.37430555555555556</v>
      </c>
      <c r="I15" s="12">
        <v>0.4</v>
      </c>
      <c r="J15" s="12">
        <v>0.45555555555555555</v>
      </c>
      <c r="K15" s="12">
        <v>0.5111111111111111</v>
      </c>
      <c r="L15" s="20">
        <v>0.5215277777777778</v>
      </c>
      <c r="M15" s="20">
        <v>0.5979166666666667</v>
      </c>
      <c r="N15" s="20">
        <v>0.6152777777777778</v>
      </c>
      <c r="O15" s="20">
        <v>0.65</v>
      </c>
      <c r="P15" s="20">
        <v>0.6881944444444444</v>
      </c>
      <c r="Q15" s="20">
        <v>0.7020833333333333</v>
      </c>
      <c r="R15" s="20">
        <v>0.7493055555555556</v>
      </c>
      <c r="S15" s="20">
        <v>0.7576388888888889</v>
      </c>
      <c r="T15" s="20">
        <v>0.7819444444444444</v>
      </c>
      <c r="U15" s="20">
        <v>0.8270833333333333</v>
      </c>
    </row>
    <row r="16">
      <c r="A16" s="4" t="s">
        <v>89</v>
      </c>
      <c r="B16" s="14"/>
      <c r="C16" s="12">
        <v>0.22708333333333333</v>
      </c>
      <c r="D16" s="12">
        <v>0.26875</v>
      </c>
      <c r="E16" s="12">
        <v>0.2791666666666667</v>
      </c>
      <c r="F16" s="12">
        <v>0.32083333333333336</v>
      </c>
      <c r="G16" s="12">
        <v>0.33125</v>
      </c>
      <c r="H16" s="12">
        <v>0.375</v>
      </c>
      <c r="I16" s="12">
        <v>0.40069444444444446</v>
      </c>
      <c r="J16" s="12">
        <v>0.45625</v>
      </c>
      <c r="K16" s="12">
        <v>0.5118055555555555</v>
      </c>
      <c r="L16" s="12">
        <v>0.5222222222222223</v>
      </c>
      <c r="M16" s="12">
        <v>0.5986111111111111</v>
      </c>
      <c r="N16" s="12">
        <v>0.6159722222222223</v>
      </c>
      <c r="O16" s="12">
        <v>0.6506944444444445</v>
      </c>
      <c r="P16" s="12">
        <v>0.6888888888888889</v>
      </c>
      <c r="Q16" s="12">
        <v>0.7027777777777777</v>
      </c>
      <c r="R16" s="12">
        <v>0.75</v>
      </c>
      <c r="S16" s="12">
        <v>0.7583333333333333</v>
      </c>
      <c r="T16" s="12">
        <v>0.7826388888888889</v>
      </c>
      <c r="U16" s="20">
        <v>0.8277777777777777</v>
      </c>
    </row>
    <row r="17">
      <c r="A17" s="4" t="s">
        <v>61</v>
      </c>
      <c r="B17" s="15"/>
      <c r="C17" s="12">
        <v>0.2298611111111111</v>
      </c>
      <c r="D17" s="12">
        <v>0.27152777777777776</v>
      </c>
      <c r="E17" s="12">
        <v>0.28194444444444444</v>
      </c>
      <c r="F17" s="12">
        <v>0.3236111111111111</v>
      </c>
      <c r="G17" s="12">
        <v>0.33402777777777776</v>
      </c>
      <c r="H17" s="12">
        <v>0.37777777777777777</v>
      </c>
      <c r="I17" s="12">
        <v>0.40347222222222223</v>
      </c>
      <c r="J17" s="12">
        <v>0.45902777777777776</v>
      </c>
      <c r="K17" s="12">
        <v>0.5145833333333333</v>
      </c>
      <c r="L17" s="12">
        <v>0.525</v>
      </c>
      <c r="M17" s="12">
        <v>0.6013888888888889</v>
      </c>
      <c r="N17" s="12">
        <v>0.61875</v>
      </c>
      <c r="O17" s="12">
        <v>0.6534722222222222</v>
      </c>
      <c r="P17" s="12">
        <v>0.6916666666666667</v>
      </c>
      <c r="Q17" s="12">
        <v>0.7055555555555556</v>
      </c>
      <c r="R17" s="12">
        <v>0.7527777777777778</v>
      </c>
      <c r="S17" s="12">
        <v>0.7611111111111111</v>
      </c>
      <c r="T17" s="12">
        <v>0.7854166666666667</v>
      </c>
      <c r="U17" s="20">
        <v>0.8305555555555556</v>
      </c>
    </row>
    <row r="18">
      <c r="A18" s="4" t="s">
        <v>59</v>
      </c>
      <c r="B18" s="14"/>
      <c r="C18" s="12">
        <v>0.23402777777777778</v>
      </c>
      <c r="D18" s="12">
        <v>0.27569444444444446</v>
      </c>
      <c r="E18" s="12">
        <v>0.2861111111111111</v>
      </c>
      <c r="F18" s="12">
        <v>0.3277777777777778</v>
      </c>
      <c r="G18" s="12">
        <v>0.33819444444444446</v>
      </c>
      <c r="H18" s="12">
        <v>0.3819444444444444</v>
      </c>
      <c r="I18" s="12">
        <v>0.4076388888888889</v>
      </c>
      <c r="J18" s="12">
        <v>0.46319444444444446</v>
      </c>
      <c r="K18" s="12">
        <v>0.51875</v>
      </c>
      <c r="L18" s="12">
        <v>0.5291666666666667</v>
      </c>
      <c r="M18" s="12">
        <v>0.6055555555555555</v>
      </c>
      <c r="N18" s="12">
        <v>0.6208333333333333</v>
      </c>
      <c r="O18" s="12">
        <v>0.6576388888888889</v>
      </c>
      <c r="P18" s="12">
        <v>0.6958333333333333</v>
      </c>
      <c r="Q18" s="12">
        <v>0.7097222222222223</v>
      </c>
      <c r="R18" s="12">
        <v>0.7569444444444444</v>
      </c>
      <c r="S18" s="12">
        <v>0.7652777777777777</v>
      </c>
      <c r="T18" s="12">
        <v>0.7895833333333333</v>
      </c>
      <c r="U18" s="20">
        <v>0.8326388888888889</v>
      </c>
    </row>
    <row r="19">
      <c r="A19" s="4" t="s">
        <v>57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87" t="s">
        <v>55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">
        <v>53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">
        <v>51</v>
      </c>
      <c r="B22" s="19"/>
      <c r="C22" s="17">
        <v>0.23680555555555555</v>
      </c>
      <c r="D22" s="17">
        <v>0.27847222222222223</v>
      </c>
      <c r="E22" s="17">
        <v>0.28888888888888886</v>
      </c>
      <c r="F22" s="17">
        <v>0.33055555555555555</v>
      </c>
      <c r="G22" s="17">
        <v>0.34097222222222223</v>
      </c>
      <c r="H22" s="17">
        <v>0.38472222222222224</v>
      </c>
      <c r="I22" s="17">
        <v>0.41041666666666665</v>
      </c>
      <c r="J22" s="17">
        <v>0.46597222222222223</v>
      </c>
      <c r="K22" s="17">
        <v>0.5215277777777778</v>
      </c>
      <c r="L22" s="17">
        <v>0.5319444444444444</v>
      </c>
      <c r="M22" s="17">
        <v>0.6083333333333333</v>
      </c>
      <c r="N22" s="17">
        <v>0.6236111111111111</v>
      </c>
      <c r="O22" s="17">
        <v>0.6604166666666667</v>
      </c>
      <c r="P22" s="17">
        <v>0.6986111111111111</v>
      </c>
      <c r="Q22" s="17">
        <v>0.7125</v>
      </c>
      <c r="R22" s="17">
        <v>0.7597222222222222</v>
      </c>
      <c r="S22" s="17">
        <v>0.7680555555555556</v>
      </c>
      <c r="T22" s="17">
        <v>0.7923611111111111</v>
      </c>
      <c r="U22" s="20">
        <v>0.8354166666666667</v>
      </c>
    </row>
    <row r="23">
      <c r="A23" s="18" t="s">
        <v>49</v>
      </c>
      <c r="B23" s="19"/>
      <c r="C23" s="17">
        <v>0.23958333333333334</v>
      </c>
      <c r="D23" s="17">
        <v>0.28125</v>
      </c>
      <c r="E23" s="17">
        <v>0.2916666666666667</v>
      </c>
      <c r="F23" s="17">
        <v>0.3333333333333333</v>
      </c>
      <c r="G23" s="17">
        <v>0.34375</v>
      </c>
      <c r="H23" s="17">
        <v>0.3875</v>
      </c>
      <c r="I23" s="17">
        <v>0.4131944444444444</v>
      </c>
      <c r="J23" s="17">
        <v>0.46875</v>
      </c>
      <c r="K23" s="17">
        <v>0.5243055555555556</v>
      </c>
      <c r="L23" s="17">
        <v>0.5347222222222222</v>
      </c>
      <c r="M23" s="17">
        <v>0.6111111111111112</v>
      </c>
      <c r="N23" s="17">
        <v>0.6263888888888889</v>
      </c>
      <c r="O23" s="17">
        <v>0.6631944444444444</v>
      </c>
      <c r="P23" s="17">
        <v>0.7013888888888888</v>
      </c>
      <c r="Q23" s="17">
        <v>0.7152777777777778</v>
      </c>
      <c r="R23" s="17">
        <v>0.7625</v>
      </c>
      <c r="S23" s="17">
        <v>0.7708333333333334</v>
      </c>
      <c r="T23" s="17">
        <v>0.7951388888888888</v>
      </c>
      <c r="U23" s="20">
        <v>0.8381944444444445</v>
      </c>
    </row>
    <row r="24">
      <c r="A24" s="18" t="s">
        <v>47</v>
      </c>
      <c r="B24" s="19"/>
      <c r="C24" s="17">
        <v>0.2423611111111111</v>
      </c>
      <c r="D24" s="17">
        <v>0.28402777777777777</v>
      </c>
      <c r="E24" s="17">
        <v>0.29444444444444445</v>
      </c>
      <c r="F24" s="17">
        <v>0.33611111111111114</v>
      </c>
      <c r="G24" s="17">
        <v>0.34652777777777777</v>
      </c>
      <c r="H24" s="17">
        <v>0.3902777777777778</v>
      </c>
      <c r="I24" s="17">
        <v>0.41597222222222224</v>
      </c>
      <c r="J24" s="17">
        <v>0.47152777777777777</v>
      </c>
      <c r="K24" s="17">
        <v>0.5270833333333333</v>
      </c>
      <c r="L24" s="17">
        <v>0.5375</v>
      </c>
      <c r="M24" s="17">
        <v>0.6138888888888889</v>
      </c>
      <c r="N24" s="17">
        <v>0.6319444444444444</v>
      </c>
      <c r="O24" s="17">
        <v>0.6659722222222222</v>
      </c>
      <c r="P24" s="17">
        <v>0.7013888888888888</v>
      </c>
      <c r="Q24" s="17">
        <v>0.7180555555555556</v>
      </c>
      <c r="R24" s="17">
        <v>0.7652777777777777</v>
      </c>
      <c r="S24" s="17">
        <v>0.7736111111111111</v>
      </c>
      <c r="T24" s="17">
        <v>0.7986111111111112</v>
      </c>
      <c r="U24" s="20">
        <v>0.8409722222222222</v>
      </c>
    </row>
    <row r="25">
      <c r="A25" s="18" t="s">
        <v>45</v>
      </c>
      <c r="B25" s="19"/>
      <c r="C25" s="17">
        <v>0.24513888888888888</v>
      </c>
      <c r="D25" s="17"/>
      <c r="E25" s="17">
        <v>0.2972222222222222</v>
      </c>
      <c r="F25" s="17"/>
      <c r="G25" s="17">
        <v>0.34930555555555554</v>
      </c>
      <c r="H25" s="17"/>
      <c r="I25" s="17">
        <v>0.41875</v>
      </c>
      <c r="J25" s="17">
        <v>0.47430555555555554</v>
      </c>
      <c r="K25" s="17">
        <v>0.5298611111111111</v>
      </c>
      <c r="L25" s="17">
        <v>0.5451388888888888</v>
      </c>
      <c r="M25" s="17">
        <v>0.6166666666666667</v>
      </c>
      <c r="N25" s="17"/>
      <c r="O25" s="17">
        <v>0.66875</v>
      </c>
      <c r="P25" s="17"/>
      <c r="Q25" s="17">
        <v>0.7208333333333333</v>
      </c>
      <c r="R25" s="17"/>
      <c r="S25" s="17">
        <v>0.7763888888888889</v>
      </c>
      <c r="T25" s="17"/>
      <c r="U25" s="20">
        <v>0.84375</v>
      </c>
    </row>
    <row r="26">
      <c r="A26" s="18" t="s">
        <v>43</v>
      </c>
      <c r="B26" s="19"/>
      <c r="C26" s="17">
        <v>0.24791666666666667</v>
      </c>
      <c r="D26" s="17"/>
      <c r="E26" s="17">
        <v>0.3</v>
      </c>
      <c r="F26" s="17"/>
      <c r="G26" s="17">
        <v>0.35208333333333336</v>
      </c>
      <c r="H26" s="17"/>
      <c r="I26" s="17">
        <v>0.4215277777777778</v>
      </c>
      <c r="J26" s="17">
        <v>0.47708333333333336</v>
      </c>
      <c r="K26" s="17">
        <v>0.5326388888888889</v>
      </c>
      <c r="L26" s="17"/>
      <c r="M26" s="17">
        <v>0.6194444444444445</v>
      </c>
      <c r="N26" s="17"/>
      <c r="O26" s="17">
        <v>0.6715277777777777</v>
      </c>
      <c r="P26" s="17"/>
      <c r="Q26" s="17">
        <v>0.7236111111111111</v>
      </c>
      <c r="R26" s="17"/>
      <c r="S26" s="17">
        <v>0.7791666666666667</v>
      </c>
      <c r="T26" s="17"/>
      <c r="U26" s="20">
        <v>0.8465277777777778</v>
      </c>
    </row>
    <row r="27">
      <c r="A27" s="18" t="s">
        <v>41</v>
      </c>
      <c r="B27" s="19"/>
      <c r="C27" s="17">
        <v>0.25</v>
      </c>
      <c r="D27" s="17"/>
      <c r="E27" s="17">
        <v>0.3020833333333333</v>
      </c>
      <c r="F27" s="17"/>
      <c r="G27" s="17">
        <v>0.3541666666666667</v>
      </c>
      <c r="H27" s="17"/>
      <c r="I27" s="17">
        <v>0.4236111111111111</v>
      </c>
      <c r="J27" s="17">
        <v>0.4791666666666667</v>
      </c>
      <c r="K27" s="17">
        <v>0.5347222222222222</v>
      </c>
      <c r="L27" s="17"/>
      <c r="M27" s="17">
        <v>0.6215277777777778</v>
      </c>
      <c r="N27" s="17"/>
      <c r="O27" s="17">
        <v>0.6736111111111112</v>
      </c>
      <c r="P27" s="17"/>
      <c r="Q27" s="17">
        <v>0.7256944444444444</v>
      </c>
      <c r="R27" s="17"/>
      <c r="S27" s="17">
        <v>0.78125</v>
      </c>
      <c r="T27" s="17"/>
      <c r="U27" s="20">
        <v>0.8486111111111111</v>
      </c>
    </row>
    <row r="28">
      <c r="A28" s="18" t="s">
        <v>39</v>
      </c>
      <c r="B28" s="19"/>
      <c r="C28" s="17">
        <v>0.25277777777777777</v>
      </c>
      <c r="D28" s="17"/>
      <c r="E28" s="17">
        <v>0.30486111111111114</v>
      </c>
      <c r="F28" s="17"/>
      <c r="G28" s="17">
        <v>0.3548611111111111</v>
      </c>
      <c r="H28" s="17"/>
      <c r="I28" s="17">
        <v>0.4263888888888889</v>
      </c>
      <c r="J28" s="17">
        <v>0.4798611111111111</v>
      </c>
      <c r="K28" s="17">
        <v>0.5375</v>
      </c>
      <c r="L28" s="17"/>
      <c r="M28" s="17">
        <v>0.6243055555555556</v>
      </c>
      <c r="N28" s="17"/>
      <c r="O28" s="17">
        <v>0.6743055555555556</v>
      </c>
      <c r="P28" s="17"/>
      <c r="Q28" s="17">
        <v>0.7284722222222222</v>
      </c>
      <c r="R28" s="17"/>
      <c r="S28" s="17">
        <v>0.7840277777777778</v>
      </c>
      <c r="T28" s="17"/>
      <c r="U28" s="20">
        <v>0.8513888888888889</v>
      </c>
    </row>
    <row r="29">
      <c r="A29" s="18" t="s">
        <v>37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">
        <v>35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">
        <v>33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 t="s">
        <v>31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87" t="s">
        <v>29</v>
      </c>
      <c r="B33" s="20"/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87" t="s">
        <v>27</v>
      </c>
      <c r="B34" s="20"/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9400.0</v>
      </c>
      <c r="D2" s="5">
        <v>9900.0</v>
      </c>
      <c r="E2" s="5">
        <v>9402.0</v>
      </c>
      <c r="F2" s="5">
        <v>9902.0</v>
      </c>
      <c r="G2" s="5">
        <v>9404.0</v>
      </c>
      <c r="H2" s="5">
        <v>9904.0</v>
      </c>
      <c r="I2" s="5">
        <v>9406.0</v>
      </c>
      <c r="J2" s="5">
        <v>9906.0</v>
      </c>
      <c r="K2" s="5">
        <v>9408.0</v>
      </c>
      <c r="L2" s="5">
        <v>9908.0</v>
      </c>
      <c r="M2" s="5">
        <v>9910.0</v>
      </c>
      <c r="N2" s="5">
        <v>9410.0</v>
      </c>
      <c r="O2" s="5">
        <v>9912.0</v>
      </c>
      <c r="P2" s="5">
        <v>9412.0</v>
      </c>
      <c r="Q2" s="5">
        <v>9914.0</v>
      </c>
      <c r="R2" s="5">
        <v>9916.0</v>
      </c>
      <c r="S2" s="5">
        <v>9414.0</v>
      </c>
      <c r="T2" s="5">
        <v>9918.0</v>
      </c>
      <c r="U2" s="6">
        <v>9416.0</v>
      </c>
      <c r="V2" s="6">
        <v>9920.0</v>
      </c>
      <c r="W2" s="6">
        <v>9418.0</v>
      </c>
      <c r="X2" s="6"/>
      <c r="Y2" s="6"/>
      <c r="Z2" s="6"/>
      <c r="AA2" s="6"/>
    </row>
    <row r="3">
      <c r="A3" s="7" t="s">
        <v>27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89"/>
      <c r="V3" s="89"/>
      <c r="W3" s="89"/>
      <c r="X3" s="10"/>
      <c r="Y3" s="10"/>
      <c r="Z3" s="10"/>
      <c r="AA3" s="10"/>
    </row>
    <row r="4">
      <c r="A4" s="1" t="s">
        <v>29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">
        <v>31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">
        <v>33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">
        <v>35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">
        <v>37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">
        <v>39</v>
      </c>
      <c r="B9" s="13"/>
      <c r="C9" s="12"/>
      <c r="D9" s="12">
        <v>0.2048611111111111</v>
      </c>
      <c r="E9" s="12"/>
      <c r="F9" s="12">
        <v>0.25833333333333336</v>
      </c>
      <c r="G9" s="12"/>
      <c r="H9" s="12">
        <v>0.3125</v>
      </c>
      <c r="I9" s="12"/>
      <c r="J9" s="12">
        <v>0.3625</v>
      </c>
      <c r="K9" s="12"/>
      <c r="L9" s="12">
        <v>0.43194444444444446</v>
      </c>
      <c r="M9" s="12">
        <v>0.4895833333333333</v>
      </c>
      <c r="N9" s="12"/>
      <c r="O9" s="12">
        <v>0.5486111111111112</v>
      </c>
      <c r="P9" s="12"/>
      <c r="Q9" s="12">
        <v>0.6263888888888889</v>
      </c>
      <c r="R9" s="12">
        <v>0.6840277777777778</v>
      </c>
      <c r="S9" s="12"/>
      <c r="T9" s="12">
        <v>0.7361111111111112</v>
      </c>
      <c r="U9" s="20"/>
      <c r="V9" s="20">
        <v>0.7986111111111112</v>
      </c>
      <c r="W9" s="20"/>
    </row>
    <row r="10">
      <c r="A10" s="1" t="s">
        <v>41</v>
      </c>
      <c r="B10" s="13"/>
      <c r="C10" s="12"/>
      <c r="D10" s="12">
        <v>0.2076388888888889</v>
      </c>
      <c r="E10" s="12"/>
      <c r="F10" s="12">
        <v>0.2611111111111111</v>
      </c>
      <c r="G10" s="12"/>
      <c r="H10" s="12">
        <v>0.31527777777777777</v>
      </c>
      <c r="I10" s="12"/>
      <c r="J10" s="12">
        <v>0.36527777777777776</v>
      </c>
      <c r="K10" s="12"/>
      <c r="L10" s="12">
        <v>0.43472222222222223</v>
      </c>
      <c r="M10" s="12">
        <v>0.49236111111111114</v>
      </c>
      <c r="N10" s="12"/>
      <c r="O10" s="12">
        <v>0.5513888888888889</v>
      </c>
      <c r="P10" s="12"/>
      <c r="Q10" s="12">
        <v>0.6291666666666667</v>
      </c>
      <c r="R10" s="12">
        <v>0.6868055555555556</v>
      </c>
      <c r="S10" s="12"/>
      <c r="T10" s="12">
        <v>0.7388888888888889</v>
      </c>
      <c r="U10" s="20"/>
      <c r="V10" s="20">
        <v>0.8013888888888889</v>
      </c>
      <c r="W10" s="20"/>
    </row>
    <row r="11">
      <c r="A11" s="1" t="s">
        <v>43</v>
      </c>
      <c r="B11" s="13"/>
      <c r="C11" s="12"/>
      <c r="D11" s="12">
        <v>0.20972222222222223</v>
      </c>
      <c r="E11" s="12"/>
      <c r="F11" s="12">
        <v>0.26319444444444445</v>
      </c>
      <c r="G11" s="12"/>
      <c r="H11" s="12">
        <v>0.3173611111111111</v>
      </c>
      <c r="I11" s="12"/>
      <c r="J11" s="12">
        <v>0.36736111111111114</v>
      </c>
      <c r="K11" s="12"/>
      <c r="L11" s="12">
        <v>0.43680555555555556</v>
      </c>
      <c r="M11" s="12">
        <v>0.49444444444444446</v>
      </c>
      <c r="N11" s="12"/>
      <c r="O11" s="12">
        <v>0.5534722222222223</v>
      </c>
      <c r="P11" s="12"/>
      <c r="Q11" s="12">
        <v>0.63125</v>
      </c>
      <c r="R11" s="12">
        <v>0.6888888888888889</v>
      </c>
      <c r="S11" s="12"/>
      <c r="T11" s="12">
        <v>0.7409722222222223</v>
      </c>
      <c r="U11" s="20"/>
      <c r="V11" s="20">
        <v>0.8034722222222223</v>
      </c>
      <c r="W11" s="20"/>
    </row>
    <row r="12">
      <c r="A12" s="1" t="s">
        <v>45</v>
      </c>
      <c r="B12" s="13"/>
      <c r="C12" s="12"/>
      <c r="D12" s="12">
        <v>0.2125</v>
      </c>
      <c r="E12" s="12"/>
      <c r="F12" s="12">
        <v>0.2659722222222222</v>
      </c>
      <c r="G12" s="12"/>
      <c r="H12" s="12">
        <v>0.32013888888888886</v>
      </c>
      <c r="I12" s="12"/>
      <c r="J12" s="12">
        <v>0.3701388888888889</v>
      </c>
      <c r="K12" s="12"/>
      <c r="L12" s="12">
        <v>0.4395833333333333</v>
      </c>
      <c r="M12" s="12">
        <v>0.49722222222222223</v>
      </c>
      <c r="N12" s="12"/>
      <c r="O12" s="12">
        <v>0.55625</v>
      </c>
      <c r="P12" s="12"/>
      <c r="Q12" s="12">
        <v>0.6340277777777777</v>
      </c>
      <c r="R12" s="12">
        <v>0.6916666666666667</v>
      </c>
      <c r="S12" s="12"/>
      <c r="T12" s="12">
        <v>0.74375</v>
      </c>
      <c r="U12" s="20"/>
      <c r="V12" s="20">
        <v>0.80625</v>
      </c>
      <c r="W12" s="20"/>
    </row>
    <row r="13">
      <c r="A13" s="1" t="s">
        <v>47</v>
      </c>
      <c r="B13" s="14"/>
      <c r="C13" s="12">
        <v>0.19444444444444445</v>
      </c>
      <c r="D13" s="12">
        <v>0.2152777777777778</v>
      </c>
      <c r="E13" s="12">
        <v>0.22569444444444445</v>
      </c>
      <c r="F13" s="12">
        <v>0.26875</v>
      </c>
      <c r="G13" s="12">
        <v>0.30069444444444443</v>
      </c>
      <c r="H13" s="12">
        <v>0.3229166666666667</v>
      </c>
      <c r="I13" s="12">
        <v>0.3472222222222222</v>
      </c>
      <c r="J13" s="12">
        <v>0.3729166666666667</v>
      </c>
      <c r="K13" s="12">
        <v>0.3972222222222222</v>
      </c>
      <c r="L13" s="12">
        <v>0.4423611111111111</v>
      </c>
      <c r="M13" s="12">
        <v>0.5</v>
      </c>
      <c r="N13" s="12">
        <v>0.5451388888888888</v>
      </c>
      <c r="O13" s="12">
        <v>0.5590277777777778</v>
      </c>
      <c r="P13" s="12">
        <v>0.6388888888888888</v>
      </c>
      <c r="Q13" s="12">
        <v>0.6368055555555555</v>
      </c>
      <c r="R13" s="12">
        <v>0.6944444444444444</v>
      </c>
      <c r="S13" s="12">
        <v>0.7083333333333334</v>
      </c>
      <c r="T13" s="12">
        <v>0.7465277777777778</v>
      </c>
      <c r="U13" s="20">
        <v>0.7722222222222223</v>
      </c>
      <c r="V13" s="20">
        <v>0.8090277777777778</v>
      </c>
      <c r="W13" s="20">
        <v>0.8229166666666666</v>
      </c>
    </row>
    <row r="14">
      <c r="A14" s="4" t="s">
        <v>49</v>
      </c>
      <c r="B14" s="91"/>
      <c r="C14" s="12">
        <v>0.19722222222222222</v>
      </c>
      <c r="D14" s="12">
        <v>0.21805555555555556</v>
      </c>
      <c r="E14" s="12">
        <v>0.22847222222222222</v>
      </c>
      <c r="F14" s="12">
        <v>0.27152777777777776</v>
      </c>
      <c r="G14" s="12">
        <v>0.3034722222222222</v>
      </c>
      <c r="H14" s="12">
        <v>0.32569444444444445</v>
      </c>
      <c r="I14" s="12">
        <v>0.35</v>
      </c>
      <c r="J14" s="12">
        <v>0.37569444444444444</v>
      </c>
      <c r="K14" s="12">
        <v>0.4</v>
      </c>
      <c r="L14" s="20">
        <v>0.44513888888888886</v>
      </c>
      <c r="M14" s="20">
        <v>0.5027777777777778</v>
      </c>
      <c r="N14" s="20">
        <v>0.5479166666666667</v>
      </c>
      <c r="O14" s="20">
        <v>0.5618055555555556</v>
      </c>
      <c r="P14" s="20">
        <v>0.6416666666666667</v>
      </c>
      <c r="Q14" s="20">
        <v>0.6395833333333333</v>
      </c>
      <c r="R14" s="20">
        <v>0.6972222222222222</v>
      </c>
      <c r="S14" s="20">
        <v>0.7111111111111111</v>
      </c>
      <c r="T14" s="20">
        <v>0.7493055555555556</v>
      </c>
      <c r="U14" s="20">
        <v>0.775</v>
      </c>
      <c r="V14" s="20">
        <v>0.8118055555555556</v>
      </c>
      <c r="W14" s="20">
        <v>0.8256944444444444</v>
      </c>
    </row>
    <row r="15">
      <c r="A15" s="1" t="s">
        <v>51</v>
      </c>
      <c r="B15" s="91"/>
      <c r="C15" s="12">
        <v>0.19930555555555557</v>
      </c>
      <c r="D15" s="12">
        <v>0.22013888888888888</v>
      </c>
      <c r="E15" s="12">
        <v>0.23055555555555557</v>
      </c>
      <c r="F15" s="12">
        <v>0.27361111111111114</v>
      </c>
      <c r="G15" s="12">
        <v>0.3055555555555556</v>
      </c>
      <c r="H15" s="12">
        <v>0.3277777777777778</v>
      </c>
      <c r="I15" s="12">
        <v>0.35208333333333336</v>
      </c>
      <c r="J15" s="12">
        <v>0.37777777777777777</v>
      </c>
      <c r="K15" s="12">
        <v>0.40208333333333335</v>
      </c>
      <c r="L15" s="20">
        <v>0.44722222222222224</v>
      </c>
      <c r="M15" s="20">
        <v>0.5048611111111111</v>
      </c>
      <c r="N15" s="20">
        <v>0.55</v>
      </c>
      <c r="O15" s="20">
        <v>0.5638888888888889</v>
      </c>
      <c r="P15" s="20">
        <v>0.64375</v>
      </c>
      <c r="Q15" s="20">
        <v>0.6416666666666667</v>
      </c>
      <c r="R15" s="20">
        <v>0.6993055555555555</v>
      </c>
      <c r="S15" s="20">
        <v>0.7131944444444445</v>
      </c>
      <c r="T15" s="20">
        <v>0.7513888888888889</v>
      </c>
      <c r="U15" s="20">
        <v>0.7770833333333333</v>
      </c>
      <c r="V15" s="20">
        <v>0.8138888888888889</v>
      </c>
      <c r="W15" s="20">
        <v>0.8277777777777777</v>
      </c>
    </row>
    <row r="16">
      <c r="A16" s="4" t="s">
        <v>53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">
        <v>55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">
        <v>57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">
        <v>59</v>
      </c>
      <c r="B19" s="91"/>
      <c r="C19" s="12">
        <v>0.20277777777777778</v>
      </c>
      <c r="D19" s="12">
        <v>0.22361111111111112</v>
      </c>
      <c r="E19" s="12">
        <v>0.23402777777777778</v>
      </c>
      <c r="F19" s="12">
        <v>0.27708333333333335</v>
      </c>
      <c r="G19" s="12">
        <v>0.3090277777777778</v>
      </c>
      <c r="H19" s="12">
        <v>0.33125</v>
      </c>
      <c r="I19" s="12">
        <v>0.35555555555555557</v>
      </c>
      <c r="J19" s="12">
        <v>0.38125</v>
      </c>
      <c r="K19" s="12">
        <v>0.40555555555555556</v>
      </c>
      <c r="L19" s="12">
        <v>0.45069444444444445</v>
      </c>
      <c r="M19" s="12">
        <v>0.5083333333333333</v>
      </c>
      <c r="N19" s="12">
        <v>0.5534722222222223</v>
      </c>
      <c r="O19" s="12">
        <v>0.5673611111111111</v>
      </c>
      <c r="P19" s="12">
        <v>0.6472222222222223</v>
      </c>
      <c r="Q19" s="12">
        <v>0.6451388888888889</v>
      </c>
      <c r="R19" s="12">
        <v>0.7027777777777777</v>
      </c>
      <c r="S19" s="12">
        <v>0.7166666666666667</v>
      </c>
      <c r="T19" s="12">
        <v>0.7548611111111111</v>
      </c>
      <c r="U19" s="20">
        <v>0.7805555555555556</v>
      </c>
      <c r="V19" s="20">
        <v>0.8173611111111111</v>
      </c>
      <c r="W19" s="20">
        <v>0.83125</v>
      </c>
    </row>
    <row r="20">
      <c r="A20" s="87" t="s">
        <v>61</v>
      </c>
      <c r="B20" s="19"/>
      <c r="C20" s="17">
        <v>0.20555555555555555</v>
      </c>
      <c r="D20" s="17">
        <v>0.2263888888888889</v>
      </c>
      <c r="E20" s="17">
        <v>0.23680555555555555</v>
      </c>
      <c r="F20" s="17">
        <v>0.2798611111111111</v>
      </c>
      <c r="G20" s="17">
        <v>0.31180555555555556</v>
      </c>
      <c r="H20" s="17">
        <v>0.33402777777777776</v>
      </c>
      <c r="I20" s="17">
        <v>0.35833333333333334</v>
      </c>
      <c r="J20" s="17">
        <v>0.3840277777777778</v>
      </c>
      <c r="K20" s="17">
        <v>0.4083333333333333</v>
      </c>
      <c r="L20" s="17">
        <v>0.4534722222222222</v>
      </c>
      <c r="M20" s="17">
        <v>0.5111111111111111</v>
      </c>
      <c r="N20" s="17">
        <v>0.55625</v>
      </c>
      <c r="O20" s="17">
        <v>0.5701388888888889</v>
      </c>
      <c r="P20" s="17">
        <v>0.65</v>
      </c>
      <c r="Q20" s="17">
        <v>0.6479166666666667</v>
      </c>
      <c r="R20" s="17">
        <v>0.7055555555555556</v>
      </c>
      <c r="S20" s="17">
        <v>0.7194444444444444</v>
      </c>
      <c r="T20" s="17">
        <v>0.7576388888888889</v>
      </c>
      <c r="U20" s="20">
        <v>0.7833333333333333</v>
      </c>
      <c r="V20" s="20">
        <v>0.8201388888888889</v>
      </c>
      <c r="W20" s="20">
        <v>0.8340277777777778</v>
      </c>
    </row>
    <row r="21">
      <c r="A21" s="16" t="s">
        <v>63</v>
      </c>
      <c r="B21" s="19"/>
      <c r="C21" s="17">
        <v>0.20972222222222223</v>
      </c>
      <c r="D21" s="17">
        <v>0.23055555555555557</v>
      </c>
      <c r="E21" s="17">
        <v>0.24097222222222223</v>
      </c>
      <c r="F21" s="17">
        <v>0.28402777777777777</v>
      </c>
      <c r="G21" s="17">
        <v>0.3159722222222222</v>
      </c>
      <c r="H21" s="17">
        <v>0.33819444444444446</v>
      </c>
      <c r="I21" s="17">
        <v>0.3625</v>
      </c>
      <c r="J21" s="17">
        <v>0.38819444444444445</v>
      </c>
      <c r="K21" s="17">
        <v>0.4125</v>
      </c>
      <c r="L21" s="17">
        <v>0.4576388888888889</v>
      </c>
      <c r="M21" s="17">
        <v>0.5152777777777777</v>
      </c>
      <c r="N21" s="17">
        <v>0.5604166666666667</v>
      </c>
      <c r="O21" s="17">
        <v>0.5743055555555555</v>
      </c>
      <c r="P21" s="17">
        <v>0.6541666666666667</v>
      </c>
      <c r="Q21" s="17">
        <v>0.6520833333333333</v>
      </c>
      <c r="R21" s="17">
        <v>0.7097222222222223</v>
      </c>
      <c r="S21" s="17">
        <v>0.7236111111111111</v>
      </c>
      <c r="T21" s="17">
        <v>0.7618055555555555</v>
      </c>
      <c r="U21" s="20">
        <v>0.7875</v>
      </c>
      <c r="V21" s="20">
        <v>0.8243055555555555</v>
      </c>
      <c r="W21" s="20">
        <v>0.8381944444444445</v>
      </c>
    </row>
    <row r="22">
      <c r="A22" s="18" t="s">
        <v>65</v>
      </c>
      <c r="B22" s="19"/>
      <c r="C22" s="17">
        <v>0.21180555555555555</v>
      </c>
      <c r="D22" s="17">
        <v>0.2326388888888889</v>
      </c>
      <c r="E22" s="17">
        <v>0.24305555555555555</v>
      </c>
      <c r="F22" s="17">
        <v>0.2861111111111111</v>
      </c>
      <c r="G22" s="17">
        <v>0.31805555555555554</v>
      </c>
      <c r="H22" s="17">
        <v>0.3402777777777778</v>
      </c>
      <c r="I22" s="17">
        <v>0.3645833333333333</v>
      </c>
      <c r="J22" s="17">
        <v>0.3902777777777778</v>
      </c>
      <c r="K22" s="17">
        <v>0.41458333333333336</v>
      </c>
      <c r="L22" s="17">
        <v>0.4597222222222222</v>
      </c>
      <c r="M22" s="17">
        <v>0.5173611111111112</v>
      </c>
      <c r="N22" s="17">
        <v>0.5625</v>
      </c>
      <c r="O22" s="17">
        <v>0.5763888888888888</v>
      </c>
      <c r="P22" s="17">
        <v>0.65625</v>
      </c>
      <c r="Q22" s="17">
        <v>0.6541666666666667</v>
      </c>
      <c r="R22" s="17">
        <v>0.7118055555555556</v>
      </c>
      <c r="S22" s="17">
        <v>0.7256944444444444</v>
      </c>
      <c r="T22" s="17">
        <v>0.7638888888888888</v>
      </c>
      <c r="U22" s="20">
        <v>0.7895833333333333</v>
      </c>
      <c r="V22" s="20">
        <v>0.8263888888888888</v>
      </c>
      <c r="W22" s="20">
        <v>0.8402777777777778</v>
      </c>
    </row>
    <row r="23">
      <c r="A23" s="18" t="s">
        <v>67</v>
      </c>
      <c r="B23" s="19"/>
      <c r="C23" s="17">
        <v>0.2152777777777778</v>
      </c>
      <c r="D23" s="17">
        <v>0.2361111111111111</v>
      </c>
      <c r="E23" s="17">
        <v>0.2465277777777778</v>
      </c>
      <c r="F23" s="17">
        <v>0.28958333333333336</v>
      </c>
      <c r="G23" s="17">
        <v>0.3215277777777778</v>
      </c>
      <c r="H23" s="17">
        <v>0.34375</v>
      </c>
      <c r="I23" s="17">
        <v>0.3680555555555556</v>
      </c>
      <c r="J23" s="17">
        <v>0.39375</v>
      </c>
      <c r="K23" s="17">
        <v>0.41805555555555557</v>
      </c>
      <c r="L23" s="17">
        <v>0.46319444444444446</v>
      </c>
      <c r="M23" s="17">
        <v>0.5208333333333334</v>
      </c>
      <c r="N23" s="17">
        <v>0.5659722222222222</v>
      </c>
      <c r="O23" s="17">
        <v>0.5798611111111112</v>
      </c>
      <c r="P23" s="17">
        <v>0.6597222222222222</v>
      </c>
      <c r="Q23" s="17">
        <v>0.6576388888888889</v>
      </c>
      <c r="R23" s="17">
        <v>0.7152777777777778</v>
      </c>
      <c r="S23" s="17">
        <v>0.7291666666666666</v>
      </c>
      <c r="T23" s="17">
        <v>0.7673611111111112</v>
      </c>
      <c r="U23" s="20">
        <v>0.7930555555555555</v>
      </c>
      <c r="V23" s="20">
        <v>0.8298611111111112</v>
      </c>
      <c r="W23" s="20">
        <v>0.84375</v>
      </c>
    </row>
    <row r="24">
      <c r="A24" s="18" t="s">
        <v>69</v>
      </c>
      <c r="B24" s="19"/>
      <c r="C24" s="17">
        <v>0.22152777777777777</v>
      </c>
      <c r="D24" s="17">
        <v>0.2423611111111111</v>
      </c>
      <c r="E24" s="17">
        <v>0.25277777777777777</v>
      </c>
      <c r="F24" s="17">
        <v>0.29583333333333334</v>
      </c>
      <c r="G24" s="17">
        <v>0.3277777777777778</v>
      </c>
      <c r="H24" s="17">
        <v>0.35</v>
      </c>
      <c r="I24" s="17">
        <v>0.37430555555555556</v>
      </c>
      <c r="J24" s="17">
        <v>0.4</v>
      </c>
      <c r="K24" s="17">
        <v>0.42430555555555555</v>
      </c>
      <c r="L24" s="17">
        <v>0.46944444444444444</v>
      </c>
      <c r="M24" s="17">
        <v>0.5270833333333333</v>
      </c>
      <c r="N24" s="17">
        <v>0.5722222222222222</v>
      </c>
      <c r="O24" s="17">
        <v>0.5861111111111111</v>
      </c>
      <c r="P24" s="17">
        <v>0.6659722222222222</v>
      </c>
      <c r="Q24" s="17">
        <v>0.6638888888888889</v>
      </c>
      <c r="R24" s="17">
        <v>0.7215277777777778</v>
      </c>
      <c r="S24" s="17">
        <v>0.7354166666666667</v>
      </c>
      <c r="T24" s="17">
        <v>0.7736111111111111</v>
      </c>
      <c r="U24" s="20">
        <v>0.7993055555555556</v>
      </c>
      <c r="V24" s="20">
        <v>0.8361111111111111</v>
      </c>
      <c r="W24" s="20">
        <v>0.85</v>
      </c>
    </row>
    <row r="25">
      <c r="A25" s="18" t="s">
        <v>71</v>
      </c>
      <c r="B25" s="19"/>
      <c r="C25" s="17">
        <v>0.2298611111111111</v>
      </c>
      <c r="D25" s="17">
        <v>0.25069444444444444</v>
      </c>
      <c r="E25" s="17">
        <v>0.2611111111111111</v>
      </c>
      <c r="F25" s="17">
        <v>0.30416666666666664</v>
      </c>
      <c r="G25" s="17">
        <v>0.33611111111111114</v>
      </c>
      <c r="H25" s="17">
        <v>0.35833333333333334</v>
      </c>
      <c r="I25" s="17">
        <v>0.38263888888888886</v>
      </c>
      <c r="J25" s="17">
        <v>0.4083333333333333</v>
      </c>
      <c r="K25" s="17">
        <v>0.4326388888888889</v>
      </c>
      <c r="L25" s="17">
        <v>0.4777777777777778</v>
      </c>
      <c r="M25" s="17">
        <v>0.5354166666666667</v>
      </c>
      <c r="N25" s="17">
        <v>0.5805555555555556</v>
      </c>
      <c r="O25" s="17">
        <v>0.5944444444444444</v>
      </c>
      <c r="P25" s="17">
        <v>0.6743055555555556</v>
      </c>
      <c r="Q25" s="17">
        <v>0.6722222222222223</v>
      </c>
      <c r="R25" s="17">
        <v>0.7298611111111111</v>
      </c>
      <c r="S25" s="17">
        <v>0.74375</v>
      </c>
      <c r="T25" s="17">
        <v>0.7819444444444444</v>
      </c>
      <c r="U25" s="20">
        <v>0.8076388888888889</v>
      </c>
      <c r="V25" s="20">
        <v>0.8444444444444444</v>
      </c>
      <c r="W25" s="20">
        <v>0.8583333333333333</v>
      </c>
    </row>
    <row r="26">
      <c r="A26" s="18" t="s">
        <v>73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">
        <v>75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">
        <v>77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">
        <v>79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">
        <v>81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">
        <v>83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 t="s">
        <v>85</v>
      </c>
      <c r="B32" s="19"/>
      <c r="C32" s="19">
        <v>0.2361111111111111</v>
      </c>
      <c r="D32" s="19">
        <v>0.2569444444444444</v>
      </c>
      <c r="E32" s="17">
        <v>0.28125</v>
      </c>
      <c r="F32" s="16"/>
      <c r="G32" s="17">
        <v>0.3423611111111111</v>
      </c>
      <c r="H32" s="17">
        <v>0.3611111111111111</v>
      </c>
      <c r="I32" s="17">
        <v>0.3888888888888889</v>
      </c>
      <c r="J32" s="17">
        <v>0.41805555555555557</v>
      </c>
      <c r="K32" s="20">
        <v>0.4388888888888889</v>
      </c>
      <c r="L32" s="20">
        <v>0.4847222222222222</v>
      </c>
      <c r="M32" s="20">
        <v>0.5416666666666666</v>
      </c>
      <c r="N32" s="20">
        <v>0.5868055555555556</v>
      </c>
      <c r="O32" s="20">
        <v>0.6006944444444444</v>
      </c>
      <c r="P32" s="20">
        <v>0.6805555555555556</v>
      </c>
      <c r="Q32" s="20">
        <v>0.6784722222222223</v>
      </c>
      <c r="R32" s="20">
        <v>0.7361111111111112</v>
      </c>
      <c r="S32" s="20">
        <v>0.75</v>
      </c>
      <c r="T32" s="20">
        <v>0.7881944444444444</v>
      </c>
      <c r="U32" s="20">
        <v>0.8138888888888889</v>
      </c>
      <c r="V32" s="20">
        <v>0.8506944444444444</v>
      </c>
      <c r="W32" s="20">
        <v>0.8645833333333334</v>
      </c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IFERROR(__xludf.DUMMYFUNCTION("FILTER('CTCEN-OUT_Weekday'!A:ZZ, BYCOL('CTCEN-OUT_Weekday'!A:ZZ, LAMBDA(colData, OR(COLUMN(colData)&lt;=2, INDEX(colData, MATCH(""*KAPTEINSKLIP*"", 'CTCEN-OUT_Weekday'!$A:$A, 0))&lt;&gt;""""))))"),"Last Updated:")</f>
        <v>Last Updated:</v>
      </c>
      <c r="B1" s="2">
        <f>IFERROR(__xludf.DUMMYFUNCTION("""COMPUTED_VALUE"""),45345.0)</f>
        <v>45345</v>
      </c>
      <c r="C1" s="1"/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IFERROR(__xludf.DUMMYFUNCTION("""COMPUTED_VALUE"""),9501.0)</f>
        <v>9501</v>
      </c>
      <c r="D2" s="5">
        <f>IFERROR(__xludf.DUMMYFUNCTION("""COMPUTED_VALUE"""),9503.0)</f>
        <v>9503</v>
      </c>
      <c r="E2" s="5">
        <f>IFERROR(__xludf.DUMMYFUNCTION("""COMPUTED_VALUE"""),9505.0)</f>
        <v>9505</v>
      </c>
      <c r="F2" s="5">
        <f>IFERROR(__xludf.DUMMYFUNCTION("""COMPUTED_VALUE"""),9507.0)</f>
        <v>9507</v>
      </c>
      <c r="G2" s="5">
        <f>IFERROR(__xludf.DUMMYFUNCTION("""COMPUTED_VALUE"""),9509.0)</f>
        <v>9509</v>
      </c>
      <c r="H2" s="5">
        <f>IFERROR(__xludf.DUMMYFUNCTION("""COMPUTED_VALUE"""),9511.0)</f>
        <v>9511</v>
      </c>
      <c r="I2" s="5">
        <f>IFERROR(__xludf.DUMMYFUNCTION("""COMPUTED_VALUE"""),9513.0)</f>
        <v>9513</v>
      </c>
      <c r="J2" s="5">
        <f>IFERROR(__xludf.DUMMYFUNCTION("""COMPUTED_VALUE"""),9515.0)</f>
        <v>9515</v>
      </c>
      <c r="K2" s="5">
        <f>IFERROR(__xludf.DUMMYFUNCTION("""COMPUTED_VALUE"""),9517.0)</f>
        <v>9517</v>
      </c>
      <c r="L2" s="5">
        <f>IFERROR(__xludf.DUMMYFUNCTION("""COMPUTED_VALUE"""),9519.0)</f>
        <v>9519</v>
      </c>
      <c r="M2" s="5">
        <f>IFERROR(__xludf.DUMMYFUNCTION("""COMPUTED_VALUE"""),9521.0)</f>
        <v>9521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8" t="str">
        <f>IFERROR(__xludf.DUMMYFUNCTION("""COMPUTED_VALUE"""),"-33.92363127060243, 18.42718648501388")</f>
        <v>-33.92363127060243, 18.42718648501388</v>
      </c>
      <c r="C3" s="9">
        <f>IFERROR(__xludf.DUMMYFUNCTION("""COMPUTED_VALUE"""),0.2152777777777778)</f>
        <v>0.2152777778</v>
      </c>
      <c r="D3" s="9">
        <f>IFERROR(__xludf.DUMMYFUNCTION("""COMPUTED_VALUE"""),0.2465277777777778)</f>
        <v>0.2465277778</v>
      </c>
      <c r="E3" s="9">
        <f>IFERROR(__xludf.DUMMYFUNCTION("""COMPUTED_VALUE"""),0.3)</f>
        <v>0.3</v>
      </c>
      <c r="F3" s="9">
        <f>IFERROR(__xludf.DUMMYFUNCTION("""COMPUTED_VALUE"""),0.3402777777777778)</f>
        <v>0.3402777778</v>
      </c>
      <c r="G3" s="9">
        <f>IFERROR(__xludf.DUMMYFUNCTION("""COMPUTED_VALUE"""),0.3923611111111111)</f>
        <v>0.3923611111</v>
      </c>
      <c r="H3" s="9">
        <f>IFERROR(__xludf.DUMMYFUNCTION("""COMPUTED_VALUE"""),0.5069444444444444)</f>
        <v>0.5069444444</v>
      </c>
      <c r="I3" s="9">
        <f>IFERROR(__xludf.DUMMYFUNCTION("""COMPUTED_VALUE"""),0.5902777777777778)</f>
        <v>0.5902777778</v>
      </c>
      <c r="J3" s="9">
        <f>IFERROR(__xludf.DUMMYFUNCTION("""COMPUTED_VALUE"""),0.6458333333333334)</f>
        <v>0.6458333333</v>
      </c>
      <c r="K3" s="9">
        <f>IFERROR(__xludf.DUMMYFUNCTION("""COMPUTED_VALUE"""),0.7013888888888888)</f>
        <v>0.7013888889</v>
      </c>
      <c r="L3" s="9">
        <f>IFERROR(__xludf.DUMMYFUNCTION("""COMPUTED_VALUE"""),0.7465277777777778)</f>
        <v>0.7465277778</v>
      </c>
      <c r="M3" s="9">
        <f>IFERROR(__xludf.DUMMYFUNCTION("""COMPUTED_VALUE"""),0.78125)</f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0" t="str">
        <f>IFERROR(__xludf.DUMMYFUNCTION("""COMPUTED_VALUE"""),"-33.925058308184404, 18.44613913370814")</f>
        <v>-33.925058308184404, 18.44613913370814</v>
      </c>
      <c r="C4" s="12">
        <f>IFERROR(__xludf.DUMMYFUNCTION("""COMPUTED_VALUE"""),0.21736111111111112)</f>
        <v>0.2173611111</v>
      </c>
      <c r="D4" s="12">
        <f>IFERROR(__xludf.DUMMYFUNCTION("""COMPUTED_VALUE"""),0.24861111111111112)</f>
        <v>0.2486111111</v>
      </c>
      <c r="E4" s="12">
        <f>IFERROR(__xludf.DUMMYFUNCTION("""COMPUTED_VALUE"""),0.3020833333333333)</f>
        <v>0.3020833333</v>
      </c>
      <c r="F4" s="12">
        <f>IFERROR(__xludf.DUMMYFUNCTION("""COMPUTED_VALUE"""),0.3423611111111111)</f>
        <v>0.3423611111</v>
      </c>
      <c r="G4" s="12">
        <f>IFERROR(__xludf.DUMMYFUNCTION("""COMPUTED_VALUE"""),0.39444444444444443)</f>
        <v>0.3944444444</v>
      </c>
      <c r="H4" s="12">
        <f>IFERROR(__xludf.DUMMYFUNCTION("""COMPUTED_VALUE"""),0.5090277777777777)</f>
        <v>0.5090277778</v>
      </c>
      <c r="I4" s="12">
        <f>IFERROR(__xludf.DUMMYFUNCTION("""COMPUTED_VALUE"""),0.5923611111111111)</f>
        <v>0.5923611111</v>
      </c>
      <c r="J4" s="12">
        <f>IFERROR(__xludf.DUMMYFUNCTION("""COMPUTED_VALUE"""),0.6479166666666667)</f>
        <v>0.6479166667</v>
      </c>
      <c r="K4" s="12">
        <f>IFERROR(__xludf.DUMMYFUNCTION("""COMPUTED_VALUE"""),0.7034722222222223)</f>
        <v>0.7034722222</v>
      </c>
      <c r="L4" s="12">
        <f>IFERROR(__xludf.DUMMYFUNCTION("""COMPUTED_VALUE"""),0.7486111111111111)</f>
        <v>0.7486111111</v>
      </c>
      <c r="M4" s="12">
        <f>IFERROR(__xludf.DUMMYFUNCTION("""COMPUTED_VALUE"""),0.7833333333333333)</f>
        <v>0.7833333333</v>
      </c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0" t="str">
        <f>IFERROR(__xludf.DUMMYFUNCTION("""COMPUTED_VALUE"""),"-33.92754558428959, 18.464689555116372")</f>
        <v>-33.92754558428959, 18.464689555116372</v>
      </c>
      <c r="C5" s="12">
        <f>IFERROR(__xludf.DUMMYFUNCTION("""COMPUTED_VALUE"""),0.21944444444444444)</f>
        <v>0.2194444444</v>
      </c>
      <c r="D5" s="12">
        <f>IFERROR(__xludf.DUMMYFUNCTION("""COMPUTED_VALUE"""),0.25069444444444444)</f>
        <v>0.2506944444</v>
      </c>
      <c r="E5" s="12">
        <f>IFERROR(__xludf.DUMMYFUNCTION("""COMPUTED_VALUE"""),0.30416666666666664)</f>
        <v>0.3041666667</v>
      </c>
      <c r="F5" s="12">
        <f>IFERROR(__xludf.DUMMYFUNCTION("""COMPUTED_VALUE"""),0.34444444444444444)</f>
        <v>0.3444444444</v>
      </c>
      <c r="G5" s="12">
        <f>IFERROR(__xludf.DUMMYFUNCTION("""COMPUTED_VALUE"""),0.39652777777777776)</f>
        <v>0.3965277778</v>
      </c>
      <c r="H5" s="12">
        <f>IFERROR(__xludf.DUMMYFUNCTION("""COMPUTED_VALUE"""),0.5111111111111111)</f>
        <v>0.5111111111</v>
      </c>
      <c r="I5" s="12">
        <f>IFERROR(__xludf.DUMMYFUNCTION("""COMPUTED_VALUE"""),0.5944444444444444)</f>
        <v>0.5944444444</v>
      </c>
      <c r="J5" s="12">
        <f>IFERROR(__xludf.DUMMYFUNCTION("""COMPUTED_VALUE"""),0.65)</f>
        <v>0.65</v>
      </c>
      <c r="K5" s="12">
        <f>IFERROR(__xludf.DUMMYFUNCTION("""COMPUTED_VALUE"""),0.7055555555555556)</f>
        <v>0.7055555556</v>
      </c>
      <c r="L5" s="12">
        <f>IFERROR(__xludf.DUMMYFUNCTION("""COMPUTED_VALUE"""),0.7506944444444444)</f>
        <v>0.7506944444</v>
      </c>
      <c r="M5" s="12">
        <f>IFERROR(__xludf.DUMMYFUNCTION("""COMPUTED_VALUE"""),0.7854166666666667)</f>
        <v>0.7854166667</v>
      </c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0" t="str">
        <f>IFERROR(__xludf.DUMMYFUNCTION("""COMPUTED_VALUE"""),"-33.92570961024241, 18.47887742815667")</f>
        <v>-33.92570961024241, 18.47887742815667</v>
      </c>
      <c r="C6" s="12">
        <f>IFERROR(__xludf.DUMMYFUNCTION("""COMPUTED_VALUE"""),0.22083333333333333)</f>
        <v>0.2208333333</v>
      </c>
      <c r="D6" s="12">
        <f>IFERROR(__xludf.DUMMYFUNCTION("""COMPUTED_VALUE"""),0.2520833333333333)</f>
        <v>0.2520833333</v>
      </c>
      <c r="E6" s="12">
        <f>IFERROR(__xludf.DUMMYFUNCTION("""COMPUTED_VALUE"""),0.3055555555555556)</f>
        <v>0.3055555556</v>
      </c>
      <c r="F6" s="12">
        <f>IFERROR(__xludf.DUMMYFUNCTION("""COMPUTED_VALUE"""),0.3458333333333333)</f>
        <v>0.3458333333</v>
      </c>
      <c r="G6" s="12">
        <f>IFERROR(__xludf.DUMMYFUNCTION("""COMPUTED_VALUE"""),0.39791666666666664)</f>
        <v>0.3979166667</v>
      </c>
      <c r="H6" s="12">
        <f>IFERROR(__xludf.DUMMYFUNCTION("""COMPUTED_VALUE"""),0.5125)</f>
        <v>0.5125</v>
      </c>
      <c r="I6" s="12">
        <f>IFERROR(__xludf.DUMMYFUNCTION("""COMPUTED_VALUE"""),0.5958333333333333)</f>
        <v>0.5958333333</v>
      </c>
      <c r="J6" s="12">
        <f>IFERROR(__xludf.DUMMYFUNCTION("""COMPUTED_VALUE"""),0.6513888888888889)</f>
        <v>0.6513888889</v>
      </c>
      <c r="K6" s="12">
        <f>IFERROR(__xludf.DUMMYFUNCTION("""COMPUTED_VALUE"""),0.7069444444444445)</f>
        <v>0.7069444444</v>
      </c>
      <c r="L6" s="12">
        <f>IFERROR(__xludf.DUMMYFUNCTION("""COMPUTED_VALUE"""),0.7520833333333333)</f>
        <v>0.7520833333</v>
      </c>
      <c r="M6" s="12">
        <f>IFERROR(__xludf.DUMMYFUNCTION("""COMPUTED_VALUE"""),0.7868055555555555)</f>
        <v>0.7868055556</v>
      </c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1" t="str">
        <f>IFERROR(__xludf.DUMMYFUNCTION("""COMPUTED_VALUE"""),"-33.92465193392986, 18.487001988940953")</f>
        <v>-33.92465193392986, 18.487001988940953</v>
      </c>
      <c r="C7" s="12">
        <f>IFERROR(__xludf.DUMMYFUNCTION("""COMPUTED_VALUE"""),0.2222222222222222)</f>
        <v>0.2222222222</v>
      </c>
      <c r="D7" s="12">
        <f>IFERROR(__xludf.DUMMYFUNCTION("""COMPUTED_VALUE"""),0.2534722222222222)</f>
        <v>0.2534722222</v>
      </c>
      <c r="E7" s="12">
        <f>IFERROR(__xludf.DUMMYFUNCTION("""COMPUTED_VALUE"""),0.30694444444444446)</f>
        <v>0.3069444444</v>
      </c>
      <c r="F7" s="12">
        <f>IFERROR(__xludf.DUMMYFUNCTION("""COMPUTED_VALUE"""),0.3472222222222222)</f>
        <v>0.3472222222</v>
      </c>
      <c r="G7" s="12">
        <f>IFERROR(__xludf.DUMMYFUNCTION("""COMPUTED_VALUE"""),0.3993055555555556)</f>
        <v>0.3993055556</v>
      </c>
      <c r="H7" s="12">
        <f>IFERROR(__xludf.DUMMYFUNCTION("""COMPUTED_VALUE"""),0.5138888888888888)</f>
        <v>0.5138888889</v>
      </c>
      <c r="I7" s="12">
        <f>IFERROR(__xludf.DUMMYFUNCTION("""COMPUTED_VALUE"""),0.5972222222222222)</f>
        <v>0.5972222222</v>
      </c>
      <c r="J7" s="12">
        <f>IFERROR(__xludf.DUMMYFUNCTION("""COMPUTED_VALUE"""),0.6527777777777778)</f>
        <v>0.6527777778</v>
      </c>
      <c r="K7" s="12">
        <f>IFERROR(__xludf.DUMMYFUNCTION("""COMPUTED_VALUE"""),0.7083333333333334)</f>
        <v>0.7083333333</v>
      </c>
      <c r="L7" s="12">
        <f>IFERROR(__xludf.DUMMYFUNCTION("""COMPUTED_VALUE"""),0.7534722222222222)</f>
        <v>0.7534722222</v>
      </c>
      <c r="M7" s="12">
        <f>IFERROR(__xludf.DUMMYFUNCTION("""COMPUTED_VALUE"""),0.7881944444444444)</f>
        <v>0.7881944444</v>
      </c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1" t="str">
        <f>IFERROR(__xludf.DUMMYFUNCTION("""COMPUTED_VALUE"""),"-33.928548273196824, 18.495159894144553")</f>
        <v>-33.928548273196824, 18.495159894144553</v>
      </c>
      <c r="C8" s="12">
        <f>IFERROR(__xludf.DUMMYFUNCTION("""COMPUTED_VALUE"""),0.22430555555555556)</f>
        <v>0.2243055556</v>
      </c>
      <c r="D8" s="12">
        <f>IFERROR(__xludf.DUMMYFUNCTION("""COMPUTED_VALUE"""),0.25555555555555554)</f>
        <v>0.2555555556</v>
      </c>
      <c r="E8" s="12">
        <f>IFERROR(__xludf.DUMMYFUNCTION("""COMPUTED_VALUE"""),0.3090277777777778)</f>
        <v>0.3090277778</v>
      </c>
      <c r="F8" s="12">
        <f>IFERROR(__xludf.DUMMYFUNCTION("""COMPUTED_VALUE"""),0.34930555555555554)</f>
        <v>0.3493055556</v>
      </c>
      <c r="G8" s="12">
        <f>IFERROR(__xludf.DUMMYFUNCTION("""COMPUTED_VALUE"""),0.4013888888888889)</f>
        <v>0.4013888889</v>
      </c>
      <c r="H8" s="12">
        <f>IFERROR(__xludf.DUMMYFUNCTION("""COMPUTED_VALUE"""),0.5159722222222223)</f>
        <v>0.5159722222</v>
      </c>
      <c r="I8" s="12">
        <f>IFERROR(__xludf.DUMMYFUNCTION("""COMPUTED_VALUE"""),0.5993055555555555)</f>
        <v>0.5993055556</v>
      </c>
      <c r="J8" s="12">
        <f>IFERROR(__xludf.DUMMYFUNCTION("""COMPUTED_VALUE"""),0.6548611111111111)</f>
        <v>0.6548611111</v>
      </c>
      <c r="K8" s="12">
        <f>IFERROR(__xludf.DUMMYFUNCTION("""COMPUTED_VALUE"""),0.7104166666666667)</f>
        <v>0.7104166667</v>
      </c>
      <c r="L8" s="12">
        <f>IFERROR(__xludf.DUMMYFUNCTION("""COMPUTED_VALUE"""),0.7555555555555555)</f>
        <v>0.7555555556</v>
      </c>
      <c r="M8" s="12">
        <f>IFERROR(__xludf.DUMMYFUNCTION("""COMPUTED_VALUE"""),0.7902777777777777)</f>
        <v>0.7902777778</v>
      </c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1" t="str">
        <f>IFERROR(__xludf.DUMMYFUNCTION("""COMPUTED_VALUE"""),"-33.93964476336891, 18.490635019900687")</f>
        <v>-33.93964476336891, 18.490635019900687</v>
      </c>
      <c r="C9" s="12">
        <f>IFERROR(__xludf.DUMMYFUNCTION("""COMPUTED_VALUE"""),0.2263888888888889)</f>
        <v>0.2263888889</v>
      </c>
      <c r="D9" s="12">
        <f>IFERROR(__xludf.DUMMYFUNCTION("""COMPUTED_VALUE"""),0.25763888888888886)</f>
        <v>0.2576388889</v>
      </c>
      <c r="E9" s="12">
        <f>IFERROR(__xludf.DUMMYFUNCTION("""COMPUTED_VALUE"""),0.3111111111111111)</f>
        <v>0.3111111111</v>
      </c>
      <c r="F9" s="12">
        <f>IFERROR(__xludf.DUMMYFUNCTION("""COMPUTED_VALUE"""),0.35138888888888886)</f>
        <v>0.3513888889</v>
      </c>
      <c r="G9" s="12">
        <f>IFERROR(__xludf.DUMMYFUNCTION("""COMPUTED_VALUE"""),0.40347222222222223)</f>
        <v>0.4034722222</v>
      </c>
      <c r="H9" s="12">
        <f>IFERROR(__xludf.DUMMYFUNCTION("""COMPUTED_VALUE"""),0.5180555555555556)</f>
        <v>0.5180555556</v>
      </c>
      <c r="I9" s="12">
        <f>IFERROR(__xludf.DUMMYFUNCTION("""COMPUTED_VALUE"""),0.6013888888888889)</f>
        <v>0.6013888889</v>
      </c>
      <c r="J9" s="12">
        <f>IFERROR(__xludf.DUMMYFUNCTION("""COMPUTED_VALUE"""),0.6569444444444444)</f>
        <v>0.6569444444</v>
      </c>
      <c r="K9" s="12">
        <f>IFERROR(__xludf.DUMMYFUNCTION("""COMPUTED_VALUE"""),0.7125)</f>
        <v>0.7125</v>
      </c>
      <c r="L9" s="12">
        <f>IFERROR(__xludf.DUMMYFUNCTION("""COMPUTED_VALUE"""),0.7576388888888889)</f>
        <v>0.7576388889</v>
      </c>
      <c r="M9" s="12">
        <f>IFERROR(__xludf.DUMMYFUNCTION("""COMPUTED_VALUE"""),0.7923611111111111)</f>
        <v>0.7923611111</v>
      </c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1" t="str">
        <f>IFERROR(__xludf.DUMMYFUNCTION("""COMPUTED_VALUE"""),"-33.923640784366874, 18.446037955514498")</f>
        <v>-33.923640784366874, 18.446037955514498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1" t="str">
        <f>IFERROR(__xludf.DUMMYFUNCTION("""COMPUTED_VALUE"""),"-33.9199022523178, 18.476775305514295")</f>
        <v>-33.9199022523178, 18.476775305514295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IFERROR(__xludf.DUMMYFUNCTION("""COMPUTED_VALUE"""),0.23055555555555557)</f>
        <v>0.2305555556</v>
      </c>
      <c r="D13" s="12">
        <f>IFERROR(__xludf.DUMMYFUNCTION("""COMPUTED_VALUE"""),0.26180555555555557)</f>
        <v>0.2618055556</v>
      </c>
      <c r="E13" s="12">
        <f>IFERROR(__xludf.DUMMYFUNCTION("""COMPUTED_VALUE"""),0.31527777777777777)</f>
        <v>0.3152777778</v>
      </c>
      <c r="F13" s="12">
        <f>IFERROR(__xludf.DUMMYFUNCTION("""COMPUTED_VALUE"""),0.35555555555555557)</f>
        <v>0.3555555556</v>
      </c>
      <c r="G13" s="12">
        <f>IFERROR(__xludf.DUMMYFUNCTION("""COMPUTED_VALUE"""),0.4076388888888889)</f>
        <v>0.4076388889</v>
      </c>
      <c r="H13" s="12">
        <f>IFERROR(__xludf.DUMMYFUNCTION("""COMPUTED_VALUE"""),0.5222222222222223)</f>
        <v>0.5222222222</v>
      </c>
      <c r="I13" s="12">
        <f>IFERROR(__xludf.DUMMYFUNCTION("""COMPUTED_VALUE"""),0.6055555555555555)</f>
        <v>0.6055555556</v>
      </c>
      <c r="J13" s="12">
        <f>IFERROR(__xludf.DUMMYFUNCTION("""COMPUTED_VALUE"""),0.6611111111111111)</f>
        <v>0.6611111111</v>
      </c>
      <c r="K13" s="12">
        <f>IFERROR(__xludf.DUMMYFUNCTION("""COMPUTED_VALUE"""),0.7166666666666667)</f>
        <v>0.7166666667</v>
      </c>
      <c r="L13" s="12">
        <f>IFERROR(__xludf.DUMMYFUNCTION("""COMPUTED_VALUE"""),0.7618055555555555)</f>
        <v>0.7618055556</v>
      </c>
      <c r="M13" s="12">
        <f>IFERROR(__xludf.DUMMYFUNCTION("""COMPUTED_VALUE"""),0.7965277777777777)</f>
        <v>0.7965277778</v>
      </c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IFERROR(__xludf.DUMMYFUNCTION("""COMPUTED_VALUE"""),0.23194444444444445)</f>
        <v>0.2319444444</v>
      </c>
      <c r="D14" s="12">
        <f>IFERROR(__xludf.DUMMYFUNCTION("""COMPUTED_VALUE"""),0.26319444444444445)</f>
        <v>0.2631944444</v>
      </c>
      <c r="E14" s="12">
        <f>IFERROR(__xludf.DUMMYFUNCTION("""COMPUTED_VALUE"""),0.31666666666666665)</f>
        <v>0.3166666667</v>
      </c>
      <c r="F14" s="12">
        <f>IFERROR(__xludf.DUMMYFUNCTION("""COMPUTED_VALUE"""),0.35694444444444445)</f>
        <v>0.3569444444</v>
      </c>
      <c r="G14" s="12">
        <f>IFERROR(__xludf.DUMMYFUNCTION("""COMPUTED_VALUE"""),0.40902777777777777)</f>
        <v>0.4090277778</v>
      </c>
      <c r="H14" s="12">
        <f>IFERROR(__xludf.DUMMYFUNCTION("""COMPUTED_VALUE"""),0.5236111111111111)</f>
        <v>0.5236111111</v>
      </c>
      <c r="I14" s="12">
        <f>IFERROR(__xludf.DUMMYFUNCTION("""COMPUTED_VALUE"""),0.6069444444444444)</f>
        <v>0.6069444444</v>
      </c>
      <c r="J14" s="12">
        <f>IFERROR(__xludf.DUMMYFUNCTION("""COMPUTED_VALUE"""),0.6625)</f>
        <v>0.6625</v>
      </c>
      <c r="K14" s="12">
        <f>IFERROR(__xludf.DUMMYFUNCTION("""COMPUTED_VALUE"""),0.7180555555555556)</f>
        <v>0.7180555556</v>
      </c>
      <c r="L14" s="20">
        <f>IFERROR(__xludf.DUMMYFUNCTION("""COMPUTED_VALUE"""),0.7631944444444444)</f>
        <v>0.7631944444</v>
      </c>
      <c r="M14" s="20">
        <f>IFERROR(__xludf.DUMMYFUNCTION("""COMPUTED_VALUE"""),0.7979166666666667)</f>
        <v>0.7979166667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IFERROR(__xludf.DUMMYFUNCTION("""COMPUTED_VALUE"""),0.23333333333333334)</f>
        <v>0.2333333333</v>
      </c>
      <c r="D15" s="12">
        <f>IFERROR(__xludf.DUMMYFUNCTION("""COMPUTED_VALUE"""),0.26458333333333334)</f>
        <v>0.2645833333</v>
      </c>
      <c r="E15" s="12">
        <f>IFERROR(__xludf.DUMMYFUNCTION("""COMPUTED_VALUE"""),0.31805555555555554)</f>
        <v>0.3180555556</v>
      </c>
      <c r="F15" s="12">
        <f>IFERROR(__xludf.DUMMYFUNCTION("""COMPUTED_VALUE"""),0.35833333333333334)</f>
        <v>0.3583333333</v>
      </c>
      <c r="G15" s="12">
        <f>IFERROR(__xludf.DUMMYFUNCTION("""COMPUTED_VALUE"""),0.41041666666666665)</f>
        <v>0.4104166667</v>
      </c>
      <c r="H15" s="12">
        <f>IFERROR(__xludf.DUMMYFUNCTION("""COMPUTED_VALUE"""),0.525)</f>
        <v>0.525</v>
      </c>
      <c r="I15" s="12">
        <f>IFERROR(__xludf.DUMMYFUNCTION("""COMPUTED_VALUE"""),0.6083333333333333)</f>
        <v>0.6083333333</v>
      </c>
      <c r="J15" s="12">
        <f>IFERROR(__xludf.DUMMYFUNCTION("""COMPUTED_VALUE"""),0.6638888888888889)</f>
        <v>0.6638888889</v>
      </c>
      <c r="K15" s="12">
        <f>IFERROR(__xludf.DUMMYFUNCTION("""COMPUTED_VALUE"""),0.7194444444444444)</f>
        <v>0.7194444444</v>
      </c>
      <c r="L15" s="20">
        <f>IFERROR(__xludf.DUMMYFUNCTION("""COMPUTED_VALUE"""),0.7645833333333333)</f>
        <v>0.7645833333</v>
      </c>
      <c r="M15" s="20">
        <f>IFERROR(__xludf.DUMMYFUNCTION("""COMPUTED_VALUE"""),0.7993055555555556)</f>
        <v>0.7993055556</v>
      </c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IFERROR(__xludf.DUMMYFUNCTION("""COMPUTED_VALUE"""),0.23402777777777778)</f>
        <v>0.2340277778</v>
      </c>
      <c r="D16" s="12">
        <f>IFERROR(__xludf.DUMMYFUNCTION("""COMPUTED_VALUE"""),0.2652777777777778)</f>
        <v>0.2652777778</v>
      </c>
      <c r="E16" s="12">
        <f>IFERROR(__xludf.DUMMYFUNCTION("""COMPUTED_VALUE"""),0.31875)</f>
        <v>0.31875</v>
      </c>
      <c r="F16" s="12">
        <f>IFERROR(__xludf.DUMMYFUNCTION("""COMPUTED_VALUE"""),0.3590277777777778)</f>
        <v>0.3590277778</v>
      </c>
      <c r="G16" s="12">
        <f>IFERROR(__xludf.DUMMYFUNCTION("""COMPUTED_VALUE"""),0.4111111111111111)</f>
        <v>0.4111111111</v>
      </c>
      <c r="H16" s="12">
        <f>IFERROR(__xludf.DUMMYFUNCTION("""COMPUTED_VALUE"""),0.5256944444444445)</f>
        <v>0.5256944444</v>
      </c>
      <c r="I16" s="12">
        <f>IFERROR(__xludf.DUMMYFUNCTION("""COMPUTED_VALUE"""),0.6090277777777777)</f>
        <v>0.6090277778</v>
      </c>
      <c r="J16" s="12">
        <f>IFERROR(__xludf.DUMMYFUNCTION("""COMPUTED_VALUE"""),0.6645833333333333)</f>
        <v>0.6645833333</v>
      </c>
      <c r="K16" s="12">
        <f>IFERROR(__xludf.DUMMYFUNCTION("""COMPUTED_VALUE"""),0.7201388888888889)</f>
        <v>0.7201388889</v>
      </c>
      <c r="L16" s="12">
        <f>IFERROR(__xludf.DUMMYFUNCTION("""COMPUTED_VALUE"""),0.7652777777777777)</f>
        <v>0.7652777778</v>
      </c>
      <c r="M16" s="12">
        <f>IFERROR(__xludf.DUMMYFUNCTION("""COMPUTED_VALUE"""),0.8)</f>
        <v>0.8</v>
      </c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IFERROR(__xludf.DUMMYFUNCTION("""COMPUTED_VALUE"""),0.23680555555555555)</f>
        <v>0.2368055556</v>
      </c>
      <c r="D17" s="12">
        <f>IFERROR(__xludf.DUMMYFUNCTION("""COMPUTED_VALUE"""),0.26805555555555555)</f>
        <v>0.2680555556</v>
      </c>
      <c r="E17" s="12">
        <f>IFERROR(__xludf.DUMMYFUNCTION("""COMPUTED_VALUE"""),0.3215277777777778)</f>
        <v>0.3215277778</v>
      </c>
      <c r="F17" s="12">
        <f>IFERROR(__xludf.DUMMYFUNCTION("""COMPUTED_VALUE"""),0.36180555555555555)</f>
        <v>0.3618055556</v>
      </c>
      <c r="G17" s="12">
        <f>IFERROR(__xludf.DUMMYFUNCTION("""COMPUTED_VALUE"""),0.41388888888888886)</f>
        <v>0.4138888889</v>
      </c>
      <c r="H17" s="12">
        <f>IFERROR(__xludf.DUMMYFUNCTION("""COMPUTED_VALUE"""),0.5284722222222222)</f>
        <v>0.5284722222</v>
      </c>
      <c r="I17" s="12">
        <f>IFERROR(__xludf.DUMMYFUNCTION("""COMPUTED_VALUE"""),0.6118055555555556)</f>
        <v>0.6118055556</v>
      </c>
      <c r="J17" s="12">
        <f>IFERROR(__xludf.DUMMYFUNCTION("""COMPUTED_VALUE"""),0.6673611111111111)</f>
        <v>0.6673611111</v>
      </c>
      <c r="K17" s="12">
        <f>IFERROR(__xludf.DUMMYFUNCTION("""COMPUTED_VALUE"""),0.7229166666666667)</f>
        <v>0.7229166667</v>
      </c>
      <c r="L17" s="12">
        <f>IFERROR(__xludf.DUMMYFUNCTION("""COMPUTED_VALUE"""),0.7680555555555556)</f>
        <v>0.7680555556</v>
      </c>
      <c r="M17" s="12">
        <f>IFERROR(__xludf.DUMMYFUNCTION("""COMPUTED_VALUE"""),0.8027777777777778)</f>
        <v>0.8027777778</v>
      </c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IFERROR(__xludf.DUMMYFUNCTION("""COMPUTED_VALUE"""),0.24097222222222223)</f>
        <v>0.2409722222</v>
      </c>
      <c r="D18" s="12">
        <f>IFERROR(__xludf.DUMMYFUNCTION("""COMPUTED_VALUE"""),0.2722222222222222)</f>
        <v>0.2722222222</v>
      </c>
      <c r="E18" s="12">
        <f>IFERROR(__xludf.DUMMYFUNCTION("""COMPUTED_VALUE"""),0.32569444444444445)</f>
        <v>0.3256944444</v>
      </c>
      <c r="F18" s="12">
        <f>IFERROR(__xludf.DUMMYFUNCTION("""COMPUTED_VALUE"""),0.3659722222222222)</f>
        <v>0.3659722222</v>
      </c>
      <c r="G18" s="12">
        <f>IFERROR(__xludf.DUMMYFUNCTION("""COMPUTED_VALUE"""),0.41805555555555557)</f>
        <v>0.4180555556</v>
      </c>
      <c r="H18" s="12">
        <f>IFERROR(__xludf.DUMMYFUNCTION("""COMPUTED_VALUE"""),0.5326388888888889)</f>
        <v>0.5326388889</v>
      </c>
      <c r="I18" s="12">
        <f>IFERROR(__xludf.DUMMYFUNCTION("""COMPUTED_VALUE"""),0.6159722222222223)</f>
        <v>0.6159722222</v>
      </c>
      <c r="J18" s="12">
        <f>IFERROR(__xludf.DUMMYFUNCTION("""COMPUTED_VALUE"""),0.6715277777777777)</f>
        <v>0.6715277778</v>
      </c>
      <c r="K18" s="12">
        <f>IFERROR(__xludf.DUMMYFUNCTION("""COMPUTED_VALUE"""),0.7270833333333333)</f>
        <v>0.7270833333</v>
      </c>
      <c r="L18" s="12">
        <f>IFERROR(__xludf.DUMMYFUNCTION("""COMPUTED_VALUE"""),0.7722222222222223)</f>
        <v>0.7722222222</v>
      </c>
      <c r="M18" s="12">
        <f>IFERROR(__xludf.DUMMYFUNCTION("""COMPUTED_VALUE"""),0.8069444444444445)</f>
        <v>0.8069444444</v>
      </c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>
        <f>IFERROR(__xludf.DUMMYFUNCTION("""COMPUTED_VALUE"""),0.24444444444444444)</f>
        <v>0.2444444444</v>
      </c>
      <c r="D19" s="12">
        <f>IFERROR(__xludf.DUMMYFUNCTION("""COMPUTED_VALUE"""),0.27569444444444446)</f>
        <v>0.2756944444</v>
      </c>
      <c r="E19" s="12">
        <f>IFERROR(__xludf.DUMMYFUNCTION("""COMPUTED_VALUE"""),0.32916666666666666)</f>
        <v>0.3291666667</v>
      </c>
      <c r="F19" s="12">
        <f>IFERROR(__xludf.DUMMYFUNCTION("""COMPUTED_VALUE"""),0.36944444444444446)</f>
        <v>0.3694444444</v>
      </c>
      <c r="G19" s="12">
        <f>IFERROR(__xludf.DUMMYFUNCTION("""COMPUTED_VALUE"""),0.4215277777777778)</f>
        <v>0.4215277778</v>
      </c>
      <c r="H19" s="12">
        <f>IFERROR(__xludf.DUMMYFUNCTION("""COMPUTED_VALUE"""),0.5361111111111111)</f>
        <v>0.5361111111</v>
      </c>
      <c r="I19" s="12">
        <f>IFERROR(__xludf.DUMMYFUNCTION("""COMPUTED_VALUE"""),0.6194444444444445)</f>
        <v>0.6194444444</v>
      </c>
      <c r="J19" s="12">
        <f>IFERROR(__xludf.DUMMYFUNCTION("""COMPUTED_VALUE"""),0.675)</f>
        <v>0.675</v>
      </c>
      <c r="K19" s="12">
        <f>IFERROR(__xludf.DUMMYFUNCTION("""COMPUTED_VALUE"""),0.7305555555555555)</f>
        <v>0.7305555556</v>
      </c>
      <c r="L19" s="12">
        <f>IFERROR(__xludf.DUMMYFUNCTION("""COMPUTED_VALUE"""),0.7756944444444445)</f>
        <v>0.7756944444</v>
      </c>
      <c r="M19" s="12">
        <f>IFERROR(__xludf.DUMMYFUNCTION("""COMPUTED_VALUE"""),0.8104166666666667)</f>
        <v>0.8104166667</v>
      </c>
      <c r="N19" s="12"/>
      <c r="O19" s="12"/>
      <c r="P19" s="12"/>
      <c r="Q19" s="12"/>
      <c r="R19" s="12"/>
      <c r="S19" s="12"/>
      <c r="T19" s="12"/>
    </row>
    <row r="20">
      <c r="A20" s="87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>
        <f>IFERROR(__xludf.DUMMYFUNCTION("""COMPUTED_VALUE"""),0.24583333333333332)</f>
        <v>0.2458333333</v>
      </c>
      <c r="D20" s="17">
        <f>IFERROR(__xludf.DUMMYFUNCTION("""COMPUTED_VALUE"""),0.27708333333333335)</f>
        <v>0.2770833333</v>
      </c>
      <c r="E20" s="17">
        <f>IFERROR(__xludf.DUMMYFUNCTION("""COMPUTED_VALUE"""),0.33055555555555555)</f>
        <v>0.3305555556</v>
      </c>
      <c r="F20" s="17">
        <f>IFERROR(__xludf.DUMMYFUNCTION("""COMPUTED_VALUE"""),0.37083333333333335)</f>
        <v>0.3708333333</v>
      </c>
      <c r="G20" s="17">
        <f>IFERROR(__xludf.DUMMYFUNCTION("""COMPUTED_VALUE"""),0.42291666666666666)</f>
        <v>0.4229166667</v>
      </c>
      <c r="H20" s="17">
        <f>IFERROR(__xludf.DUMMYFUNCTION("""COMPUTED_VALUE"""),0.5375)</f>
        <v>0.5375</v>
      </c>
      <c r="I20" s="17">
        <f>IFERROR(__xludf.DUMMYFUNCTION("""COMPUTED_VALUE"""),0.6208333333333333)</f>
        <v>0.6208333333</v>
      </c>
      <c r="J20" s="17">
        <f>IFERROR(__xludf.DUMMYFUNCTION("""COMPUTED_VALUE"""),0.6763888888888889)</f>
        <v>0.6763888889</v>
      </c>
      <c r="K20" s="17">
        <f>IFERROR(__xludf.DUMMYFUNCTION("""COMPUTED_VALUE"""),0.7319444444444444)</f>
        <v>0.7319444444</v>
      </c>
      <c r="L20" s="17">
        <f>IFERROR(__xludf.DUMMYFUNCTION("""COMPUTED_VALUE"""),0.7770833333333333)</f>
        <v>0.7770833333</v>
      </c>
      <c r="M20" s="17">
        <f>IFERROR(__xludf.DUMMYFUNCTION("""COMPUTED_VALUE"""),0.8118055555555556)</f>
        <v>0.8118055556</v>
      </c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>
        <f>IFERROR(__xludf.DUMMYFUNCTION("""COMPUTED_VALUE"""),0.24791666666666667)</f>
        <v>0.2479166667</v>
      </c>
      <c r="D21" s="17">
        <f>IFERROR(__xludf.DUMMYFUNCTION("""COMPUTED_VALUE"""),0.2791666666666667)</f>
        <v>0.2791666667</v>
      </c>
      <c r="E21" s="17">
        <f>IFERROR(__xludf.DUMMYFUNCTION("""COMPUTED_VALUE"""),0.3326388888888889)</f>
        <v>0.3326388889</v>
      </c>
      <c r="F21" s="17">
        <f>IFERROR(__xludf.DUMMYFUNCTION("""COMPUTED_VALUE"""),0.3729166666666667)</f>
        <v>0.3729166667</v>
      </c>
      <c r="G21" s="17">
        <f>IFERROR(__xludf.DUMMYFUNCTION("""COMPUTED_VALUE"""),0.425)</f>
        <v>0.425</v>
      </c>
      <c r="H21" s="17">
        <f>IFERROR(__xludf.DUMMYFUNCTION("""COMPUTED_VALUE"""),0.5395833333333333)</f>
        <v>0.5395833333</v>
      </c>
      <c r="I21" s="17">
        <f>IFERROR(__xludf.DUMMYFUNCTION("""COMPUTED_VALUE"""),0.6229166666666667)</f>
        <v>0.6229166667</v>
      </c>
      <c r="J21" s="17">
        <f>IFERROR(__xludf.DUMMYFUNCTION("""COMPUTED_VALUE"""),0.6784722222222223)</f>
        <v>0.6784722222</v>
      </c>
      <c r="K21" s="17">
        <f>IFERROR(__xludf.DUMMYFUNCTION("""COMPUTED_VALUE"""),0.7340277777777777)</f>
        <v>0.7340277778</v>
      </c>
      <c r="L21" s="17">
        <f>IFERROR(__xludf.DUMMYFUNCTION("""COMPUTED_VALUE"""),0.7791666666666667)</f>
        <v>0.7791666667</v>
      </c>
      <c r="M21" s="17">
        <f>IFERROR(__xludf.DUMMYFUNCTION("""COMPUTED_VALUE"""),0.8138888888888889)</f>
        <v>0.8138888889</v>
      </c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>
      <c r="A33" s="87" t="str">
        <f>IFERROR(__xludf.DUMMYFUNCTION("""COMPUTED_VALUE"""),"SAREPTA")</f>
        <v>SAREPTA</v>
      </c>
      <c r="B33" s="87" t="str">
        <f>IFERROR(__xludf.DUMMYFUNCTION("""COMPUTED_VALUE"""),"-33.92655594121331, 18.661143180651308")</f>
        <v>-33.92655594121331, 18.661143180651308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>
      <c r="A34" s="87" t="str">
        <f>IFERROR(__xludf.DUMMYFUNCTION("""COMPUTED_VALUE"""),"BELLVILLE")</f>
        <v>BELLVILLE</v>
      </c>
      <c r="B34" s="87" t="str">
        <f>IFERROR(__xludf.DUMMYFUNCTION("""COMPUTED_VALUE"""),"-33.906263459762684, 18.62662128465745")</f>
        <v>-33.906263459762684, 18.62662128465745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>
      <c r="A35" s="87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>
      <c r="A36" s="87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>
      <c r="A40" s="92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>
      <c r="A43" s="18"/>
      <c r="B43" s="1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</row>
    <row r="46">
      <c r="A46" s="87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>
      <c r="A47" s="87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>
      <c r="A48" s="87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>
      <c r="A49" s="87"/>
      <c r="B49" s="8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>
      <c r="A50" s="87"/>
      <c r="B50" s="8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>
      <c r="A51" s="87"/>
      <c r="B51" s="8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>
      <c r="A52" s="87"/>
      <c r="B52" s="87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>
      <c r="A53" s="87"/>
      <c r="B53" s="87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>
      <c r="A54" s="87"/>
      <c r="B54" s="87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>
      <c r="A55" s="87"/>
      <c r="B55" s="87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>
      <c r="A56" s="87"/>
      <c r="B56" s="87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>
      <c r="A57" s="87"/>
      <c r="B57" s="87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>
      <c r="A58" s="87"/>
      <c r="B58" s="8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>
      <c r="A59" s="87"/>
      <c r="B59" s="87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>
      <c r="A60" s="87"/>
      <c r="B60" s="8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>
      <c r="A61" s="87"/>
      <c r="B61" s="87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>
      <c r="A62" s="87"/>
      <c r="B62" s="87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>
      <c r="A63" s="87"/>
      <c r="B63" s="8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>
      <c r="A64" s="87"/>
      <c r="B64" s="87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>
      <c r="A65" s="87"/>
      <c r="B65" s="87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>
      <c r="A66" s="87"/>
      <c r="B66" s="87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>
      <c r="A67" s="87"/>
      <c r="B67" s="87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>
      <c r="A68" s="87"/>
      <c r="B68" s="87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>
      <c r="A69" s="87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MATCH(""*KAPTEINSKLIP*"",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IFERROR(__xludf.DUMMYFUNCTION("""COMPUTED_VALUE"""),9500.0)</f>
        <v>9500</v>
      </c>
      <c r="D2" s="5">
        <f>IFERROR(__xludf.DUMMYFUNCTION("""COMPUTED_VALUE"""),9502.0)</f>
        <v>9502</v>
      </c>
      <c r="E2" s="5">
        <f>IFERROR(__xludf.DUMMYFUNCTION("""COMPUTED_VALUE"""),9504.0)</f>
        <v>9504</v>
      </c>
      <c r="F2" s="5">
        <f>IFERROR(__xludf.DUMMYFUNCTION("""COMPUTED_VALUE"""),9506.0)</f>
        <v>9506</v>
      </c>
      <c r="G2" s="5">
        <f>IFERROR(__xludf.DUMMYFUNCTION("""COMPUTED_VALUE"""),9508.0)</f>
        <v>9508</v>
      </c>
      <c r="H2" s="5">
        <f>IFERROR(__xludf.DUMMYFUNCTION("""COMPUTED_VALUE"""),9510.0)</f>
        <v>9510</v>
      </c>
      <c r="I2" s="5">
        <f>IFERROR(__xludf.DUMMYFUNCTION("""COMPUTED_VALUE"""),9512.0)</f>
        <v>9512</v>
      </c>
      <c r="J2" s="5">
        <f>IFERROR(__xludf.DUMMYFUNCTION("""COMPUTED_VALUE"""),9514.0)</f>
        <v>9514</v>
      </c>
      <c r="K2" s="5">
        <f>IFERROR(__xludf.DUMMYFUNCTION("""COMPUTED_VALUE"""),9516.0)</f>
        <v>9516</v>
      </c>
      <c r="L2" s="5">
        <f>IFERROR(__xludf.DUMMYFUNCTION("""COMPUTED_VALUE"""),9518.0)</f>
        <v>9518</v>
      </c>
      <c r="M2" s="5">
        <f>IFERROR(__xludf.DUMMYFUNCTION("""COMPUTED_VALUE"""),9520.0)</f>
        <v>9520</v>
      </c>
      <c r="N2" s="5">
        <f>IFERROR(__xludf.DUMMYFUNCTION("""COMPUTED_VALUE"""),9522.0)</f>
        <v>9522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93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/>
      <c r="D14" s="12"/>
      <c r="E14" s="12"/>
      <c r="F14" s="12"/>
      <c r="G14" s="12"/>
      <c r="H14" s="12"/>
      <c r="I14" s="12"/>
      <c r="J14" s="12"/>
      <c r="K14" s="12"/>
      <c r="L14" s="87"/>
      <c r="M14" s="87"/>
      <c r="N14" s="20"/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/>
      <c r="D15" s="12"/>
      <c r="E15" s="12"/>
      <c r="F15" s="12"/>
      <c r="G15" s="12"/>
      <c r="H15" s="12"/>
      <c r="I15" s="12"/>
      <c r="J15" s="12"/>
      <c r="K15" s="12"/>
      <c r="L15" s="87"/>
      <c r="M15" s="87"/>
      <c r="N15" s="20"/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>
        <f>IFERROR(__xludf.DUMMYFUNCTION("""COMPUTED_VALUE"""),0.2013888888888889)</f>
        <v>0.2013888889</v>
      </c>
      <c r="D16" s="12">
        <f>IFERROR(__xludf.DUMMYFUNCTION("""COMPUTED_VALUE"""),0.2569444444444444)</f>
        <v>0.2569444444</v>
      </c>
      <c r="E16" s="12">
        <f>IFERROR(__xludf.DUMMYFUNCTION("""COMPUTED_VALUE"""),0.2881944444444444)</f>
        <v>0.2881944444</v>
      </c>
      <c r="F16" s="12">
        <f>IFERROR(__xludf.DUMMYFUNCTION("""COMPUTED_VALUE"""),0.3402777777777778)</f>
        <v>0.3402777778</v>
      </c>
      <c r="G16" s="12">
        <f>IFERROR(__xludf.DUMMYFUNCTION("""COMPUTED_VALUE"""),0.3888888888888889)</f>
        <v>0.3888888889</v>
      </c>
      <c r="H16" s="12">
        <f>IFERROR(__xludf.DUMMYFUNCTION("""COMPUTED_VALUE"""),0.4583333333333333)</f>
        <v>0.4583333333</v>
      </c>
      <c r="I16" s="12">
        <f>IFERROR(__xludf.DUMMYFUNCTION("""COMPUTED_VALUE"""),0.5486111111111112)</f>
        <v>0.5486111111</v>
      </c>
      <c r="J16" s="12">
        <f>IFERROR(__xludf.DUMMYFUNCTION("""COMPUTED_VALUE"""),0.6319444444444444)</f>
        <v>0.6319444444</v>
      </c>
      <c r="K16" s="12">
        <f>IFERROR(__xludf.DUMMYFUNCTION("""COMPUTED_VALUE"""),0.6888888888888889)</f>
        <v>0.6888888889</v>
      </c>
      <c r="L16" s="12">
        <f>IFERROR(__xludf.DUMMYFUNCTION("""COMPUTED_VALUE"""),0.7402777777777778)</f>
        <v>0.7402777778</v>
      </c>
      <c r="M16" s="12">
        <f>IFERROR(__xludf.DUMMYFUNCTION("""COMPUTED_VALUE"""),0.7861111111111111)</f>
        <v>0.7861111111</v>
      </c>
      <c r="N16" s="12">
        <f>IFERROR(__xludf.DUMMYFUNCTION("""COMPUTED_VALUE"""),0.8298611111111112)</f>
        <v>0.8298611111</v>
      </c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>
        <f>IFERROR(__xludf.DUMMYFUNCTION("""COMPUTED_VALUE"""),0.20347222222222222)</f>
        <v>0.2034722222</v>
      </c>
      <c r="D17" s="12">
        <f>IFERROR(__xludf.DUMMYFUNCTION("""COMPUTED_VALUE"""),0.2590277777777778)</f>
        <v>0.2590277778</v>
      </c>
      <c r="E17" s="12">
        <f>IFERROR(__xludf.DUMMYFUNCTION("""COMPUTED_VALUE"""),0.2902777777777778)</f>
        <v>0.2902777778</v>
      </c>
      <c r="F17" s="12">
        <f>IFERROR(__xludf.DUMMYFUNCTION("""COMPUTED_VALUE"""),0.3423611111111111)</f>
        <v>0.3423611111</v>
      </c>
      <c r="G17" s="12">
        <f>IFERROR(__xludf.DUMMYFUNCTION("""COMPUTED_VALUE"""),0.3909722222222222)</f>
        <v>0.3909722222</v>
      </c>
      <c r="H17" s="12">
        <f>IFERROR(__xludf.DUMMYFUNCTION("""COMPUTED_VALUE"""),0.46041666666666664)</f>
        <v>0.4604166667</v>
      </c>
      <c r="I17" s="12">
        <f>IFERROR(__xludf.DUMMYFUNCTION("""COMPUTED_VALUE"""),0.5506944444444445)</f>
        <v>0.5506944444</v>
      </c>
      <c r="J17" s="12">
        <f>IFERROR(__xludf.DUMMYFUNCTION("""COMPUTED_VALUE"""),0.6340277777777777)</f>
        <v>0.6340277778</v>
      </c>
      <c r="K17" s="12">
        <f>IFERROR(__xludf.DUMMYFUNCTION("""COMPUTED_VALUE"""),0.6909722222222222)</f>
        <v>0.6909722222</v>
      </c>
      <c r="L17" s="12">
        <f>IFERROR(__xludf.DUMMYFUNCTION("""COMPUTED_VALUE"""),0.7423611111111111)</f>
        <v>0.7423611111</v>
      </c>
      <c r="M17" s="12">
        <f>IFERROR(__xludf.DUMMYFUNCTION("""COMPUTED_VALUE"""),0.7881944444444444)</f>
        <v>0.7881944444</v>
      </c>
      <c r="N17" s="12">
        <f>IFERROR(__xludf.DUMMYFUNCTION("""COMPUTED_VALUE"""),0.8319444444444445)</f>
        <v>0.8319444444</v>
      </c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>
        <f>IFERROR(__xludf.DUMMYFUNCTION("""COMPUTED_VALUE"""),0.2048611111111111)</f>
        <v>0.2048611111</v>
      </c>
      <c r="D18" s="12">
        <f>IFERROR(__xludf.DUMMYFUNCTION("""COMPUTED_VALUE"""),0.2604166666666667)</f>
        <v>0.2604166667</v>
      </c>
      <c r="E18" s="12">
        <f>IFERROR(__xludf.DUMMYFUNCTION("""COMPUTED_VALUE"""),0.2916666666666667)</f>
        <v>0.2916666667</v>
      </c>
      <c r="F18" s="12">
        <f>IFERROR(__xludf.DUMMYFUNCTION("""COMPUTED_VALUE"""),0.34375)</f>
        <v>0.34375</v>
      </c>
      <c r="G18" s="12">
        <f>IFERROR(__xludf.DUMMYFUNCTION("""COMPUTED_VALUE"""),0.3923611111111111)</f>
        <v>0.3923611111</v>
      </c>
      <c r="H18" s="12">
        <f>IFERROR(__xludf.DUMMYFUNCTION("""COMPUTED_VALUE"""),0.4618055555555556)</f>
        <v>0.4618055556</v>
      </c>
      <c r="I18" s="12">
        <f>IFERROR(__xludf.DUMMYFUNCTION("""COMPUTED_VALUE"""),0.5520833333333334)</f>
        <v>0.5520833333</v>
      </c>
      <c r="J18" s="12">
        <f>IFERROR(__xludf.DUMMYFUNCTION("""COMPUTED_VALUE"""),0.6354166666666666)</f>
        <v>0.6354166667</v>
      </c>
      <c r="K18" s="12">
        <f>IFERROR(__xludf.DUMMYFUNCTION("""COMPUTED_VALUE"""),0.6923611111111111)</f>
        <v>0.6923611111</v>
      </c>
      <c r="L18" s="12">
        <f>IFERROR(__xludf.DUMMYFUNCTION("""COMPUTED_VALUE"""),0.74375)</f>
        <v>0.74375</v>
      </c>
      <c r="M18" s="12">
        <f>IFERROR(__xludf.DUMMYFUNCTION("""COMPUTED_VALUE"""),0.7895833333333333)</f>
        <v>0.7895833333</v>
      </c>
      <c r="N18" s="12">
        <f>IFERROR(__xludf.DUMMYFUNCTION("""COMPUTED_VALUE"""),0.8333333333333334)</f>
        <v>0.8333333333</v>
      </c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IFERROR(__xludf.DUMMYFUNCTION("""COMPUTED_VALUE"""),0.20833333333333334)</f>
        <v>0.2083333333</v>
      </c>
      <c r="D19" s="12">
        <f>IFERROR(__xludf.DUMMYFUNCTION("""COMPUTED_VALUE"""),0.2638888888888889)</f>
        <v>0.2638888889</v>
      </c>
      <c r="E19" s="12">
        <f>IFERROR(__xludf.DUMMYFUNCTION("""COMPUTED_VALUE"""),0.2951388888888889)</f>
        <v>0.2951388889</v>
      </c>
      <c r="F19" s="12">
        <f>IFERROR(__xludf.DUMMYFUNCTION("""COMPUTED_VALUE"""),0.3472222222222222)</f>
        <v>0.3472222222</v>
      </c>
      <c r="G19" s="12">
        <f>IFERROR(__xludf.DUMMYFUNCTION("""COMPUTED_VALUE"""),0.3958333333333333)</f>
        <v>0.3958333333</v>
      </c>
      <c r="H19" s="12">
        <f>IFERROR(__xludf.DUMMYFUNCTION("""COMPUTED_VALUE"""),0.4652777777777778)</f>
        <v>0.4652777778</v>
      </c>
      <c r="I19" s="12">
        <f>IFERROR(__xludf.DUMMYFUNCTION("""COMPUTED_VALUE"""),0.5555555555555556)</f>
        <v>0.5555555556</v>
      </c>
      <c r="J19" s="12">
        <f>IFERROR(__xludf.DUMMYFUNCTION("""COMPUTED_VALUE"""),0.6388888888888888)</f>
        <v>0.6388888889</v>
      </c>
      <c r="K19" s="12">
        <f>IFERROR(__xludf.DUMMYFUNCTION("""COMPUTED_VALUE"""),0.6958333333333333)</f>
        <v>0.6958333333</v>
      </c>
      <c r="L19" s="12">
        <f>IFERROR(__xludf.DUMMYFUNCTION("""COMPUTED_VALUE"""),0.7472222222222222)</f>
        <v>0.7472222222</v>
      </c>
      <c r="M19" s="12">
        <f>IFERROR(__xludf.DUMMYFUNCTION("""COMPUTED_VALUE"""),0.7930555555555555)</f>
        <v>0.7930555556</v>
      </c>
      <c r="N19" s="12">
        <f>IFERROR(__xludf.DUMMYFUNCTION("""COMPUTED_VALUE"""),0.8368055555555556)</f>
        <v>0.8368055556</v>
      </c>
      <c r="O19" s="12"/>
      <c r="P19" s="12"/>
      <c r="Q19" s="12"/>
      <c r="R19" s="12"/>
      <c r="S19" s="12"/>
      <c r="T19" s="12"/>
    </row>
    <row r="20">
      <c r="A20" s="87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IFERROR(__xludf.DUMMYFUNCTION("""COMPUTED_VALUE"""),0.2111111111111111)</f>
        <v>0.2111111111</v>
      </c>
      <c r="D20" s="17">
        <f>IFERROR(__xludf.DUMMYFUNCTION("""COMPUTED_VALUE"""),0.26666666666666666)</f>
        <v>0.2666666667</v>
      </c>
      <c r="E20" s="17">
        <f>IFERROR(__xludf.DUMMYFUNCTION("""COMPUTED_VALUE"""),0.29791666666666666)</f>
        <v>0.2979166667</v>
      </c>
      <c r="F20" s="17">
        <f>IFERROR(__xludf.DUMMYFUNCTION("""COMPUTED_VALUE"""),0.35)</f>
        <v>0.35</v>
      </c>
      <c r="G20" s="17">
        <f>IFERROR(__xludf.DUMMYFUNCTION("""COMPUTED_VALUE"""),0.39861111111111114)</f>
        <v>0.3986111111</v>
      </c>
      <c r="H20" s="17">
        <f>IFERROR(__xludf.DUMMYFUNCTION("""COMPUTED_VALUE"""),0.46805555555555556)</f>
        <v>0.4680555556</v>
      </c>
      <c r="I20" s="17">
        <f>IFERROR(__xludf.DUMMYFUNCTION("""COMPUTED_VALUE"""),0.5583333333333333)</f>
        <v>0.5583333333</v>
      </c>
      <c r="J20" s="17">
        <f>IFERROR(__xludf.DUMMYFUNCTION("""COMPUTED_VALUE"""),0.6416666666666667)</f>
        <v>0.6416666667</v>
      </c>
      <c r="K20" s="17">
        <f>IFERROR(__xludf.DUMMYFUNCTION("""COMPUTED_VALUE"""),0.6986111111111111)</f>
        <v>0.6986111111</v>
      </c>
      <c r="L20" s="17">
        <f>IFERROR(__xludf.DUMMYFUNCTION("""COMPUTED_VALUE"""),0.75)</f>
        <v>0.75</v>
      </c>
      <c r="M20" s="17">
        <f>IFERROR(__xludf.DUMMYFUNCTION("""COMPUTED_VALUE"""),0.7958333333333333)</f>
        <v>0.7958333333</v>
      </c>
      <c r="N20" s="17">
        <f>IFERROR(__xludf.DUMMYFUNCTION("""COMPUTED_VALUE"""),0.8395833333333333)</f>
        <v>0.8395833333</v>
      </c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IFERROR(__xludf.DUMMYFUNCTION("""COMPUTED_VALUE"""),0.2152777777777778)</f>
        <v>0.2152777778</v>
      </c>
      <c r="D21" s="17">
        <f>IFERROR(__xludf.DUMMYFUNCTION("""COMPUTED_VALUE"""),0.2708333333333333)</f>
        <v>0.2708333333</v>
      </c>
      <c r="E21" s="17">
        <f>IFERROR(__xludf.DUMMYFUNCTION("""COMPUTED_VALUE"""),0.3020833333333333)</f>
        <v>0.3020833333</v>
      </c>
      <c r="F21" s="17">
        <f>IFERROR(__xludf.DUMMYFUNCTION("""COMPUTED_VALUE"""),0.3541666666666667)</f>
        <v>0.3541666667</v>
      </c>
      <c r="G21" s="17">
        <f>IFERROR(__xludf.DUMMYFUNCTION("""COMPUTED_VALUE"""),0.4027777777777778)</f>
        <v>0.4027777778</v>
      </c>
      <c r="H21" s="17">
        <f>IFERROR(__xludf.DUMMYFUNCTION("""COMPUTED_VALUE"""),0.4722222222222222)</f>
        <v>0.4722222222</v>
      </c>
      <c r="I21" s="17">
        <f>IFERROR(__xludf.DUMMYFUNCTION("""COMPUTED_VALUE"""),0.5625)</f>
        <v>0.5625</v>
      </c>
      <c r="J21" s="17">
        <f>IFERROR(__xludf.DUMMYFUNCTION("""COMPUTED_VALUE"""),0.6458333333333334)</f>
        <v>0.6458333333</v>
      </c>
      <c r="K21" s="17">
        <f>IFERROR(__xludf.DUMMYFUNCTION("""COMPUTED_VALUE"""),0.7027777777777777)</f>
        <v>0.7027777778</v>
      </c>
      <c r="L21" s="17">
        <f>IFERROR(__xludf.DUMMYFUNCTION("""COMPUTED_VALUE"""),0.7541666666666667)</f>
        <v>0.7541666667</v>
      </c>
      <c r="M21" s="17">
        <f>IFERROR(__xludf.DUMMYFUNCTION("""COMPUTED_VALUE"""),0.8)</f>
        <v>0.8</v>
      </c>
      <c r="N21" s="17">
        <f>IFERROR(__xludf.DUMMYFUNCTION("""COMPUTED_VALUE"""),0.84375)</f>
        <v>0.84375</v>
      </c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IFERROR(__xludf.DUMMYFUNCTION("""COMPUTED_VALUE"""),0.21736111111111112)</f>
        <v>0.2173611111</v>
      </c>
      <c r="D22" s="17">
        <f>IFERROR(__xludf.DUMMYFUNCTION("""COMPUTED_VALUE"""),0.27291666666666664)</f>
        <v>0.2729166667</v>
      </c>
      <c r="E22" s="17">
        <f>IFERROR(__xludf.DUMMYFUNCTION("""COMPUTED_VALUE"""),0.30416666666666664)</f>
        <v>0.3041666667</v>
      </c>
      <c r="F22" s="17">
        <f>IFERROR(__xludf.DUMMYFUNCTION("""COMPUTED_VALUE"""),0.35625)</f>
        <v>0.35625</v>
      </c>
      <c r="G22" s="17">
        <f>IFERROR(__xludf.DUMMYFUNCTION("""COMPUTED_VALUE"""),0.4048611111111111)</f>
        <v>0.4048611111</v>
      </c>
      <c r="H22" s="17">
        <f>IFERROR(__xludf.DUMMYFUNCTION("""COMPUTED_VALUE"""),0.47430555555555554)</f>
        <v>0.4743055556</v>
      </c>
      <c r="I22" s="17">
        <f>IFERROR(__xludf.DUMMYFUNCTION("""COMPUTED_VALUE"""),0.5645833333333333)</f>
        <v>0.5645833333</v>
      </c>
      <c r="J22" s="17">
        <f>IFERROR(__xludf.DUMMYFUNCTION("""COMPUTED_VALUE"""),0.6479166666666667)</f>
        <v>0.6479166667</v>
      </c>
      <c r="K22" s="17">
        <f>IFERROR(__xludf.DUMMYFUNCTION("""COMPUTED_VALUE"""),0.7048611111111112)</f>
        <v>0.7048611111</v>
      </c>
      <c r="L22" s="17">
        <f>IFERROR(__xludf.DUMMYFUNCTION("""COMPUTED_VALUE"""),0.75625)</f>
        <v>0.75625</v>
      </c>
      <c r="M22" s="17">
        <f>IFERROR(__xludf.DUMMYFUNCTION("""COMPUTED_VALUE"""),0.8020833333333334)</f>
        <v>0.8020833333</v>
      </c>
      <c r="N22" s="17">
        <f>IFERROR(__xludf.DUMMYFUNCTION("""COMPUTED_VALUE"""),0.8458333333333333)</f>
        <v>0.8458333333</v>
      </c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/>
      <c r="D23" s="17"/>
      <c r="E23" s="17"/>
      <c r="F23" s="94">
        <f>IFERROR(__xludf.DUMMYFUNCTION("""COMPUTED_VALUE"""),0.3597222222222222)</f>
        <v>0.3597222222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/>
      <c r="D24" s="17"/>
      <c r="E24" s="17"/>
      <c r="F24" s="94">
        <f>IFERROR(__xludf.DUMMYFUNCTION("""COMPUTED_VALUE"""),0.3659722222222222)</f>
        <v>0.3659722222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/>
      <c r="D25" s="17"/>
      <c r="E25" s="17"/>
      <c r="F25" s="94">
        <f>IFERROR(__xludf.DUMMYFUNCTION("""COMPUTED_VALUE"""),0.37430555555555556)</f>
        <v>0.3743055556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>
        <f>IFERROR(__xludf.DUMMYFUNCTION("""COMPUTED_VALUE"""),0.21944444444444444)</f>
        <v>0.2194444444</v>
      </c>
      <c r="D26" s="17">
        <f>IFERROR(__xludf.DUMMYFUNCTION("""COMPUTED_VALUE"""),0.275)</f>
        <v>0.275</v>
      </c>
      <c r="E26" s="17">
        <f>IFERROR(__xludf.DUMMYFUNCTION("""COMPUTED_VALUE"""),0.30625)</f>
        <v>0.30625</v>
      </c>
      <c r="F26" s="17"/>
      <c r="G26" s="17">
        <f>IFERROR(__xludf.DUMMYFUNCTION("""COMPUTED_VALUE"""),0.40694444444444444)</f>
        <v>0.4069444444</v>
      </c>
      <c r="H26" s="17">
        <f>IFERROR(__xludf.DUMMYFUNCTION("""COMPUTED_VALUE"""),0.47638888888888886)</f>
        <v>0.4763888889</v>
      </c>
      <c r="I26" s="17">
        <f>IFERROR(__xludf.DUMMYFUNCTION("""COMPUTED_VALUE"""),0.5666666666666667)</f>
        <v>0.5666666667</v>
      </c>
      <c r="J26" s="17">
        <f>IFERROR(__xludf.DUMMYFUNCTION("""COMPUTED_VALUE"""),0.65)</f>
        <v>0.65</v>
      </c>
      <c r="K26" s="17">
        <f>IFERROR(__xludf.DUMMYFUNCTION("""COMPUTED_VALUE"""),0.7069444444444445)</f>
        <v>0.7069444444</v>
      </c>
      <c r="L26" s="17">
        <f>IFERROR(__xludf.DUMMYFUNCTION("""COMPUTED_VALUE"""),0.7583333333333333)</f>
        <v>0.7583333333</v>
      </c>
      <c r="M26" s="17">
        <f>IFERROR(__xludf.DUMMYFUNCTION("""COMPUTED_VALUE"""),0.8041666666666667)</f>
        <v>0.8041666667</v>
      </c>
      <c r="N26" s="17">
        <f>IFERROR(__xludf.DUMMYFUNCTION("""COMPUTED_VALUE"""),0.8479166666666667)</f>
        <v>0.8479166667</v>
      </c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>
        <f>IFERROR(__xludf.DUMMYFUNCTION("""COMPUTED_VALUE"""),0.22083333333333333)</f>
        <v>0.2208333333</v>
      </c>
      <c r="D27" s="17">
        <f>IFERROR(__xludf.DUMMYFUNCTION("""COMPUTED_VALUE"""),0.2763888888888889)</f>
        <v>0.2763888889</v>
      </c>
      <c r="E27" s="17">
        <f>IFERROR(__xludf.DUMMYFUNCTION("""COMPUTED_VALUE"""),0.3076388888888889)</f>
        <v>0.3076388889</v>
      </c>
      <c r="F27" s="17"/>
      <c r="G27" s="17">
        <f>IFERROR(__xludf.DUMMYFUNCTION("""COMPUTED_VALUE"""),0.4083333333333333)</f>
        <v>0.4083333333</v>
      </c>
      <c r="H27" s="17">
        <f>IFERROR(__xludf.DUMMYFUNCTION("""COMPUTED_VALUE"""),0.4777777777777778)</f>
        <v>0.4777777778</v>
      </c>
      <c r="I27" s="17">
        <f>IFERROR(__xludf.DUMMYFUNCTION("""COMPUTED_VALUE"""),0.5680555555555555)</f>
        <v>0.5680555556</v>
      </c>
      <c r="J27" s="17">
        <f>IFERROR(__xludf.DUMMYFUNCTION("""COMPUTED_VALUE"""),0.6513888888888889)</f>
        <v>0.6513888889</v>
      </c>
      <c r="K27" s="17">
        <f>IFERROR(__xludf.DUMMYFUNCTION("""COMPUTED_VALUE"""),0.7083333333333334)</f>
        <v>0.7083333333</v>
      </c>
      <c r="L27" s="17">
        <f>IFERROR(__xludf.DUMMYFUNCTION("""COMPUTED_VALUE"""),0.7597222222222222)</f>
        <v>0.7597222222</v>
      </c>
      <c r="M27" s="17">
        <f>IFERROR(__xludf.DUMMYFUNCTION("""COMPUTED_VALUE"""),0.8055555555555556)</f>
        <v>0.8055555556</v>
      </c>
      <c r="N27" s="17">
        <f>IFERROR(__xludf.DUMMYFUNCTION("""COMPUTED_VALUE"""),0.8493055555555555)</f>
        <v>0.8493055556</v>
      </c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>
        <f>IFERROR(__xludf.DUMMYFUNCTION("""COMPUTED_VALUE"""),0.22291666666666668)</f>
        <v>0.2229166667</v>
      </c>
      <c r="D28" s="17">
        <f>IFERROR(__xludf.DUMMYFUNCTION("""COMPUTED_VALUE"""),0.27847222222222223)</f>
        <v>0.2784722222</v>
      </c>
      <c r="E28" s="17">
        <f>IFERROR(__xludf.DUMMYFUNCTION("""COMPUTED_VALUE"""),0.30972222222222223)</f>
        <v>0.3097222222</v>
      </c>
      <c r="F28" s="17"/>
      <c r="G28" s="17">
        <f>IFERROR(__xludf.DUMMYFUNCTION("""COMPUTED_VALUE"""),0.41041666666666665)</f>
        <v>0.4104166667</v>
      </c>
      <c r="H28" s="17">
        <f>IFERROR(__xludf.DUMMYFUNCTION("""COMPUTED_VALUE"""),0.4798611111111111)</f>
        <v>0.4798611111</v>
      </c>
      <c r="I28" s="17">
        <f>IFERROR(__xludf.DUMMYFUNCTION("""COMPUTED_VALUE"""),0.5701388888888889)</f>
        <v>0.5701388889</v>
      </c>
      <c r="J28" s="17">
        <f>IFERROR(__xludf.DUMMYFUNCTION("""COMPUTED_VALUE"""),0.6534722222222222)</f>
        <v>0.6534722222</v>
      </c>
      <c r="K28" s="17">
        <f>IFERROR(__xludf.DUMMYFUNCTION("""COMPUTED_VALUE"""),0.7104166666666667)</f>
        <v>0.7104166667</v>
      </c>
      <c r="L28" s="17">
        <f>IFERROR(__xludf.DUMMYFUNCTION("""COMPUTED_VALUE"""),0.7618055555555555)</f>
        <v>0.7618055556</v>
      </c>
      <c r="M28" s="17">
        <f>IFERROR(__xludf.DUMMYFUNCTION("""COMPUTED_VALUE"""),0.8076388888888889)</f>
        <v>0.8076388889</v>
      </c>
      <c r="N28" s="17">
        <f>IFERROR(__xludf.DUMMYFUNCTION("""COMPUTED_VALUE"""),0.8513888888888889)</f>
        <v>0.8513888889</v>
      </c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>
        <f>IFERROR(__xludf.DUMMYFUNCTION("""COMPUTED_VALUE"""),0.225)</f>
        <v>0.225</v>
      </c>
      <c r="D29" s="17">
        <f>IFERROR(__xludf.DUMMYFUNCTION("""COMPUTED_VALUE"""),0.28055555555555556)</f>
        <v>0.2805555556</v>
      </c>
      <c r="E29" s="17">
        <f>IFERROR(__xludf.DUMMYFUNCTION("""COMPUTED_VALUE"""),0.31180555555555556)</f>
        <v>0.3118055556</v>
      </c>
      <c r="F29" s="17"/>
      <c r="G29" s="17">
        <f>IFERROR(__xludf.DUMMYFUNCTION("""COMPUTED_VALUE"""),0.4125)</f>
        <v>0.4125</v>
      </c>
      <c r="H29" s="17">
        <f>IFERROR(__xludf.DUMMYFUNCTION("""COMPUTED_VALUE"""),0.48194444444444445)</f>
        <v>0.4819444444</v>
      </c>
      <c r="I29" s="17">
        <f>IFERROR(__xludf.DUMMYFUNCTION("""COMPUTED_VALUE"""),0.5722222222222222)</f>
        <v>0.5722222222</v>
      </c>
      <c r="J29" s="17">
        <f>IFERROR(__xludf.DUMMYFUNCTION("""COMPUTED_VALUE"""),0.6555555555555556)</f>
        <v>0.6555555556</v>
      </c>
      <c r="K29" s="17">
        <f>IFERROR(__xludf.DUMMYFUNCTION("""COMPUTED_VALUE"""),0.7125)</f>
        <v>0.7125</v>
      </c>
      <c r="L29" s="17">
        <f>IFERROR(__xludf.DUMMYFUNCTION("""COMPUTED_VALUE"""),0.7638888888888888)</f>
        <v>0.7638888889</v>
      </c>
      <c r="M29" s="17">
        <f>IFERROR(__xludf.DUMMYFUNCTION("""COMPUTED_VALUE"""),0.8097222222222222)</f>
        <v>0.8097222222</v>
      </c>
      <c r="N29" s="17">
        <f>IFERROR(__xludf.DUMMYFUNCTION("""COMPUTED_VALUE"""),0.8534722222222222)</f>
        <v>0.8534722222</v>
      </c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>
        <f>IFERROR(__xludf.DUMMYFUNCTION("""COMPUTED_VALUE"""),0.22708333333333333)</f>
        <v>0.2270833333</v>
      </c>
      <c r="D30" s="17">
        <f>IFERROR(__xludf.DUMMYFUNCTION("""COMPUTED_VALUE"""),0.2826388888888889)</f>
        <v>0.2826388889</v>
      </c>
      <c r="E30" s="17">
        <f>IFERROR(__xludf.DUMMYFUNCTION("""COMPUTED_VALUE"""),0.3138888888888889)</f>
        <v>0.3138888889</v>
      </c>
      <c r="F30" s="17"/>
      <c r="G30" s="17">
        <f>IFERROR(__xludf.DUMMYFUNCTION("""COMPUTED_VALUE"""),0.41458333333333336)</f>
        <v>0.4145833333</v>
      </c>
      <c r="H30" s="17">
        <f>IFERROR(__xludf.DUMMYFUNCTION("""COMPUTED_VALUE"""),0.4840277777777778)</f>
        <v>0.4840277778</v>
      </c>
      <c r="I30" s="17">
        <f>IFERROR(__xludf.DUMMYFUNCTION("""COMPUTED_VALUE"""),0.5743055555555555)</f>
        <v>0.5743055556</v>
      </c>
      <c r="J30" s="17">
        <f>IFERROR(__xludf.DUMMYFUNCTION("""COMPUTED_VALUE"""),0.6576388888888889)</f>
        <v>0.6576388889</v>
      </c>
      <c r="K30" s="17">
        <f>IFERROR(__xludf.DUMMYFUNCTION("""COMPUTED_VALUE"""),0.7145833333333333)</f>
        <v>0.7145833333</v>
      </c>
      <c r="L30" s="17">
        <f>IFERROR(__xludf.DUMMYFUNCTION("""COMPUTED_VALUE"""),0.7659722222222223)</f>
        <v>0.7659722222</v>
      </c>
      <c r="M30" s="17">
        <f>IFERROR(__xludf.DUMMYFUNCTION("""COMPUTED_VALUE"""),0.8118055555555556)</f>
        <v>0.8118055556</v>
      </c>
      <c r="N30" s="17">
        <f>IFERROR(__xludf.DUMMYFUNCTION("""COMPUTED_VALUE"""),0.8555555555555555)</f>
        <v>0.8555555556</v>
      </c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>
        <f>IFERROR(__xludf.DUMMYFUNCTION("""COMPUTED_VALUE"""),0.23055555555555557)</f>
        <v>0.2305555556</v>
      </c>
      <c r="D31" s="17">
        <f>IFERROR(__xludf.DUMMYFUNCTION("""COMPUTED_VALUE"""),0.2861111111111111)</f>
        <v>0.2861111111</v>
      </c>
      <c r="E31" s="17">
        <f>IFERROR(__xludf.DUMMYFUNCTION("""COMPUTED_VALUE"""),0.3173611111111111)</f>
        <v>0.3173611111</v>
      </c>
      <c r="F31" s="17"/>
      <c r="G31" s="17">
        <f>IFERROR(__xludf.DUMMYFUNCTION("""COMPUTED_VALUE"""),0.41805555555555557)</f>
        <v>0.4180555556</v>
      </c>
      <c r="H31" s="17">
        <f>IFERROR(__xludf.DUMMYFUNCTION("""COMPUTED_VALUE"""),0.4875)</f>
        <v>0.4875</v>
      </c>
      <c r="I31" s="17">
        <f>IFERROR(__xludf.DUMMYFUNCTION("""COMPUTED_VALUE"""),0.5777777777777777)</f>
        <v>0.5777777778</v>
      </c>
      <c r="J31" s="17">
        <f>IFERROR(__xludf.DUMMYFUNCTION("""COMPUTED_VALUE"""),0.6611111111111111)</f>
        <v>0.6611111111</v>
      </c>
      <c r="K31" s="17">
        <f>IFERROR(__xludf.DUMMYFUNCTION("""COMPUTED_VALUE"""),0.7180555555555556)</f>
        <v>0.7180555556</v>
      </c>
      <c r="L31" s="17">
        <f>IFERROR(__xludf.DUMMYFUNCTION("""COMPUTED_VALUE"""),0.7694444444444445)</f>
        <v>0.7694444444</v>
      </c>
      <c r="M31" s="17">
        <f>IFERROR(__xludf.DUMMYFUNCTION("""COMPUTED_VALUE"""),0.8152777777777778)</f>
        <v>0.8152777778</v>
      </c>
      <c r="N31" s="17">
        <f>IFERROR(__xludf.DUMMYFUNCTION("""COMPUTED_VALUE"""),0.8590277777777777)</f>
        <v>0.8590277778</v>
      </c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IFERROR(__xludf.DUMMYFUNCTION("""COMPUTED_VALUE"""),0.23472222222222222)</f>
        <v>0.2347222222</v>
      </c>
      <c r="D32" s="19">
        <f>IFERROR(__xludf.DUMMYFUNCTION("""COMPUTED_VALUE"""),0.2902777777777778)</f>
        <v>0.2902777778</v>
      </c>
      <c r="E32" s="17">
        <f>IFERROR(__xludf.DUMMYFUNCTION("""COMPUTED_VALUE"""),0.3215277777777778)</f>
        <v>0.3215277778</v>
      </c>
      <c r="F32" s="17">
        <f>IFERROR(__xludf.DUMMYFUNCTION("""COMPUTED_VALUE"""),0.3819444444444444)</f>
        <v>0.3819444444</v>
      </c>
      <c r="G32" s="17">
        <f>IFERROR(__xludf.DUMMYFUNCTION("""COMPUTED_VALUE"""),0.4222222222222222)</f>
        <v>0.4222222222</v>
      </c>
      <c r="H32" s="17">
        <f>IFERROR(__xludf.DUMMYFUNCTION("""COMPUTED_VALUE"""),0.49166666666666664)</f>
        <v>0.4916666667</v>
      </c>
      <c r="I32" s="17">
        <f>IFERROR(__xludf.DUMMYFUNCTION("""COMPUTED_VALUE"""),0.5819444444444445)</f>
        <v>0.5819444444</v>
      </c>
      <c r="J32" s="17">
        <f>IFERROR(__xludf.DUMMYFUNCTION("""COMPUTED_VALUE"""),0.6652777777777777)</f>
        <v>0.6652777778</v>
      </c>
      <c r="K32" s="20">
        <f>IFERROR(__xludf.DUMMYFUNCTION("""COMPUTED_VALUE"""),0.7222222222222222)</f>
        <v>0.7222222222</v>
      </c>
      <c r="L32" s="20">
        <f>IFERROR(__xludf.DUMMYFUNCTION("""COMPUTED_VALUE"""),0.7736111111111111)</f>
        <v>0.7736111111</v>
      </c>
      <c r="M32" s="20">
        <f>IFERROR(__xludf.DUMMYFUNCTION("""COMPUTED_VALUE"""),0.8194444444444444)</f>
        <v>0.8194444444</v>
      </c>
      <c r="N32" s="20">
        <f>IFERROR(__xludf.DUMMYFUNCTION("""COMPUTED_VALUE"""),0.8631944444444445)</f>
        <v>0.8631944444</v>
      </c>
    </row>
    <row r="33">
      <c r="A33" s="87"/>
      <c r="B33" s="87"/>
      <c r="C33" s="19"/>
      <c r="D33" s="19"/>
      <c r="E33" s="19"/>
      <c r="F33" s="19"/>
      <c r="G33" s="19"/>
      <c r="H33" s="19"/>
      <c r="I33" s="19"/>
      <c r="J33" s="19"/>
      <c r="K33" s="87"/>
      <c r="L33" s="87"/>
      <c r="M33" s="87"/>
      <c r="N33" s="87"/>
    </row>
    <row r="34">
      <c r="A34" s="87"/>
      <c r="B34" s="87"/>
      <c r="C34" s="19"/>
      <c r="D34" s="19"/>
      <c r="E34" s="19"/>
      <c r="F34" s="19"/>
      <c r="G34" s="19"/>
      <c r="H34" s="19"/>
      <c r="I34" s="19"/>
      <c r="J34" s="19"/>
      <c r="K34" s="87"/>
      <c r="L34" s="87"/>
      <c r="M34" s="87"/>
      <c r="N34" s="87"/>
    </row>
    <row r="35">
      <c r="A35" s="87"/>
      <c r="B35" s="87"/>
      <c r="C35" s="19"/>
      <c r="D35" s="19"/>
      <c r="E35" s="19"/>
      <c r="F35" s="19"/>
      <c r="G35" s="19"/>
      <c r="H35" s="19"/>
      <c r="I35" s="19"/>
      <c r="J35" s="19"/>
      <c r="K35" s="87"/>
      <c r="L35" s="87"/>
      <c r="M35" s="87"/>
      <c r="N35" s="87"/>
    </row>
    <row r="36">
      <c r="A36" s="87"/>
      <c r="B36" s="20"/>
      <c r="C36" s="16"/>
      <c r="D36" s="16"/>
      <c r="E36" s="16"/>
      <c r="F36" s="16"/>
      <c r="G36" s="16"/>
      <c r="H36" s="16"/>
      <c r="I36" s="16"/>
      <c r="J36" s="16"/>
      <c r="K36" s="87"/>
      <c r="L36" s="87"/>
      <c r="M36" s="87"/>
      <c r="N36" s="87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87"/>
      <c r="L37" s="87"/>
      <c r="M37" s="87"/>
      <c r="N37" s="8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87"/>
      <c r="L38" s="87"/>
      <c r="M38" s="87"/>
      <c r="N38" s="87"/>
    </row>
    <row r="39">
      <c r="A39" s="92"/>
      <c r="B39" s="19"/>
      <c r="C39" s="19"/>
      <c r="D39" s="19"/>
      <c r="E39" s="19"/>
      <c r="F39" s="19"/>
      <c r="G39" s="19"/>
      <c r="H39" s="19"/>
      <c r="I39" s="19"/>
      <c r="J39" s="19"/>
      <c r="K39" s="87"/>
      <c r="L39" s="87"/>
      <c r="M39" s="87"/>
      <c r="N39" s="87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87"/>
      <c r="L40" s="87"/>
      <c r="M40" s="87"/>
      <c r="N40" s="87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87"/>
      <c r="L41" s="87"/>
      <c r="M41" s="87"/>
      <c r="N41" s="87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87"/>
      <c r="L42" s="87"/>
      <c r="M42" s="87"/>
      <c r="N42" s="8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87"/>
      <c r="L43" s="87"/>
      <c r="M43" s="87"/>
      <c r="N43" s="87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87"/>
      <c r="L44" s="87"/>
      <c r="M44" s="87"/>
      <c r="N44" s="8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87"/>
      <c r="L45" s="87"/>
      <c r="M45" s="87"/>
      <c r="N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</row>
    <row r="83">
      <c r="A83" s="87"/>
      <c r="B83" s="75"/>
      <c r="C83" s="75"/>
      <c r="D83" s="75"/>
      <c r="E83" s="75"/>
      <c r="F83" s="87"/>
      <c r="G83" s="87"/>
      <c r="H83" s="87"/>
      <c r="I83" s="87"/>
      <c r="J83" s="87"/>
      <c r="K83" s="87"/>
      <c r="L83" s="87"/>
      <c r="M83" s="87"/>
      <c r="N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</row>
    <row r="85">
      <c r="A85" s="87"/>
      <c r="B85" s="75"/>
      <c r="C85" s="75"/>
      <c r="D85" s="75"/>
      <c r="E85" s="75"/>
      <c r="F85" s="87"/>
      <c r="G85" s="87"/>
      <c r="H85" s="87"/>
      <c r="I85" s="87"/>
      <c r="J85" s="87"/>
      <c r="K85" s="87"/>
      <c r="L85" s="87"/>
      <c r="M85" s="87"/>
      <c r="N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9501.0</v>
      </c>
      <c r="D2" s="5">
        <v>9503.0</v>
      </c>
      <c r="E2" s="5">
        <v>9505.0</v>
      </c>
      <c r="F2" s="5">
        <v>9507.0</v>
      </c>
      <c r="G2" s="5">
        <v>9509.0</v>
      </c>
      <c r="H2" s="5">
        <v>9511.0</v>
      </c>
      <c r="I2" s="5">
        <v>9513.0</v>
      </c>
      <c r="J2" s="5">
        <v>9515.0</v>
      </c>
      <c r="K2" s="5">
        <v>9517.0</v>
      </c>
      <c r="L2" s="5">
        <v>9519.0</v>
      </c>
      <c r="M2" s="5">
        <v>9521.0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93"/>
      <c r="C3" s="9">
        <v>0.2152777777777778</v>
      </c>
      <c r="D3" s="9">
        <v>0.2465277777777778</v>
      </c>
      <c r="E3" s="9">
        <v>0.3</v>
      </c>
      <c r="F3" s="9">
        <v>0.3402777777777778</v>
      </c>
      <c r="G3" s="9">
        <v>0.3923611111111111</v>
      </c>
      <c r="H3" s="9">
        <v>0.5069444444444444</v>
      </c>
      <c r="I3" s="9">
        <v>0.5902777777777778</v>
      </c>
      <c r="J3" s="9">
        <v>0.6458333333333334</v>
      </c>
      <c r="K3" s="9">
        <v>0.7013888888888888</v>
      </c>
      <c r="L3" s="9">
        <v>0.7465277777777778</v>
      </c>
      <c r="M3" s="9"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83</v>
      </c>
      <c r="B4" s="15"/>
      <c r="C4" s="12">
        <v>0.21736111111111112</v>
      </c>
      <c r="D4" s="12">
        <v>0.24861111111111112</v>
      </c>
      <c r="E4" s="12">
        <v>0.3020833333333333</v>
      </c>
      <c r="F4" s="12">
        <v>0.3423611111111111</v>
      </c>
      <c r="G4" s="12">
        <v>0.39444444444444443</v>
      </c>
      <c r="H4" s="12">
        <v>0.5090277777777777</v>
      </c>
      <c r="I4" s="12">
        <v>0.5923611111111111</v>
      </c>
      <c r="J4" s="12">
        <v>0.6479166666666667</v>
      </c>
      <c r="K4" s="12">
        <v>0.7034722222222223</v>
      </c>
      <c r="L4" s="12">
        <v>0.7486111111111111</v>
      </c>
      <c r="M4" s="12">
        <v>0.7833333333333333</v>
      </c>
      <c r="N4" s="12"/>
      <c r="O4" s="12"/>
      <c r="P4" s="12"/>
      <c r="Q4" s="12"/>
      <c r="R4" s="12"/>
      <c r="S4" s="12"/>
      <c r="T4" s="12"/>
    </row>
    <row r="5">
      <c r="A5" s="1" t="s">
        <v>81</v>
      </c>
      <c r="B5" s="15"/>
      <c r="C5" s="12">
        <v>0.21944444444444444</v>
      </c>
      <c r="D5" s="12">
        <v>0.25069444444444444</v>
      </c>
      <c r="E5" s="12">
        <v>0.30416666666666664</v>
      </c>
      <c r="F5" s="12">
        <v>0.34444444444444444</v>
      </c>
      <c r="G5" s="12">
        <v>0.39652777777777776</v>
      </c>
      <c r="H5" s="12">
        <v>0.5111111111111111</v>
      </c>
      <c r="I5" s="12">
        <v>0.5944444444444444</v>
      </c>
      <c r="J5" s="12">
        <v>0.65</v>
      </c>
      <c r="K5" s="12">
        <v>0.7055555555555556</v>
      </c>
      <c r="L5" s="12">
        <v>0.7506944444444444</v>
      </c>
      <c r="M5" s="12">
        <v>0.7854166666666667</v>
      </c>
      <c r="N5" s="12"/>
      <c r="O5" s="12"/>
      <c r="P5" s="12"/>
      <c r="Q5" s="12"/>
      <c r="R5" s="12"/>
      <c r="S5" s="12"/>
      <c r="T5" s="12"/>
    </row>
    <row r="6">
      <c r="A6" s="1" t="s">
        <v>79</v>
      </c>
      <c r="B6" s="15"/>
      <c r="C6" s="12">
        <v>0.22083333333333333</v>
      </c>
      <c r="D6" s="12">
        <v>0.2520833333333333</v>
      </c>
      <c r="E6" s="12">
        <v>0.3055555555555556</v>
      </c>
      <c r="F6" s="12">
        <v>0.3458333333333333</v>
      </c>
      <c r="G6" s="12">
        <v>0.39791666666666664</v>
      </c>
      <c r="H6" s="12">
        <v>0.5125</v>
      </c>
      <c r="I6" s="12">
        <v>0.5958333333333333</v>
      </c>
      <c r="J6" s="12">
        <v>0.6513888888888889</v>
      </c>
      <c r="K6" s="12">
        <v>0.7069444444444445</v>
      </c>
      <c r="L6" s="12">
        <v>0.7520833333333333</v>
      </c>
      <c r="M6" s="12">
        <v>0.7868055555555555</v>
      </c>
      <c r="N6" s="12"/>
      <c r="O6" s="12"/>
      <c r="P6" s="12"/>
      <c r="Q6" s="12"/>
      <c r="R6" s="12"/>
      <c r="S6" s="12"/>
      <c r="T6" s="12"/>
    </row>
    <row r="7">
      <c r="A7" s="1" t="s">
        <v>77</v>
      </c>
      <c r="B7" s="14"/>
      <c r="C7" s="12">
        <v>0.2222222222222222</v>
      </c>
      <c r="D7" s="12">
        <v>0.2534722222222222</v>
      </c>
      <c r="E7" s="12">
        <v>0.30694444444444446</v>
      </c>
      <c r="F7" s="12">
        <v>0.3472222222222222</v>
      </c>
      <c r="G7" s="12">
        <v>0.3993055555555556</v>
      </c>
      <c r="H7" s="12">
        <v>0.5138888888888888</v>
      </c>
      <c r="I7" s="12">
        <v>0.5972222222222222</v>
      </c>
      <c r="J7" s="12">
        <v>0.6527777777777778</v>
      </c>
      <c r="K7" s="12">
        <v>0.7083333333333334</v>
      </c>
      <c r="L7" s="12">
        <v>0.7534722222222222</v>
      </c>
      <c r="M7" s="12">
        <v>0.7881944444444444</v>
      </c>
      <c r="N7" s="12"/>
      <c r="O7" s="12"/>
      <c r="P7" s="12"/>
      <c r="Q7" s="12"/>
      <c r="R7" s="12"/>
      <c r="S7" s="12"/>
      <c r="T7" s="12"/>
    </row>
    <row r="8">
      <c r="A8" s="1" t="s">
        <v>75</v>
      </c>
      <c r="B8" s="14"/>
      <c r="C8" s="12">
        <v>0.22430555555555556</v>
      </c>
      <c r="D8" s="12">
        <v>0.25555555555555554</v>
      </c>
      <c r="E8" s="12">
        <v>0.3090277777777778</v>
      </c>
      <c r="F8" s="12">
        <v>0.34930555555555554</v>
      </c>
      <c r="G8" s="12">
        <v>0.4013888888888889</v>
      </c>
      <c r="H8" s="12">
        <v>0.5159722222222223</v>
      </c>
      <c r="I8" s="12">
        <v>0.5993055555555555</v>
      </c>
      <c r="J8" s="12">
        <v>0.6548611111111111</v>
      </c>
      <c r="K8" s="12">
        <v>0.7104166666666667</v>
      </c>
      <c r="L8" s="12">
        <v>0.7555555555555555</v>
      </c>
      <c r="M8" s="12">
        <v>0.7902777777777777</v>
      </c>
      <c r="N8" s="12"/>
      <c r="O8" s="12"/>
      <c r="P8" s="12"/>
      <c r="Q8" s="12"/>
      <c r="R8" s="12"/>
      <c r="S8" s="12"/>
      <c r="T8" s="12"/>
    </row>
    <row r="9">
      <c r="A9" s="1" t="s">
        <v>73</v>
      </c>
      <c r="B9" s="14"/>
      <c r="C9" s="12">
        <v>0.2263888888888889</v>
      </c>
      <c r="D9" s="12">
        <v>0.25763888888888886</v>
      </c>
      <c r="E9" s="12">
        <v>0.3111111111111111</v>
      </c>
      <c r="F9" s="12">
        <v>0.35138888888888886</v>
      </c>
      <c r="G9" s="12">
        <v>0.40347222222222223</v>
      </c>
      <c r="H9" s="12">
        <v>0.5180555555555556</v>
      </c>
      <c r="I9" s="12">
        <v>0.6013888888888889</v>
      </c>
      <c r="J9" s="12">
        <v>0.6569444444444444</v>
      </c>
      <c r="K9" s="12">
        <v>0.7125</v>
      </c>
      <c r="L9" s="12">
        <v>0.7576388888888889</v>
      </c>
      <c r="M9" s="12">
        <v>0.7923611111111111</v>
      </c>
      <c r="N9" s="12"/>
      <c r="O9" s="12"/>
      <c r="P9" s="12"/>
      <c r="Q9" s="12"/>
      <c r="R9" s="12"/>
      <c r="S9" s="12"/>
      <c r="T9" s="12"/>
    </row>
    <row r="10">
      <c r="A10" s="1" t="s">
        <v>71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69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67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65</v>
      </c>
      <c r="B13" s="14"/>
      <c r="C13" s="12">
        <v>0.23055555555555557</v>
      </c>
      <c r="D13" s="12">
        <v>0.26180555555555557</v>
      </c>
      <c r="E13" s="12">
        <v>0.31527777777777777</v>
      </c>
      <c r="F13" s="12">
        <v>0.35555555555555557</v>
      </c>
      <c r="G13" s="12">
        <v>0.4076388888888889</v>
      </c>
      <c r="H13" s="12">
        <v>0.5222222222222223</v>
      </c>
      <c r="I13" s="12">
        <v>0.6055555555555555</v>
      </c>
      <c r="J13" s="12">
        <v>0.6611111111111111</v>
      </c>
      <c r="K13" s="12">
        <v>0.7166666666666667</v>
      </c>
      <c r="L13" s="12">
        <v>0.7618055555555555</v>
      </c>
      <c r="M13" s="12">
        <v>0.7965277777777777</v>
      </c>
      <c r="N13" s="12"/>
      <c r="O13" s="12"/>
      <c r="P13" s="12"/>
      <c r="Q13" s="12"/>
      <c r="R13" s="12"/>
      <c r="S13" s="12"/>
      <c r="T13" s="12"/>
    </row>
    <row r="14">
      <c r="A14" s="4" t="s">
        <v>63</v>
      </c>
      <c r="B14" s="14"/>
      <c r="C14" s="12">
        <v>0.23194444444444445</v>
      </c>
      <c r="D14" s="12">
        <v>0.26319444444444445</v>
      </c>
      <c r="E14" s="12">
        <v>0.31666666666666665</v>
      </c>
      <c r="F14" s="12">
        <v>0.35694444444444445</v>
      </c>
      <c r="G14" s="12">
        <v>0.40902777777777777</v>
      </c>
      <c r="H14" s="12">
        <v>0.5236111111111111</v>
      </c>
      <c r="I14" s="12">
        <v>0.6069444444444444</v>
      </c>
      <c r="J14" s="12">
        <v>0.6625</v>
      </c>
      <c r="K14" s="12">
        <v>0.7180555555555556</v>
      </c>
      <c r="L14" s="20">
        <v>0.7631944444444444</v>
      </c>
      <c r="M14" s="20">
        <v>0.7979166666666667</v>
      </c>
    </row>
    <row r="15">
      <c r="A15" s="1" t="s">
        <v>87</v>
      </c>
      <c r="B15" s="14"/>
      <c r="C15" s="12">
        <v>0.23333333333333334</v>
      </c>
      <c r="D15" s="12">
        <v>0.26458333333333334</v>
      </c>
      <c r="E15" s="12">
        <v>0.31805555555555554</v>
      </c>
      <c r="F15" s="12">
        <v>0.35833333333333334</v>
      </c>
      <c r="G15" s="12">
        <v>0.41041666666666665</v>
      </c>
      <c r="H15" s="12">
        <v>0.525</v>
      </c>
      <c r="I15" s="12">
        <v>0.6083333333333333</v>
      </c>
      <c r="J15" s="12">
        <v>0.6638888888888889</v>
      </c>
      <c r="K15" s="12">
        <v>0.7194444444444444</v>
      </c>
      <c r="L15" s="20">
        <v>0.7645833333333333</v>
      </c>
      <c r="M15" s="20">
        <v>0.7993055555555556</v>
      </c>
    </row>
    <row r="16">
      <c r="A16" s="4" t="s">
        <v>89</v>
      </c>
      <c r="B16" s="14"/>
      <c r="C16" s="12">
        <v>0.23402777777777778</v>
      </c>
      <c r="D16" s="12">
        <v>0.2652777777777778</v>
      </c>
      <c r="E16" s="12">
        <v>0.31875</v>
      </c>
      <c r="F16" s="12">
        <v>0.3590277777777778</v>
      </c>
      <c r="G16" s="12">
        <v>0.4111111111111111</v>
      </c>
      <c r="H16" s="12">
        <v>0.5256944444444445</v>
      </c>
      <c r="I16" s="12">
        <v>0.6090277777777777</v>
      </c>
      <c r="J16" s="12">
        <v>0.6645833333333333</v>
      </c>
      <c r="K16" s="12">
        <v>0.7201388888888889</v>
      </c>
      <c r="L16" s="12">
        <v>0.7652777777777777</v>
      </c>
      <c r="M16" s="12">
        <v>0.8</v>
      </c>
      <c r="N16" s="12"/>
      <c r="O16" s="12"/>
      <c r="P16" s="12"/>
      <c r="Q16" s="12"/>
      <c r="R16" s="12"/>
      <c r="S16" s="12"/>
      <c r="T16" s="12"/>
    </row>
    <row r="17">
      <c r="A17" s="4" t="s">
        <v>61</v>
      </c>
      <c r="B17" s="15"/>
      <c r="C17" s="12">
        <v>0.23680555555555555</v>
      </c>
      <c r="D17" s="12">
        <v>0.26805555555555555</v>
      </c>
      <c r="E17" s="12">
        <v>0.3215277777777778</v>
      </c>
      <c r="F17" s="12">
        <v>0.36180555555555555</v>
      </c>
      <c r="G17" s="12">
        <v>0.41388888888888886</v>
      </c>
      <c r="H17" s="12">
        <v>0.5284722222222222</v>
      </c>
      <c r="I17" s="12">
        <v>0.6118055555555556</v>
      </c>
      <c r="J17" s="12">
        <v>0.6673611111111111</v>
      </c>
      <c r="K17" s="12">
        <v>0.7229166666666667</v>
      </c>
      <c r="L17" s="12">
        <v>0.7680555555555556</v>
      </c>
      <c r="M17" s="12">
        <v>0.8027777777777778</v>
      </c>
      <c r="N17" s="12"/>
      <c r="O17" s="12"/>
      <c r="P17" s="12"/>
      <c r="Q17" s="12"/>
      <c r="R17" s="12"/>
      <c r="S17" s="12"/>
      <c r="T17" s="12"/>
    </row>
    <row r="18">
      <c r="A18" s="4" t="s">
        <v>59</v>
      </c>
      <c r="B18" s="14"/>
      <c r="C18" s="12">
        <v>0.24097222222222223</v>
      </c>
      <c r="D18" s="12">
        <v>0.2722222222222222</v>
      </c>
      <c r="E18" s="12">
        <v>0.32569444444444445</v>
      </c>
      <c r="F18" s="12">
        <v>0.3659722222222222</v>
      </c>
      <c r="G18" s="12">
        <v>0.41805555555555557</v>
      </c>
      <c r="H18" s="12">
        <v>0.5326388888888889</v>
      </c>
      <c r="I18" s="12">
        <v>0.6159722222222223</v>
      </c>
      <c r="J18" s="12">
        <v>0.6715277777777777</v>
      </c>
      <c r="K18" s="12">
        <v>0.7270833333333333</v>
      </c>
      <c r="L18" s="12">
        <v>0.7722222222222223</v>
      </c>
      <c r="M18" s="12">
        <v>0.8069444444444445</v>
      </c>
      <c r="N18" s="12"/>
      <c r="O18" s="12"/>
      <c r="P18" s="12"/>
      <c r="Q18" s="12"/>
      <c r="R18" s="12"/>
      <c r="S18" s="12"/>
      <c r="T18" s="12"/>
    </row>
    <row r="19">
      <c r="A19" s="4" t="s">
        <v>57</v>
      </c>
      <c r="B19" s="14"/>
      <c r="C19" s="12">
        <v>0.24444444444444444</v>
      </c>
      <c r="D19" s="12">
        <v>0.27569444444444446</v>
      </c>
      <c r="E19" s="12">
        <v>0.32916666666666666</v>
      </c>
      <c r="F19" s="12">
        <v>0.36944444444444446</v>
      </c>
      <c r="G19" s="12">
        <v>0.4215277777777778</v>
      </c>
      <c r="H19" s="12">
        <v>0.5361111111111111</v>
      </c>
      <c r="I19" s="12">
        <v>0.6194444444444445</v>
      </c>
      <c r="J19" s="12">
        <v>0.675</v>
      </c>
      <c r="K19" s="12">
        <v>0.7305555555555555</v>
      </c>
      <c r="L19" s="12">
        <v>0.7756944444444445</v>
      </c>
      <c r="M19" s="12">
        <v>0.8104166666666667</v>
      </c>
      <c r="N19" s="12"/>
      <c r="O19" s="12"/>
      <c r="P19" s="12"/>
      <c r="Q19" s="12"/>
      <c r="R19" s="12"/>
      <c r="S19" s="12"/>
      <c r="T19" s="12"/>
    </row>
    <row r="20">
      <c r="A20" s="87" t="s">
        <v>55</v>
      </c>
      <c r="B20" s="17"/>
      <c r="C20" s="17">
        <v>0.24583333333333332</v>
      </c>
      <c r="D20" s="17">
        <v>0.27708333333333335</v>
      </c>
      <c r="E20" s="17">
        <v>0.33055555555555555</v>
      </c>
      <c r="F20" s="17">
        <v>0.37083333333333335</v>
      </c>
      <c r="G20" s="17">
        <v>0.42291666666666666</v>
      </c>
      <c r="H20" s="17">
        <v>0.5375</v>
      </c>
      <c r="I20" s="17">
        <v>0.6208333333333333</v>
      </c>
      <c r="J20" s="17">
        <v>0.6763888888888889</v>
      </c>
      <c r="K20" s="17">
        <v>0.7319444444444444</v>
      </c>
      <c r="L20" s="17">
        <v>0.7770833333333333</v>
      </c>
      <c r="M20" s="17">
        <v>0.8118055555555556</v>
      </c>
      <c r="N20" s="16"/>
      <c r="O20" s="16"/>
      <c r="P20" s="16"/>
      <c r="Q20" s="16"/>
      <c r="R20" s="16"/>
      <c r="S20" s="16"/>
      <c r="T20" s="16"/>
    </row>
    <row r="21">
      <c r="A21" s="16" t="s">
        <v>53</v>
      </c>
      <c r="B21" s="17"/>
      <c r="C21" s="17">
        <v>0.24791666666666667</v>
      </c>
      <c r="D21" s="17">
        <v>0.2791666666666667</v>
      </c>
      <c r="E21" s="17">
        <v>0.3326388888888889</v>
      </c>
      <c r="F21" s="17">
        <v>0.3729166666666667</v>
      </c>
      <c r="G21" s="17">
        <v>0.425</v>
      </c>
      <c r="H21" s="17">
        <v>0.5395833333333333</v>
      </c>
      <c r="I21" s="17">
        <v>0.6229166666666667</v>
      </c>
      <c r="J21" s="17">
        <v>0.6784722222222223</v>
      </c>
      <c r="K21" s="17">
        <v>0.7340277777777777</v>
      </c>
      <c r="L21" s="17">
        <v>0.7791666666666667</v>
      </c>
      <c r="M21" s="17">
        <v>0.8138888888888889</v>
      </c>
      <c r="N21" s="17"/>
      <c r="O21" s="17"/>
      <c r="P21" s="17"/>
      <c r="Q21" s="17"/>
      <c r="R21" s="17"/>
      <c r="S21" s="17"/>
      <c r="T21" s="17"/>
    </row>
    <row r="22">
      <c r="A22" s="18" t="s">
        <v>51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49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47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45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43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41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39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37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">
        <v>35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">
        <v>33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">
        <v>31</v>
      </c>
      <c r="B32" s="19"/>
      <c r="C32" s="17"/>
      <c r="D32" s="17"/>
      <c r="E32" s="17"/>
      <c r="F32" s="17"/>
      <c r="G32" s="17"/>
      <c r="H32" s="17"/>
      <c r="I32" s="17"/>
      <c r="J32" s="17"/>
      <c r="K32" s="12"/>
      <c r="L32" s="12"/>
      <c r="M32" s="12"/>
    </row>
    <row r="33">
      <c r="A33" s="87" t="s">
        <v>29</v>
      </c>
      <c r="B33" s="20"/>
      <c r="C33" s="17"/>
      <c r="D33" s="17"/>
      <c r="E33" s="17"/>
      <c r="F33" s="17"/>
      <c r="G33" s="17"/>
      <c r="H33" s="17"/>
      <c r="I33" s="17"/>
      <c r="J33" s="17"/>
      <c r="K33" s="12"/>
      <c r="L33" s="12"/>
      <c r="M33" s="12"/>
    </row>
    <row r="34">
      <c r="A34" s="87" t="s">
        <v>27</v>
      </c>
      <c r="B34" s="20"/>
      <c r="C34" s="17"/>
      <c r="D34" s="17"/>
      <c r="E34" s="17"/>
      <c r="F34" s="17"/>
      <c r="G34" s="17"/>
      <c r="H34" s="17"/>
      <c r="I34" s="17"/>
      <c r="J34" s="17"/>
      <c r="K34" s="12"/>
      <c r="L34" s="12"/>
      <c r="M34" s="12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>
        <v>9516.0</v>
      </c>
      <c r="L2" s="5">
        <v>9518.0</v>
      </c>
      <c r="M2" s="5">
        <v>9520.0</v>
      </c>
      <c r="N2" s="5">
        <v>9522.0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27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29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31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33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35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37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39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41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43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45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47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">
        <v>49</v>
      </c>
      <c r="B14" s="91"/>
      <c r="C14" s="12"/>
      <c r="D14" s="12"/>
      <c r="E14" s="12"/>
      <c r="F14" s="12"/>
      <c r="G14" s="12"/>
      <c r="H14" s="12"/>
      <c r="I14" s="12"/>
      <c r="J14" s="12"/>
      <c r="K14" s="12"/>
      <c r="N14" s="20"/>
    </row>
    <row r="15">
      <c r="A15" s="1" t="s">
        <v>51</v>
      </c>
      <c r="B15" s="91"/>
      <c r="C15" s="12"/>
      <c r="D15" s="12"/>
      <c r="E15" s="12"/>
      <c r="F15" s="12"/>
      <c r="G15" s="12"/>
      <c r="H15" s="12"/>
      <c r="I15" s="12"/>
      <c r="J15" s="12"/>
      <c r="K15" s="12"/>
      <c r="N15" s="20"/>
    </row>
    <row r="16">
      <c r="A16" s="4" t="s">
        <v>53</v>
      </c>
      <c r="B16" s="13"/>
      <c r="C16" s="12">
        <v>0.2013888888888889</v>
      </c>
      <c r="D16" s="12">
        <v>0.2569444444444444</v>
      </c>
      <c r="E16" s="12">
        <v>0.2881944444444444</v>
      </c>
      <c r="F16" s="12">
        <v>0.3402777777777778</v>
      </c>
      <c r="G16" s="12">
        <v>0.3888888888888889</v>
      </c>
      <c r="H16" s="12">
        <v>0.4583333333333333</v>
      </c>
      <c r="I16" s="12">
        <v>0.5486111111111112</v>
      </c>
      <c r="J16" s="12">
        <v>0.6319444444444444</v>
      </c>
      <c r="K16" s="12">
        <v>0.6888888888888889</v>
      </c>
      <c r="L16" s="12">
        <v>0.7402777777777778</v>
      </c>
      <c r="M16" s="12">
        <v>0.7861111111111111</v>
      </c>
      <c r="N16" s="12">
        <v>0.8298611111111112</v>
      </c>
      <c r="O16" s="12"/>
      <c r="P16" s="12"/>
      <c r="Q16" s="12"/>
      <c r="R16" s="12"/>
      <c r="S16" s="12"/>
      <c r="T16" s="12"/>
    </row>
    <row r="17">
      <c r="A17" s="4" t="s">
        <v>55</v>
      </c>
      <c r="B17" s="15"/>
      <c r="C17" s="12">
        <v>0.20347222222222222</v>
      </c>
      <c r="D17" s="12">
        <v>0.2590277777777778</v>
      </c>
      <c r="E17" s="12">
        <v>0.2902777777777778</v>
      </c>
      <c r="F17" s="12">
        <v>0.3423611111111111</v>
      </c>
      <c r="G17" s="12">
        <v>0.3909722222222222</v>
      </c>
      <c r="H17" s="12">
        <v>0.46041666666666664</v>
      </c>
      <c r="I17" s="12">
        <v>0.5506944444444445</v>
      </c>
      <c r="J17" s="12">
        <v>0.6340277777777777</v>
      </c>
      <c r="K17" s="12">
        <v>0.6909722222222222</v>
      </c>
      <c r="L17" s="12">
        <v>0.7423611111111111</v>
      </c>
      <c r="M17" s="12">
        <v>0.7881944444444444</v>
      </c>
      <c r="N17" s="12">
        <v>0.8319444444444445</v>
      </c>
      <c r="O17" s="12"/>
      <c r="P17" s="12"/>
      <c r="Q17" s="12"/>
      <c r="R17" s="12"/>
      <c r="S17" s="12"/>
      <c r="T17" s="12"/>
    </row>
    <row r="18">
      <c r="A18" s="4" t="s">
        <v>57</v>
      </c>
      <c r="B18" s="13"/>
      <c r="C18" s="12">
        <v>0.2048611111111111</v>
      </c>
      <c r="D18" s="12">
        <v>0.2604166666666667</v>
      </c>
      <c r="E18" s="12">
        <v>0.2916666666666667</v>
      </c>
      <c r="F18" s="12">
        <v>0.34375</v>
      </c>
      <c r="G18" s="12">
        <v>0.3923611111111111</v>
      </c>
      <c r="H18" s="12">
        <v>0.4618055555555556</v>
      </c>
      <c r="I18" s="12">
        <v>0.5520833333333334</v>
      </c>
      <c r="J18" s="12">
        <v>0.6354166666666666</v>
      </c>
      <c r="K18" s="12">
        <v>0.6923611111111111</v>
      </c>
      <c r="L18" s="12">
        <v>0.74375</v>
      </c>
      <c r="M18" s="12">
        <v>0.7895833333333333</v>
      </c>
      <c r="N18" s="12">
        <v>0.8333333333333334</v>
      </c>
      <c r="O18" s="12"/>
      <c r="P18" s="12"/>
      <c r="Q18" s="12"/>
      <c r="R18" s="12"/>
      <c r="S18" s="12"/>
      <c r="T18" s="12"/>
    </row>
    <row r="19">
      <c r="A19" s="4" t="s">
        <v>59</v>
      </c>
      <c r="B19" s="91"/>
      <c r="C19" s="12">
        <v>0.20833333333333334</v>
      </c>
      <c r="D19" s="12">
        <v>0.2638888888888889</v>
      </c>
      <c r="E19" s="12">
        <v>0.2951388888888889</v>
      </c>
      <c r="F19" s="12">
        <v>0.3472222222222222</v>
      </c>
      <c r="G19" s="12">
        <v>0.3958333333333333</v>
      </c>
      <c r="H19" s="12">
        <v>0.4652777777777778</v>
      </c>
      <c r="I19" s="12">
        <v>0.5555555555555556</v>
      </c>
      <c r="J19" s="12">
        <v>0.6388888888888888</v>
      </c>
      <c r="K19" s="12">
        <v>0.6958333333333333</v>
      </c>
      <c r="L19" s="12">
        <v>0.7472222222222222</v>
      </c>
      <c r="M19" s="12">
        <v>0.7930555555555555</v>
      </c>
      <c r="N19" s="12">
        <v>0.8368055555555556</v>
      </c>
      <c r="O19" s="12"/>
      <c r="P19" s="12"/>
      <c r="Q19" s="12"/>
      <c r="R19" s="12"/>
      <c r="S19" s="12"/>
      <c r="T19" s="12"/>
    </row>
    <row r="20">
      <c r="A20" s="87" t="s">
        <v>61</v>
      </c>
      <c r="B20" s="19"/>
      <c r="C20" s="17">
        <v>0.2111111111111111</v>
      </c>
      <c r="D20" s="17">
        <v>0.26666666666666666</v>
      </c>
      <c r="E20" s="17">
        <v>0.29791666666666666</v>
      </c>
      <c r="F20" s="17">
        <v>0.35</v>
      </c>
      <c r="G20" s="17">
        <v>0.39861111111111114</v>
      </c>
      <c r="H20" s="17">
        <v>0.46805555555555556</v>
      </c>
      <c r="I20" s="17">
        <v>0.5583333333333333</v>
      </c>
      <c r="J20" s="17">
        <v>0.6416666666666667</v>
      </c>
      <c r="K20" s="17">
        <v>0.6986111111111111</v>
      </c>
      <c r="L20" s="17">
        <v>0.75</v>
      </c>
      <c r="M20" s="17">
        <v>0.7958333333333333</v>
      </c>
      <c r="N20" s="17">
        <v>0.8395833333333333</v>
      </c>
      <c r="O20" s="16"/>
      <c r="P20" s="16"/>
      <c r="Q20" s="16"/>
      <c r="R20" s="16"/>
      <c r="S20" s="16"/>
      <c r="T20" s="16"/>
    </row>
    <row r="21">
      <c r="A21" s="16" t="s">
        <v>63</v>
      </c>
      <c r="B21" s="19"/>
      <c r="C21" s="17">
        <v>0.2152777777777778</v>
      </c>
      <c r="D21" s="17">
        <v>0.2708333333333333</v>
      </c>
      <c r="E21" s="17">
        <v>0.3020833333333333</v>
      </c>
      <c r="F21" s="17">
        <v>0.3541666666666667</v>
      </c>
      <c r="G21" s="17">
        <v>0.4027777777777778</v>
      </c>
      <c r="H21" s="17">
        <v>0.4722222222222222</v>
      </c>
      <c r="I21" s="17">
        <v>0.5625</v>
      </c>
      <c r="J21" s="17">
        <v>0.6458333333333334</v>
      </c>
      <c r="K21" s="17">
        <v>0.7027777777777777</v>
      </c>
      <c r="L21" s="17">
        <v>0.7541666666666667</v>
      </c>
      <c r="M21" s="17">
        <v>0.8</v>
      </c>
      <c r="N21" s="17">
        <v>0.84375</v>
      </c>
      <c r="O21" s="17"/>
      <c r="P21" s="17"/>
      <c r="Q21" s="17"/>
      <c r="R21" s="17"/>
      <c r="S21" s="17"/>
      <c r="T21" s="17"/>
    </row>
    <row r="22">
      <c r="A22" s="18" t="s">
        <v>65</v>
      </c>
      <c r="B22" s="19"/>
      <c r="C22" s="17">
        <v>0.21736111111111112</v>
      </c>
      <c r="D22" s="17">
        <v>0.27291666666666664</v>
      </c>
      <c r="E22" s="17">
        <v>0.30416666666666664</v>
      </c>
      <c r="F22" s="17">
        <v>0.35625</v>
      </c>
      <c r="G22" s="17">
        <v>0.4048611111111111</v>
      </c>
      <c r="H22" s="17">
        <v>0.47430555555555554</v>
      </c>
      <c r="I22" s="17">
        <v>0.5645833333333333</v>
      </c>
      <c r="J22" s="17">
        <v>0.6479166666666667</v>
      </c>
      <c r="K22" s="17">
        <v>0.7048611111111112</v>
      </c>
      <c r="L22" s="17">
        <v>0.75625</v>
      </c>
      <c r="M22" s="17">
        <v>0.8020833333333334</v>
      </c>
      <c r="N22" s="17">
        <v>0.8458333333333333</v>
      </c>
      <c r="O22" s="17"/>
      <c r="P22" s="17"/>
      <c r="Q22" s="17"/>
      <c r="R22" s="17"/>
      <c r="S22" s="17"/>
      <c r="T22" s="17"/>
    </row>
    <row r="23">
      <c r="A23" s="18" t="s">
        <v>67</v>
      </c>
      <c r="B23" s="19"/>
      <c r="C23" s="17"/>
      <c r="D23" s="17"/>
      <c r="E23" s="17"/>
      <c r="F23" s="17">
        <v>0.3597222222222222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69</v>
      </c>
      <c r="B24" s="19"/>
      <c r="C24" s="17"/>
      <c r="D24" s="17"/>
      <c r="E24" s="17"/>
      <c r="F24" s="17">
        <v>0.3659722222222222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71</v>
      </c>
      <c r="B25" s="19"/>
      <c r="C25" s="17"/>
      <c r="D25" s="17"/>
      <c r="E25" s="17"/>
      <c r="F25" s="17">
        <v>0.37430555555555556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73</v>
      </c>
      <c r="B26" s="19"/>
      <c r="C26" s="17">
        <v>0.21944444444444444</v>
      </c>
      <c r="D26" s="17">
        <v>0.275</v>
      </c>
      <c r="E26" s="17">
        <v>0.30625</v>
      </c>
      <c r="F26" s="17"/>
      <c r="G26" s="17">
        <v>0.40694444444444444</v>
      </c>
      <c r="H26" s="17">
        <v>0.47638888888888886</v>
      </c>
      <c r="I26" s="17">
        <v>0.5666666666666667</v>
      </c>
      <c r="J26" s="17">
        <v>0.65</v>
      </c>
      <c r="K26" s="17">
        <v>0.7069444444444445</v>
      </c>
      <c r="L26" s="17">
        <v>0.7583333333333333</v>
      </c>
      <c r="M26" s="17">
        <v>0.8041666666666667</v>
      </c>
      <c r="N26" s="17">
        <v>0.8479166666666667</v>
      </c>
      <c r="O26" s="17"/>
      <c r="P26" s="17"/>
      <c r="Q26" s="17"/>
      <c r="R26" s="17"/>
      <c r="S26" s="17"/>
      <c r="T26" s="17"/>
    </row>
    <row r="27">
      <c r="A27" s="18" t="s">
        <v>75</v>
      </c>
      <c r="B27" s="19"/>
      <c r="C27" s="17">
        <v>0.22083333333333333</v>
      </c>
      <c r="D27" s="17">
        <v>0.2763888888888889</v>
      </c>
      <c r="E27" s="17">
        <v>0.3076388888888889</v>
      </c>
      <c r="F27" s="17"/>
      <c r="G27" s="17">
        <v>0.4083333333333333</v>
      </c>
      <c r="H27" s="17">
        <v>0.4777777777777778</v>
      </c>
      <c r="I27" s="17">
        <v>0.5680555555555555</v>
      </c>
      <c r="J27" s="17">
        <v>0.6513888888888889</v>
      </c>
      <c r="K27" s="17">
        <v>0.7083333333333334</v>
      </c>
      <c r="L27" s="17">
        <v>0.7597222222222222</v>
      </c>
      <c r="M27" s="17">
        <v>0.8055555555555556</v>
      </c>
      <c r="N27" s="17">
        <v>0.8493055555555555</v>
      </c>
      <c r="O27" s="17"/>
      <c r="P27" s="17"/>
      <c r="Q27" s="17"/>
      <c r="R27" s="17"/>
      <c r="S27" s="17"/>
      <c r="T27" s="17"/>
    </row>
    <row r="28">
      <c r="A28" s="18" t="s">
        <v>77</v>
      </c>
      <c r="B28" s="19"/>
      <c r="C28" s="17">
        <v>0.22291666666666668</v>
      </c>
      <c r="D28" s="17">
        <v>0.27847222222222223</v>
      </c>
      <c r="E28" s="17">
        <v>0.30972222222222223</v>
      </c>
      <c r="F28" s="17"/>
      <c r="G28" s="17">
        <v>0.41041666666666665</v>
      </c>
      <c r="H28" s="17">
        <v>0.4798611111111111</v>
      </c>
      <c r="I28" s="17">
        <v>0.5701388888888889</v>
      </c>
      <c r="J28" s="17">
        <v>0.6534722222222222</v>
      </c>
      <c r="K28" s="17">
        <v>0.7104166666666667</v>
      </c>
      <c r="L28" s="17">
        <v>0.7618055555555555</v>
      </c>
      <c r="M28" s="17">
        <v>0.8076388888888889</v>
      </c>
      <c r="N28" s="17">
        <v>0.8513888888888889</v>
      </c>
      <c r="O28" s="17"/>
      <c r="P28" s="17"/>
      <c r="Q28" s="17"/>
      <c r="R28" s="17"/>
      <c r="S28" s="17"/>
      <c r="T28" s="17"/>
    </row>
    <row r="29">
      <c r="A29" s="18" t="s">
        <v>79</v>
      </c>
      <c r="B29" s="19"/>
      <c r="C29" s="17">
        <v>0.225</v>
      </c>
      <c r="D29" s="17">
        <v>0.28055555555555556</v>
      </c>
      <c r="E29" s="17">
        <v>0.31180555555555556</v>
      </c>
      <c r="F29" s="17"/>
      <c r="G29" s="17">
        <v>0.4125</v>
      </c>
      <c r="H29" s="17">
        <v>0.48194444444444445</v>
      </c>
      <c r="I29" s="17">
        <v>0.5722222222222222</v>
      </c>
      <c r="J29" s="17">
        <v>0.6555555555555556</v>
      </c>
      <c r="K29" s="17">
        <v>0.7125</v>
      </c>
      <c r="L29" s="17">
        <v>0.7638888888888888</v>
      </c>
      <c r="M29" s="17">
        <v>0.8097222222222222</v>
      </c>
      <c r="N29" s="17">
        <v>0.8534722222222222</v>
      </c>
      <c r="O29" s="17"/>
      <c r="P29" s="17"/>
      <c r="Q29" s="17"/>
      <c r="R29" s="17"/>
      <c r="S29" s="17"/>
      <c r="T29" s="17"/>
    </row>
    <row r="30">
      <c r="A30" s="18" t="s">
        <v>81</v>
      </c>
      <c r="B30" s="19"/>
      <c r="C30" s="17">
        <v>0.22708333333333333</v>
      </c>
      <c r="D30" s="17">
        <v>0.2826388888888889</v>
      </c>
      <c r="E30" s="17">
        <v>0.3138888888888889</v>
      </c>
      <c r="F30" s="17"/>
      <c r="G30" s="17">
        <v>0.41458333333333336</v>
      </c>
      <c r="H30" s="17">
        <v>0.4840277777777778</v>
      </c>
      <c r="I30" s="17">
        <v>0.5743055555555555</v>
      </c>
      <c r="J30" s="17">
        <v>0.6576388888888889</v>
      </c>
      <c r="K30" s="17">
        <v>0.7145833333333333</v>
      </c>
      <c r="L30" s="17">
        <v>0.7659722222222223</v>
      </c>
      <c r="M30" s="17">
        <v>0.8118055555555556</v>
      </c>
      <c r="N30" s="17">
        <v>0.8555555555555555</v>
      </c>
      <c r="O30" s="17"/>
      <c r="P30" s="17"/>
      <c r="Q30" s="17"/>
      <c r="R30" s="17"/>
      <c r="S30" s="17"/>
      <c r="T30" s="17"/>
    </row>
    <row r="31">
      <c r="A31" s="18" t="s">
        <v>83</v>
      </c>
      <c r="B31" s="19"/>
      <c r="C31" s="17">
        <v>0.23055555555555557</v>
      </c>
      <c r="D31" s="17">
        <v>0.2861111111111111</v>
      </c>
      <c r="E31" s="17">
        <v>0.3173611111111111</v>
      </c>
      <c r="F31" s="17"/>
      <c r="G31" s="17">
        <v>0.41805555555555557</v>
      </c>
      <c r="H31" s="17">
        <v>0.4875</v>
      </c>
      <c r="I31" s="17">
        <v>0.5777777777777777</v>
      </c>
      <c r="J31" s="17">
        <v>0.6611111111111111</v>
      </c>
      <c r="K31" s="17">
        <v>0.7180555555555556</v>
      </c>
      <c r="L31" s="17">
        <v>0.7694444444444445</v>
      </c>
      <c r="M31" s="17">
        <v>0.8152777777777778</v>
      </c>
      <c r="N31" s="17">
        <v>0.8590277777777777</v>
      </c>
      <c r="O31" s="17"/>
      <c r="P31" s="17"/>
      <c r="Q31" s="17"/>
      <c r="R31" s="17"/>
      <c r="S31" s="17"/>
      <c r="T31" s="17"/>
    </row>
    <row r="32">
      <c r="A32" s="18" t="s">
        <v>85</v>
      </c>
      <c r="B32" s="19"/>
      <c r="C32" s="19">
        <v>0.23472222222222222</v>
      </c>
      <c r="D32" s="19">
        <v>0.2902777777777778</v>
      </c>
      <c r="E32" s="17">
        <v>0.3215277777777778</v>
      </c>
      <c r="F32" s="17">
        <v>0.3819444444444444</v>
      </c>
      <c r="G32" s="17">
        <v>0.4222222222222222</v>
      </c>
      <c r="H32" s="17">
        <v>0.49166666666666664</v>
      </c>
      <c r="I32" s="17">
        <v>0.5819444444444445</v>
      </c>
      <c r="J32" s="17">
        <v>0.6652777777777777</v>
      </c>
      <c r="K32" s="20">
        <v>0.7222222222222222</v>
      </c>
      <c r="L32" s="20">
        <v>0.7736111111111111</v>
      </c>
      <c r="M32" s="20">
        <v>0.8194444444444444</v>
      </c>
      <c r="N32" s="20">
        <v>0.8631944444444445</v>
      </c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IFERROR(__xludf.DUMMYFUNCTION("FILTER('CTCEN-OUT_Weekday'!A:BZ, BYCOL('CTCEN-OUT_Weekday'!A:BZ, LAMBDA(c, OR(COLUMN(c)&lt;=2, INDEX(c, MATCH(""*SAREPTA*"", 'CTCEN-OUT_Weekday'!$A:$A, 0))&lt;&gt;""""))))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IFERROR(__xludf.DUMMYFUNCTION("""COMPUTED_VALUE"""),9001.0)</f>
        <v>9001</v>
      </c>
      <c r="D2" s="5">
        <f>IFERROR(__xludf.DUMMYFUNCTION("""COMPUTED_VALUE"""),9003.0)</f>
        <v>9003</v>
      </c>
      <c r="E2" s="5">
        <f>IFERROR(__xludf.DUMMYFUNCTION("""COMPUTED_VALUE"""),9007.0)</f>
        <v>9007</v>
      </c>
      <c r="F2" s="5">
        <f>IFERROR(__xludf.DUMMYFUNCTION("""COMPUTED_VALUE"""),9005.0)</f>
        <v>9005</v>
      </c>
      <c r="G2" s="5">
        <f>IFERROR(__xludf.DUMMYFUNCTION("""COMPUTED_VALUE"""),9009.0)</f>
        <v>9009</v>
      </c>
      <c r="H2" s="5">
        <f>IFERROR(__xludf.DUMMYFUNCTION("""COMPUTED_VALUE"""),9011.0)</f>
        <v>9011</v>
      </c>
      <c r="I2" s="5">
        <f>IFERROR(__xludf.DUMMYFUNCTION("""COMPUTED_VALUE"""),9013.0)</f>
        <v>9013</v>
      </c>
      <c r="J2" s="5">
        <f>IFERROR(__xludf.DUMMYFUNCTION("""COMPUTED_VALUE"""),9015.0)</f>
        <v>9015</v>
      </c>
      <c r="K2" s="5">
        <f>IFERROR(__xludf.DUMMYFUNCTION("""COMPUTED_VALUE"""),9017.0)</f>
        <v>9017</v>
      </c>
      <c r="L2" s="5">
        <f>IFERROR(__xludf.DUMMYFUNCTION("""COMPUTED_VALUE"""),9019.0)</f>
        <v>9019</v>
      </c>
      <c r="M2" s="5">
        <f>IFERROR(__xludf.DUMMYFUNCTION("""COMPUTED_VALUE"""),9021.0)</f>
        <v>9021</v>
      </c>
      <c r="N2" s="5">
        <f>IFERROR(__xludf.DUMMYFUNCTION("""COMPUTED_VALUE"""),9023.0)</f>
        <v>9023</v>
      </c>
      <c r="O2" s="5">
        <f>IFERROR(__xludf.DUMMYFUNCTION("""COMPUTED_VALUE"""),9025.0)</f>
        <v>9025</v>
      </c>
      <c r="P2" s="5">
        <f>IFERROR(__xludf.DUMMYFUNCTION("""COMPUTED_VALUE"""),9027.0)</f>
        <v>9027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8" t="str">
        <f>IFERROR(__xludf.DUMMYFUNCTION("""COMPUTED_VALUE"""),"-33.92363127060243, 18.42718648501388")</f>
        <v>-33.92363127060243, 18.42718648501388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0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90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90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91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IFERROR(__xludf.DUMMYFUNCTION("""COMPUTED_VALUE"""),"NDABENI")</f>
        <v>NDABENI</v>
      </c>
      <c r="B8" s="91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IFERROR(__xludf.DUMMYFUNCTION("""COMPUTED_VALUE"""),"PINELANDS")</f>
        <v>PINELANDS</v>
      </c>
      <c r="B9" s="91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IFERROR(__xludf.DUMMYFUNCTION("""COMPUTED_VALUE"""),"ESPLANADE")</f>
        <v>ESPLANADE</v>
      </c>
      <c r="B10" s="91" t="str">
        <f>IFERROR(__xludf.DUMMYFUNCTION("""COMPUTED_VALUE"""),"-33.923640784366874, 18.446037955514498")</f>
        <v>-33.923640784366874, 18.446037955514498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IFERROR(__xludf.DUMMYFUNCTION("""COMPUTED_VALUE"""),"YSTERPLAAT")</f>
        <v>YSTERPLAAT</v>
      </c>
      <c r="B11" s="91" t="str">
        <f>IFERROR(__xludf.DUMMYFUNCTION("""COMPUTED_VALUE"""),"-33.9199022523178, 18.476775305514295")</f>
        <v>-33.9199022523178, 18.476775305514295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IFERROR(__xludf.DUMMYFUNCTION("""COMPUTED_VALUE"""),0.2326388888888889)</f>
        <v>0.2326388889</v>
      </c>
      <c r="D12" s="12">
        <f>IFERROR(__xludf.DUMMYFUNCTION("""COMPUTED_VALUE"""),0.2673611111111111)</f>
        <v>0.2673611111</v>
      </c>
      <c r="E12" s="12">
        <f>IFERROR(__xludf.DUMMYFUNCTION("""COMPUTED_VALUE"""),0.2916666666666667)</f>
        <v>0.2916666667</v>
      </c>
      <c r="F12" s="12">
        <f>IFERROR(__xludf.DUMMYFUNCTION("""COMPUTED_VALUE"""),0.3298611111111111)</f>
        <v>0.3298611111</v>
      </c>
      <c r="G12" s="12">
        <f>IFERROR(__xludf.DUMMYFUNCTION("""COMPUTED_VALUE"""),0.3854166666666667)</f>
        <v>0.3854166667</v>
      </c>
      <c r="H12" s="12">
        <f>IFERROR(__xludf.DUMMYFUNCTION("""COMPUTED_VALUE"""),0.40625)</f>
        <v>0.40625</v>
      </c>
      <c r="I12" s="12">
        <f>IFERROR(__xludf.DUMMYFUNCTION("""COMPUTED_VALUE"""),0.4618055555555556)</f>
        <v>0.4618055556</v>
      </c>
      <c r="J12" s="12">
        <f>IFERROR(__xludf.DUMMYFUNCTION("""COMPUTED_VALUE"""),0.5208333333333334)</f>
        <v>0.5208333333</v>
      </c>
      <c r="K12" s="12">
        <f>IFERROR(__xludf.DUMMYFUNCTION("""COMPUTED_VALUE"""),0.5972222222222222)</f>
        <v>0.5972222222</v>
      </c>
      <c r="L12" s="12">
        <f>IFERROR(__xludf.DUMMYFUNCTION("""COMPUTED_VALUE"""),0.6527777777777778)</f>
        <v>0.6527777778</v>
      </c>
      <c r="M12" s="12">
        <f>IFERROR(__xludf.DUMMYFUNCTION("""COMPUTED_VALUE"""),0.7013888888888888)</f>
        <v>0.7013888889</v>
      </c>
      <c r="N12" s="12">
        <f>IFERROR(__xludf.DUMMYFUNCTION("""COMPUTED_VALUE"""),0.7222222222222222)</f>
        <v>0.7222222222</v>
      </c>
      <c r="O12" s="12">
        <f>IFERROR(__xludf.DUMMYFUNCTION("""COMPUTED_VALUE"""),0.7638888888888888)</f>
        <v>0.7638888889</v>
      </c>
      <c r="P12" s="12">
        <f>IFERROR(__xludf.DUMMYFUNCTION("""COMPUTED_VALUE"""),0.7847222222222222)</f>
        <v>0.7847222222</v>
      </c>
      <c r="Q12" s="12"/>
      <c r="R12" s="12"/>
      <c r="S12" s="12"/>
      <c r="T12" s="12"/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IFERROR(__xludf.DUMMYFUNCTION("""COMPUTED_VALUE"""),0.2361111111111111)</f>
        <v>0.2361111111</v>
      </c>
      <c r="D13" s="12">
        <f>IFERROR(__xludf.DUMMYFUNCTION("""COMPUTED_VALUE"""),0.2708333333333333)</f>
        <v>0.2708333333</v>
      </c>
      <c r="E13" s="12">
        <f>IFERROR(__xludf.DUMMYFUNCTION("""COMPUTED_VALUE"""),0.2951388888888889)</f>
        <v>0.2951388889</v>
      </c>
      <c r="F13" s="12">
        <f>IFERROR(__xludf.DUMMYFUNCTION("""COMPUTED_VALUE"""),0.3333333333333333)</f>
        <v>0.3333333333</v>
      </c>
      <c r="G13" s="12">
        <f>IFERROR(__xludf.DUMMYFUNCTION("""COMPUTED_VALUE"""),0.3888888888888889)</f>
        <v>0.3888888889</v>
      </c>
      <c r="H13" s="12">
        <f>IFERROR(__xludf.DUMMYFUNCTION("""COMPUTED_VALUE"""),0.4097222222222222)</f>
        <v>0.4097222222</v>
      </c>
      <c r="I13" s="12">
        <f>IFERROR(__xludf.DUMMYFUNCTION("""COMPUTED_VALUE"""),0.4652777777777778)</f>
        <v>0.4652777778</v>
      </c>
      <c r="J13" s="12">
        <f>IFERROR(__xludf.DUMMYFUNCTION("""COMPUTED_VALUE"""),0.5243055555555556)</f>
        <v>0.5243055556</v>
      </c>
      <c r="K13" s="12">
        <f>IFERROR(__xludf.DUMMYFUNCTION("""COMPUTED_VALUE"""),0.6006944444444444)</f>
        <v>0.6006944444</v>
      </c>
      <c r="L13" s="12">
        <f>IFERROR(__xludf.DUMMYFUNCTION("""COMPUTED_VALUE"""),0.65625)</f>
        <v>0.65625</v>
      </c>
      <c r="M13" s="12">
        <f>IFERROR(__xludf.DUMMYFUNCTION("""COMPUTED_VALUE"""),0.7048611111111112)</f>
        <v>0.7048611111</v>
      </c>
      <c r="N13" s="12">
        <f>IFERROR(__xludf.DUMMYFUNCTION("""COMPUTED_VALUE"""),0.7256944444444444)</f>
        <v>0.7256944444</v>
      </c>
      <c r="O13" s="12">
        <f>IFERROR(__xludf.DUMMYFUNCTION("""COMPUTED_VALUE"""),0.7673611111111112)</f>
        <v>0.7673611111</v>
      </c>
      <c r="P13" s="12">
        <f>IFERROR(__xludf.DUMMYFUNCTION("""COMPUTED_VALUE"""),0.7881944444444444)</f>
        <v>0.7881944444</v>
      </c>
      <c r="Q13" s="12"/>
      <c r="R13" s="12"/>
      <c r="S13" s="12"/>
      <c r="T13" s="12"/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IFERROR(__xludf.DUMMYFUNCTION("""COMPUTED_VALUE"""),0.2375)</f>
        <v>0.2375</v>
      </c>
      <c r="D14" s="12">
        <f>IFERROR(__xludf.DUMMYFUNCTION("""COMPUTED_VALUE"""),0.2722222222222222)</f>
        <v>0.2722222222</v>
      </c>
      <c r="E14" s="12">
        <f>IFERROR(__xludf.DUMMYFUNCTION("""COMPUTED_VALUE"""),0.2965277777777778)</f>
        <v>0.2965277778</v>
      </c>
      <c r="F14" s="12">
        <f>IFERROR(__xludf.DUMMYFUNCTION("""COMPUTED_VALUE"""),0.3347222222222222)</f>
        <v>0.3347222222</v>
      </c>
      <c r="G14" s="12">
        <f>IFERROR(__xludf.DUMMYFUNCTION("""COMPUTED_VALUE"""),0.3902777777777778)</f>
        <v>0.3902777778</v>
      </c>
      <c r="H14" s="12">
        <f>IFERROR(__xludf.DUMMYFUNCTION("""COMPUTED_VALUE"""),0.4111111111111111)</f>
        <v>0.4111111111</v>
      </c>
      <c r="I14" s="12">
        <f>IFERROR(__xludf.DUMMYFUNCTION("""COMPUTED_VALUE"""),0.4666666666666667)</f>
        <v>0.4666666667</v>
      </c>
      <c r="J14" s="12">
        <f>IFERROR(__xludf.DUMMYFUNCTION("""COMPUTED_VALUE"""),0.5256944444444445)</f>
        <v>0.5256944444</v>
      </c>
      <c r="K14" s="12">
        <f>IFERROR(__xludf.DUMMYFUNCTION("""COMPUTED_VALUE"""),0.6020833333333333)</f>
        <v>0.6020833333</v>
      </c>
      <c r="L14" s="20">
        <f>IFERROR(__xludf.DUMMYFUNCTION("""COMPUTED_VALUE"""),0.6576388888888889)</f>
        <v>0.6576388889</v>
      </c>
      <c r="M14" s="20">
        <f>IFERROR(__xludf.DUMMYFUNCTION("""COMPUTED_VALUE"""),0.70625)</f>
        <v>0.70625</v>
      </c>
      <c r="N14" s="20">
        <f>IFERROR(__xludf.DUMMYFUNCTION("""COMPUTED_VALUE"""),0.7270833333333333)</f>
        <v>0.7270833333</v>
      </c>
      <c r="O14" s="20">
        <f>IFERROR(__xludf.DUMMYFUNCTION("""COMPUTED_VALUE"""),0.76875)</f>
        <v>0.76875</v>
      </c>
      <c r="P14" s="20">
        <f>IFERROR(__xludf.DUMMYFUNCTION("""COMPUTED_VALUE"""),0.7895833333333333)</f>
        <v>0.7895833333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7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>
        <f>IFERROR(__xludf.DUMMYFUNCTION("""COMPUTED_VALUE"""),0.23958333333333334)</f>
        <v>0.2395833333</v>
      </c>
      <c r="D29" s="17">
        <f>IFERROR(__xludf.DUMMYFUNCTION("""COMPUTED_VALUE"""),0.2743055555555556)</f>
        <v>0.2743055556</v>
      </c>
      <c r="E29" s="17">
        <f>IFERROR(__xludf.DUMMYFUNCTION("""COMPUTED_VALUE"""),0.2986111111111111)</f>
        <v>0.2986111111</v>
      </c>
      <c r="F29" s="17">
        <f>IFERROR(__xludf.DUMMYFUNCTION("""COMPUTED_VALUE"""),0.3368055555555556)</f>
        <v>0.3368055556</v>
      </c>
      <c r="G29" s="17">
        <f>IFERROR(__xludf.DUMMYFUNCTION("""COMPUTED_VALUE"""),0.3923611111111111)</f>
        <v>0.3923611111</v>
      </c>
      <c r="H29" s="17">
        <f>IFERROR(__xludf.DUMMYFUNCTION("""COMPUTED_VALUE"""),0.4131944444444444)</f>
        <v>0.4131944444</v>
      </c>
      <c r="I29" s="17">
        <f>IFERROR(__xludf.DUMMYFUNCTION("""COMPUTED_VALUE"""),0.46875)</f>
        <v>0.46875</v>
      </c>
      <c r="J29" s="17">
        <f>IFERROR(__xludf.DUMMYFUNCTION("""COMPUTED_VALUE"""),0.5277777777777778)</f>
        <v>0.5277777778</v>
      </c>
      <c r="K29" s="17">
        <f>IFERROR(__xludf.DUMMYFUNCTION("""COMPUTED_VALUE"""),0.6041666666666666)</f>
        <v>0.6041666667</v>
      </c>
      <c r="L29" s="17">
        <f>IFERROR(__xludf.DUMMYFUNCTION("""COMPUTED_VALUE"""),0.6597222222222222)</f>
        <v>0.6597222222</v>
      </c>
      <c r="M29" s="17">
        <f>IFERROR(__xludf.DUMMYFUNCTION("""COMPUTED_VALUE"""),0.7083333333333334)</f>
        <v>0.7083333333</v>
      </c>
      <c r="N29" s="17">
        <f>IFERROR(__xludf.DUMMYFUNCTION("""COMPUTED_VALUE"""),0.7291666666666666)</f>
        <v>0.7291666667</v>
      </c>
      <c r="O29" s="17">
        <f>IFERROR(__xludf.DUMMYFUNCTION("""COMPUTED_VALUE"""),0.7708333333333334)</f>
        <v>0.7708333333</v>
      </c>
      <c r="P29" s="17">
        <f>IFERROR(__xludf.DUMMYFUNCTION("""COMPUTED_VALUE"""),0.7916666666666666)</f>
        <v>0.7916666667</v>
      </c>
      <c r="Q29" s="17"/>
      <c r="R29" s="17"/>
      <c r="S29" s="17"/>
      <c r="T29" s="17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>
        <f>IFERROR(__xludf.DUMMYFUNCTION("""COMPUTED_VALUE"""),0.24305555555555555)</f>
        <v>0.2430555556</v>
      </c>
      <c r="D30" s="17">
        <f>IFERROR(__xludf.DUMMYFUNCTION("""COMPUTED_VALUE"""),0.2777777777777778)</f>
        <v>0.2777777778</v>
      </c>
      <c r="E30" s="17">
        <f>IFERROR(__xludf.DUMMYFUNCTION("""COMPUTED_VALUE"""),0.3020833333333333)</f>
        <v>0.3020833333</v>
      </c>
      <c r="F30" s="17">
        <f>IFERROR(__xludf.DUMMYFUNCTION("""COMPUTED_VALUE"""),0.3402777777777778)</f>
        <v>0.3402777778</v>
      </c>
      <c r="G30" s="17">
        <f>IFERROR(__xludf.DUMMYFUNCTION("""COMPUTED_VALUE"""),0.3958333333333333)</f>
        <v>0.3958333333</v>
      </c>
      <c r="H30" s="17">
        <f>IFERROR(__xludf.DUMMYFUNCTION("""COMPUTED_VALUE"""),0.4166666666666667)</f>
        <v>0.4166666667</v>
      </c>
      <c r="I30" s="17">
        <f>IFERROR(__xludf.DUMMYFUNCTION("""COMPUTED_VALUE"""),0.4722222222222222)</f>
        <v>0.4722222222</v>
      </c>
      <c r="J30" s="17">
        <f>IFERROR(__xludf.DUMMYFUNCTION("""COMPUTED_VALUE"""),0.53125)</f>
        <v>0.53125</v>
      </c>
      <c r="K30" s="17">
        <f>IFERROR(__xludf.DUMMYFUNCTION("""COMPUTED_VALUE"""),0.6076388888888888)</f>
        <v>0.6076388889</v>
      </c>
      <c r="L30" s="17">
        <f>IFERROR(__xludf.DUMMYFUNCTION("""COMPUTED_VALUE"""),0.6631944444444444)</f>
        <v>0.6631944444</v>
      </c>
      <c r="M30" s="17">
        <f>IFERROR(__xludf.DUMMYFUNCTION("""COMPUTED_VALUE"""),0.7118055555555556)</f>
        <v>0.7118055556</v>
      </c>
      <c r="N30" s="17">
        <f>IFERROR(__xludf.DUMMYFUNCTION("""COMPUTED_VALUE"""),0.7326388888888888)</f>
        <v>0.7326388889</v>
      </c>
      <c r="O30" s="17">
        <f>IFERROR(__xludf.DUMMYFUNCTION("""COMPUTED_VALUE"""),0.7743055555555556)</f>
        <v>0.7743055556</v>
      </c>
      <c r="P30" s="17">
        <f>IFERROR(__xludf.DUMMYFUNCTION("""COMPUTED_VALUE"""),0.7951388888888888)</f>
        <v>0.7951388889</v>
      </c>
      <c r="Q30" s="17"/>
      <c r="R30" s="17"/>
      <c r="S30" s="17"/>
      <c r="T30" s="17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>
        <f>IFERROR(__xludf.DUMMYFUNCTION("""COMPUTED_VALUE"""),0.24513888888888888)</f>
        <v>0.2451388889</v>
      </c>
      <c r="D31" s="17">
        <f>IFERROR(__xludf.DUMMYFUNCTION("""COMPUTED_VALUE"""),0.2798611111111111)</f>
        <v>0.2798611111</v>
      </c>
      <c r="E31" s="17">
        <f>IFERROR(__xludf.DUMMYFUNCTION("""COMPUTED_VALUE"""),0.30416666666666664)</f>
        <v>0.3041666667</v>
      </c>
      <c r="F31" s="17">
        <f>IFERROR(__xludf.DUMMYFUNCTION("""COMPUTED_VALUE"""),0.3423611111111111)</f>
        <v>0.3423611111</v>
      </c>
      <c r="G31" s="17">
        <f>IFERROR(__xludf.DUMMYFUNCTION("""COMPUTED_VALUE"""),0.39791666666666664)</f>
        <v>0.3979166667</v>
      </c>
      <c r="H31" s="17">
        <f>IFERROR(__xludf.DUMMYFUNCTION("""COMPUTED_VALUE"""),0.41875)</f>
        <v>0.41875</v>
      </c>
      <c r="I31" s="17">
        <f>IFERROR(__xludf.DUMMYFUNCTION("""COMPUTED_VALUE"""),0.47430555555555554)</f>
        <v>0.4743055556</v>
      </c>
      <c r="J31" s="17">
        <f>IFERROR(__xludf.DUMMYFUNCTION("""COMPUTED_VALUE"""),0.5333333333333333)</f>
        <v>0.5333333333</v>
      </c>
      <c r="K31" s="17">
        <f>IFERROR(__xludf.DUMMYFUNCTION("""COMPUTED_VALUE"""),0.6097222222222223)</f>
        <v>0.6097222222</v>
      </c>
      <c r="L31" s="17">
        <f>IFERROR(__xludf.DUMMYFUNCTION("""COMPUTED_VALUE"""),0.6652777777777777)</f>
        <v>0.6652777778</v>
      </c>
      <c r="M31" s="17">
        <f>IFERROR(__xludf.DUMMYFUNCTION("""COMPUTED_VALUE"""),0.7138888888888889)</f>
        <v>0.7138888889</v>
      </c>
      <c r="N31" s="17">
        <f>IFERROR(__xludf.DUMMYFUNCTION("""COMPUTED_VALUE"""),0.7347222222222223)</f>
        <v>0.7347222222</v>
      </c>
      <c r="O31" s="17">
        <f>IFERROR(__xludf.DUMMYFUNCTION("""COMPUTED_VALUE"""),0.7763888888888889)</f>
        <v>0.7763888889</v>
      </c>
      <c r="P31" s="17">
        <f>IFERROR(__xludf.DUMMYFUNCTION("""COMPUTED_VALUE"""),0.7972222222222223)</f>
        <v>0.7972222222</v>
      </c>
      <c r="Q31" s="17"/>
      <c r="R31" s="17"/>
      <c r="S31" s="17"/>
      <c r="T31" s="17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7">
        <f>IFERROR(__xludf.DUMMYFUNCTION("""COMPUTED_VALUE"""),0.24791666666666667)</f>
        <v>0.2479166667</v>
      </c>
      <c r="D32" s="17">
        <f>IFERROR(__xludf.DUMMYFUNCTION("""COMPUTED_VALUE"""),0.2826388888888889)</f>
        <v>0.2826388889</v>
      </c>
      <c r="E32" s="17">
        <f>IFERROR(__xludf.DUMMYFUNCTION("""COMPUTED_VALUE"""),0.30694444444444446)</f>
        <v>0.3069444444</v>
      </c>
      <c r="F32" s="17">
        <f>IFERROR(__xludf.DUMMYFUNCTION("""COMPUTED_VALUE"""),0.3451388888888889)</f>
        <v>0.3451388889</v>
      </c>
      <c r="G32" s="17">
        <f>IFERROR(__xludf.DUMMYFUNCTION("""COMPUTED_VALUE"""),0.40069444444444446)</f>
        <v>0.4006944444</v>
      </c>
      <c r="H32" s="17">
        <f>IFERROR(__xludf.DUMMYFUNCTION("""COMPUTED_VALUE"""),0.4215277777777778)</f>
        <v>0.4215277778</v>
      </c>
      <c r="I32" s="17">
        <f>IFERROR(__xludf.DUMMYFUNCTION("""COMPUTED_VALUE"""),0.47708333333333336)</f>
        <v>0.4770833333</v>
      </c>
      <c r="J32" s="17">
        <f>IFERROR(__xludf.DUMMYFUNCTION("""COMPUTED_VALUE"""),0.5361111111111111)</f>
        <v>0.5361111111</v>
      </c>
      <c r="K32" s="17">
        <f>IFERROR(__xludf.DUMMYFUNCTION("""COMPUTED_VALUE"""),0.6125)</f>
        <v>0.6125</v>
      </c>
      <c r="L32" s="17">
        <f>IFERROR(__xludf.DUMMYFUNCTION("""COMPUTED_VALUE"""),0.6680555555555555)</f>
        <v>0.6680555556</v>
      </c>
      <c r="M32" s="17">
        <f>IFERROR(__xludf.DUMMYFUNCTION("""COMPUTED_VALUE"""),0.7166666666666667)</f>
        <v>0.7166666667</v>
      </c>
      <c r="N32" s="17">
        <f>IFERROR(__xludf.DUMMYFUNCTION("""COMPUTED_VALUE"""),0.7375)</f>
        <v>0.7375</v>
      </c>
      <c r="O32" s="17">
        <f>IFERROR(__xludf.DUMMYFUNCTION("""COMPUTED_VALUE"""),0.7791666666666667)</f>
        <v>0.7791666667</v>
      </c>
      <c r="P32" s="17">
        <f>IFERROR(__xludf.DUMMYFUNCTION("""COMPUTED_VALUE"""),0.8)</f>
        <v>0.8</v>
      </c>
    </row>
    <row r="33">
      <c r="A33" s="87" t="str">
        <f>IFERROR(__xludf.DUMMYFUNCTION("""COMPUTED_VALUE"""),"SAREPTA")</f>
        <v>SAREPTA</v>
      </c>
      <c r="B33" s="87" t="str">
        <f>IFERROR(__xludf.DUMMYFUNCTION("""COMPUTED_VALUE"""),"-33.92655594121331, 18.661143180651308")</f>
        <v>-33.92655594121331, 18.661143180651308</v>
      </c>
      <c r="C33" s="17">
        <f>IFERROR(__xludf.DUMMYFUNCTION("""COMPUTED_VALUE"""),0.25)</f>
        <v>0.25</v>
      </c>
      <c r="D33" s="17">
        <f>IFERROR(__xludf.DUMMYFUNCTION("""COMPUTED_VALUE"""),0.2847222222222222)</f>
        <v>0.2847222222</v>
      </c>
      <c r="E33" s="17">
        <f>IFERROR(__xludf.DUMMYFUNCTION("""COMPUTED_VALUE"""),0.3090277777777778)</f>
        <v>0.3090277778</v>
      </c>
      <c r="F33" s="17">
        <f>IFERROR(__xludf.DUMMYFUNCTION("""COMPUTED_VALUE"""),0.3472222222222222)</f>
        <v>0.3472222222</v>
      </c>
      <c r="G33" s="17">
        <f>IFERROR(__xludf.DUMMYFUNCTION("""COMPUTED_VALUE"""),0.4027777777777778)</f>
        <v>0.4027777778</v>
      </c>
      <c r="H33" s="17">
        <f>IFERROR(__xludf.DUMMYFUNCTION("""COMPUTED_VALUE"""),0.4236111111111111)</f>
        <v>0.4236111111</v>
      </c>
      <c r="I33" s="17">
        <f>IFERROR(__xludf.DUMMYFUNCTION("""COMPUTED_VALUE"""),0.4791666666666667)</f>
        <v>0.4791666667</v>
      </c>
      <c r="J33" s="17">
        <f>IFERROR(__xludf.DUMMYFUNCTION("""COMPUTED_VALUE"""),0.5381944444444444)</f>
        <v>0.5381944444</v>
      </c>
      <c r="K33" s="17">
        <f>IFERROR(__xludf.DUMMYFUNCTION("""COMPUTED_VALUE"""),0.6145833333333334)</f>
        <v>0.6145833333</v>
      </c>
      <c r="L33" s="17">
        <f>IFERROR(__xludf.DUMMYFUNCTION("""COMPUTED_VALUE"""),0.6701388888888888)</f>
        <v>0.6701388889</v>
      </c>
      <c r="M33" s="17">
        <f>IFERROR(__xludf.DUMMYFUNCTION("""COMPUTED_VALUE"""),0.71875)</f>
        <v>0.71875</v>
      </c>
      <c r="N33" s="17">
        <f>IFERROR(__xludf.DUMMYFUNCTION("""COMPUTED_VALUE"""),0.7395833333333334)</f>
        <v>0.7395833333</v>
      </c>
      <c r="O33" s="17">
        <f>IFERROR(__xludf.DUMMYFUNCTION("""COMPUTED_VALUE"""),0.78125)</f>
        <v>0.78125</v>
      </c>
      <c r="P33" s="17">
        <f>IFERROR(__xludf.DUMMYFUNCTION("""COMPUTED_VALUE"""),0.8020833333333334)</f>
        <v>0.8020833333</v>
      </c>
    </row>
    <row r="34">
      <c r="A34" s="87" t="str">
        <f>IFERROR(__xludf.DUMMYFUNCTION("""COMPUTED_VALUE"""),"BELLVILLE")</f>
        <v>BELLVILLE</v>
      </c>
      <c r="B34" s="87" t="str">
        <f>IFERROR(__xludf.DUMMYFUNCTION("""COMPUTED_VALUE"""),"-33.906263459762684, 18.62662128465745")</f>
        <v>-33.906263459762684, 18.62662128465745</v>
      </c>
      <c r="C34" s="17">
        <f>IFERROR(__xludf.DUMMYFUNCTION("""COMPUTED_VALUE"""),0.2534722222222222)</f>
        <v>0.2534722222</v>
      </c>
      <c r="D34" s="17">
        <f>IFERROR(__xludf.DUMMYFUNCTION("""COMPUTED_VALUE"""),0.2881944444444444)</f>
        <v>0.2881944444</v>
      </c>
      <c r="E34" s="17">
        <f>IFERROR(__xludf.DUMMYFUNCTION("""COMPUTED_VALUE"""),0.3125)</f>
        <v>0.3125</v>
      </c>
      <c r="F34" s="17">
        <f>IFERROR(__xludf.DUMMYFUNCTION("""COMPUTED_VALUE"""),0.3506944444444444)</f>
        <v>0.3506944444</v>
      </c>
      <c r="G34" s="17">
        <f>IFERROR(__xludf.DUMMYFUNCTION("""COMPUTED_VALUE"""),0.40625)</f>
        <v>0.40625</v>
      </c>
      <c r="H34" s="17">
        <f>IFERROR(__xludf.DUMMYFUNCTION("""COMPUTED_VALUE"""),0.4270833333333333)</f>
        <v>0.4270833333</v>
      </c>
      <c r="I34" s="17">
        <f>IFERROR(__xludf.DUMMYFUNCTION("""COMPUTED_VALUE"""),0.4826388888888889)</f>
        <v>0.4826388889</v>
      </c>
      <c r="J34" s="17">
        <f>IFERROR(__xludf.DUMMYFUNCTION("""COMPUTED_VALUE"""),0.5416666666666666)</f>
        <v>0.5416666667</v>
      </c>
      <c r="K34" s="17">
        <f>IFERROR(__xludf.DUMMYFUNCTION("""COMPUTED_VALUE"""),0.6180555555555556)</f>
        <v>0.6180555556</v>
      </c>
      <c r="L34" s="17">
        <f>IFERROR(__xludf.DUMMYFUNCTION("""COMPUTED_VALUE"""),0.6736111111111112)</f>
        <v>0.6736111111</v>
      </c>
      <c r="M34" s="17">
        <f>IFERROR(__xludf.DUMMYFUNCTION("""COMPUTED_VALUE"""),0.7222222222222222)</f>
        <v>0.7222222222</v>
      </c>
      <c r="N34" s="17">
        <f>IFERROR(__xludf.DUMMYFUNCTION("""COMPUTED_VALUE"""),0.7430555555555556)</f>
        <v>0.7430555556</v>
      </c>
      <c r="O34" s="17">
        <f>IFERROR(__xludf.DUMMYFUNCTION("""COMPUTED_VALUE"""),0.7847222222222222)</f>
        <v>0.7847222222</v>
      </c>
      <c r="P34" s="17">
        <f>IFERROR(__xludf.DUMMYFUNCTION("""COMPUTED_VALUE"""),0.8055555555555556)</f>
        <v>0.8055555556</v>
      </c>
    </row>
    <row r="35">
      <c r="A35" s="87"/>
      <c r="B35" s="20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>
      <c r="A36" s="87"/>
      <c r="B36" s="20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>
      <c r="A39" s="18"/>
      <c r="B39" s="19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>
      <c r="A40" s="92"/>
      <c r="B40" s="19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>
      <c r="A43" s="18"/>
      <c r="B43" s="19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</row>
    <row r="46">
      <c r="A46" s="87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>
      <c r="A47" s="87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>
      <c r="A48" s="87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>
      <c r="A49" s="87"/>
      <c r="B49" s="8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>
      <c r="A50" s="87"/>
      <c r="B50" s="8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>
      <c r="A51" s="87"/>
      <c r="B51" s="8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>
      <c r="A52" s="87"/>
      <c r="B52" s="87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>
      <c r="A53" s="87"/>
      <c r="B53" s="87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>
      <c r="A54" s="87"/>
      <c r="B54" s="87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>
      <c r="A55" s="87"/>
      <c r="B55" s="87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>
      <c r="A56" s="87"/>
      <c r="B56" s="87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>
      <c r="A57" s="87"/>
      <c r="B57" s="87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>
      <c r="A58" s="87"/>
      <c r="B58" s="8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>
      <c r="A59" s="87"/>
      <c r="B59" s="87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>
      <c r="A60" s="87"/>
      <c r="B60" s="8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>
      <c r="A61" s="87"/>
      <c r="B61" s="87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>
      <c r="A62" s="87"/>
      <c r="B62" s="87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>
      <c r="A63" s="87"/>
      <c r="B63" s="8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>
      <c r="A64" s="87"/>
      <c r="B64" s="87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>
      <c r="A65" s="87"/>
      <c r="B65" s="87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>
      <c r="A66" s="87"/>
      <c r="B66" s="87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>
      <c r="A67" s="87"/>
      <c r="B67" s="87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>
      <c r="A68" s="87"/>
      <c r="B68" s="87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>
      <c r="A69" s="87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MATCH(""*SAREPTA*"", 'CTCEN-IN_Weekday'!$A:$A, 0))&lt;&gt;""""))))"),"Last Updated:")</f>
        <v>Last Updated:</v>
      </c>
      <c r="B1" s="2">
        <f>IFERROR(__xludf.DUMMYFUNCTION("""COMPUTED_VALUE"""),45345.0)</f>
        <v>45345</v>
      </c>
      <c r="C1" s="1"/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IFERROR(__xludf.DUMMYFUNCTION("""COMPUTED_VALUE"""),9002.0)</f>
        <v>9002</v>
      </c>
      <c r="D2" s="5">
        <f>IFERROR(__xludf.DUMMYFUNCTION("""COMPUTED_VALUE"""),9004.0)</f>
        <v>9004</v>
      </c>
      <c r="E2" s="5">
        <f>IFERROR(__xludf.DUMMYFUNCTION("""COMPUTED_VALUE"""),9006.0)</f>
        <v>9006</v>
      </c>
      <c r="F2" s="5">
        <f>IFERROR(__xludf.DUMMYFUNCTION("""COMPUTED_VALUE"""),9008.0)</f>
        <v>9008</v>
      </c>
      <c r="G2" s="5">
        <f>IFERROR(__xludf.DUMMYFUNCTION("""COMPUTED_VALUE"""),9010.0)</f>
        <v>9010</v>
      </c>
      <c r="H2" s="5">
        <f>IFERROR(__xludf.DUMMYFUNCTION("""COMPUTED_VALUE"""),9012.0)</f>
        <v>9012</v>
      </c>
      <c r="I2" s="5">
        <f>IFERROR(__xludf.DUMMYFUNCTION("""COMPUTED_VALUE"""),9014.0)</f>
        <v>9014</v>
      </c>
      <c r="J2" s="5">
        <f>IFERROR(__xludf.DUMMYFUNCTION("""COMPUTED_VALUE"""),9014.0)</f>
        <v>9014</v>
      </c>
      <c r="K2" s="5">
        <f>IFERROR(__xludf.DUMMYFUNCTION("""COMPUTED_VALUE"""),9016.0)</f>
        <v>9016</v>
      </c>
      <c r="L2" s="5">
        <f>IFERROR(__xludf.DUMMYFUNCTION("""COMPUTED_VALUE"""),9020.0)</f>
        <v>9020</v>
      </c>
      <c r="M2" s="5">
        <f>IFERROR(__xludf.DUMMYFUNCTION("""COMPUTED_VALUE"""),9022.0)</f>
        <v>9022</v>
      </c>
      <c r="N2" s="5">
        <f>IFERROR(__xludf.DUMMYFUNCTION("""COMPUTED_VALUE"""),9024.0)</f>
        <v>9024</v>
      </c>
      <c r="O2" s="5">
        <f>IFERROR(__xludf.DUMMYFUNCTION("""COMPUTED_VALUE"""),9026.0)</f>
        <v>9026</v>
      </c>
      <c r="P2" s="5">
        <f>IFERROR(__xludf.DUMMYFUNCTION("""COMPUTED_VALUE"""),9028.0)</f>
        <v>9028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93" t="str">
        <f>IFERROR(__xludf.DUMMYFUNCTION("""COMPUTED_VALUE"""),"-33.906263459762684, 18.62662128465745")</f>
        <v>-33.906263459762684, 18.62662128465745</v>
      </c>
      <c r="C3" s="9">
        <f>IFERROR(__xludf.DUMMYFUNCTION("""COMPUTED_VALUE"""),0.21875)</f>
        <v>0.21875</v>
      </c>
      <c r="D3" s="9">
        <f>IFERROR(__xludf.DUMMYFUNCTION("""COMPUTED_VALUE"""),0.2604166666666667)</f>
        <v>0.2604166667</v>
      </c>
      <c r="E3" s="9">
        <f>IFERROR(__xludf.DUMMYFUNCTION("""COMPUTED_VALUE"""),0.2951388888888889)</f>
        <v>0.2951388889</v>
      </c>
      <c r="F3" s="9">
        <f>IFERROR(__xludf.DUMMYFUNCTION("""COMPUTED_VALUE"""),0.3576388888888889)</f>
        <v>0.3576388889</v>
      </c>
      <c r="G3" s="9">
        <f>IFERROR(__xludf.DUMMYFUNCTION("""COMPUTED_VALUE"""),0.3784722222222222)</f>
        <v>0.3784722222</v>
      </c>
      <c r="H3" s="9">
        <f>IFERROR(__xludf.DUMMYFUNCTION("""COMPUTED_VALUE"""),0.4340277777777778)</f>
        <v>0.4340277778</v>
      </c>
      <c r="I3" s="9">
        <f>IFERROR(__xludf.DUMMYFUNCTION("""COMPUTED_VALUE"""),0.4930555555555556)</f>
        <v>0.4930555556</v>
      </c>
      <c r="J3" s="9">
        <f>IFERROR(__xludf.DUMMYFUNCTION("""COMPUTED_VALUE"""),0.5347222222222222)</f>
        <v>0.5347222222</v>
      </c>
      <c r="K3" s="9">
        <f>IFERROR(__xludf.DUMMYFUNCTION("""COMPUTED_VALUE"""),0.5520833333333334)</f>
        <v>0.5520833333</v>
      </c>
      <c r="L3" s="9">
        <f>IFERROR(__xludf.DUMMYFUNCTION("""COMPUTED_VALUE"""),0.625)</f>
        <v>0.625</v>
      </c>
      <c r="M3" s="9">
        <f>IFERROR(__xludf.DUMMYFUNCTION("""COMPUTED_VALUE"""),0.6527777777777778)</f>
        <v>0.6527777778</v>
      </c>
      <c r="N3" s="9">
        <f>IFERROR(__xludf.DUMMYFUNCTION("""COMPUTED_VALUE"""),0.6805555555555556)</f>
        <v>0.6805555556</v>
      </c>
      <c r="O3" s="9">
        <f>IFERROR(__xludf.DUMMYFUNCTION("""COMPUTED_VALUE"""),0.7291666666666666)</f>
        <v>0.7291666667</v>
      </c>
      <c r="P3" s="9">
        <f>IFERROR(__xludf.DUMMYFUNCTION("""COMPUTED_VALUE"""),0.75)</f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>
        <f>IFERROR(__xludf.DUMMYFUNCTION("""COMPUTED_VALUE"""),0.22291666666666668)</f>
        <v>0.2229166667</v>
      </c>
      <c r="D4" s="12">
        <f>IFERROR(__xludf.DUMMYFUNCTION("""COMPUTED_VALUE"""),0.26458333333333334)</f>
        <v>0.2645833333</v>
      </c>
      <c r="E4" s="12">
        <f>IFERROR(__xludf.DUMMYFUNCTION("""COMPUTED_VALUE"""),0.29930555555555555)</f>
        <v>0.2993055556</v>
      </c>
      <c r="F4" s="12">
        <f>IFERROR(__xludf.DUMMYFUNCTION("""COMPUTED_VALUE"""),0.36180555555555555)</f>
        <v>0.3618055556</v>
      </c>
      <c r="G4" s="12">
        <f>IFERROR(__xludf.DUMMYFUNCTION("""COMPUTED_VALUE"""),0.38263888888888886)</f>
        <v>0.3826388889</v>
      </c>
      <c r="H4" s="12">
        <f>IFERROR(__xludf.DUMMYFUNCTION("""COMPUTED_VALUE"""),0.43819444444444444)</f>
        <v>0.4381944444</v>
      </c>
      <c r="I4" s="12">
        <f>IFERROR(__xludf.DUMMYFUNCTION("""COMPUTED_VALUE"""),0.49722222222222223)</f>
        <v>0.4972222222</v>
      </c>
      <c r="J4" s="12">
        <f>IFERROR(__xludf.DUMMYFUNCTION("""COMPUTED_VALUE"""),0.5388888888888889)</f>
        <v>0.5388888889</v>
      </c>
      <c r="K4" s="12">
        <f>IFERROR(__xludf.DUMMYFUNCTION("""COMPUTED_VALUE"""),0.55625)</f>
        <v>0.55625</v>
      </c>
      <c r="L4" s="12">
        <f>IFERROR(__xludf.DUMMYFUNCTION("""COMPUTED_VALUE"""),0.6291666666666667)</f>
        <v>0.6291666667</v>
      </c>
      <c r="M4" s="12">
        <f>IFERROR(__xludf.DUMMYFUNCTION("""COMPUTED_VALUE"""),0.6569444444444444)</f>
        <v>0.6569444444</v>
      </c>
      <c r="N4" s="12">
        <f>IFERROR(__xludf.DUMMYFUNCTION("""COMPUTED_VALUE"""),0.6847222222222222)</f>
        <v>0.6847222222</v>
      </c>
      <c r="O4" s="12">
        <f>IFERROR(__xludf.DUMMYFUNCTION("""COMPUTED_VALUE"""),0.7333333333333333)</f>
        <v>0.7333333333</v>
      </c>
      <c r="P4" s="12">
        <f>IFERROR(__xludf.DUMMYFUNCTION("""COMPUTED_VALUE"""),0.7541666666666667)</f>
        <v>0.7541666667</v>
      </c>
      <c r="Q4" s="12"/>
      <c r="R4" s="12"/>
      <c r="S4" s="12"/>
      <c r="T4" s="12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>
        <f>IFERROR(__xludf.DUMMYFUNCTION("""COMPUTED_VALUE"""),0.225)</f>
        <v>0.225</v>
      </c>
      <c r="D5" s="12">
        <f>IFERROR(__xludf.DUMMYFUNCTION("""COMPUTED_VALUE"""),0.26666666666666666)</f>
        <v>0.2666666667</v>
      </c>
      <c r="E5" s="12">
        <f>IFERROR(__xludf.DUMMYFUNCTION("""COMPUTED_VALUE"""),0.3013888888888889)</f>
        <v>0.3013888889</v>
      </c>
      <c r="F5" s="12">
        <f>IFERROR(__xludf.DUMMYFUNCTION("""COMPUTED_VALUE"""),0.3638888888888889)</f>
        <v>0.3638888889</v>
      </c>
      <c r="G5" s="12">
        <f>IFERROR(__xludf.DUMMYFUNCTION("""COMPUTED_VALUE"""),0.38472222222222224)</f>
        <v>0.3847222222</v>
      </c>
      <c r="H5" s="12">
        <f>IFERROR(__xludf.DUMMYFUNCTION("""COMPUTED_VALUE"""),0.44027777777777777)</f>
        <v>0.4402777778</v>
      </c>
      <c r="I5" s="12">
        <f>IFERROR(__xludf.DUMMYFUNCTION("""COMPUTED_VALUE"""),0.49930555555555556)</f>
        <v>0.4993055556</v>
      </c>
      <c r="J5" s="12">
        <f>IFERROR(__xludf.DUMMYFUNCTION("""COMPUTED_VALUE"""),0.5409722222222222)</f>
        <v>0.5409722222</v>
      </c>
      <c r="K5" s="12">
        <f>IFERROR(__xludf.DUMMYFUNCTION("""COMPUTED_VALUE"""),0.5583333333333333)</f>
        <v>0.5583333333</v>
      </c>
      <c r="L5" s="12">
        <f>IFERROR(__xludf.DUMMYFUNCTION("""COMPUTED_VALUE"""),0.63125)</f>
        <v>0.63125</v>
      </c>
      <c r="M5" s="12">
        <f>IFERROR(__xludf.DUMMYFUNCTION("""COMPUTED_VALUE"""),0.6590277777777778)</f>
        <v>0.6590277778</v>
      </c>
      <c r="N5" s="12">
        <f>IFERROR(__xludf.DUMMYFUNCTION("""COMPUTED_VALUE"""),0.6868055555555556)</f>
        <v>0.6868055556</v>
      </c>
      <c r="O5" s="12">
        <f>IFERROR(__xludf.DUMMYFUNCTION("""COMPUTED_VALUE"""),0.7354166666666667)</f>
        <v>0.7354166667</v>
      </c>
      <c r="P5" s="12">
        <f>IFERROR(__xludf.DUMMYFUNCTION("""COMPUTED_VALUE"""),0.75625)</f>
        <v>0.75625</v>
      </c>
      <c r="Q5" s="12"/>
      <c r="R5" s="12"/>
      <c r="S5" s="12"/>
      <c r="T5" s="12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>
        <f>IFERROR(__xludf.DUMMYFUNCTION("""COMPUTED_VALUE"""),0.22777777777777777)</f>
        <v>0.2277777778</v>
      </c>
      <c r="D6" s="12">
        <f>IFERROR(__xludf.DUMMYFUNCTION("""COMPUTED_VALUE"""),0.26944444444444443)</f>
        <v>0.2694444444</v>
      </c>
      <c r="E6" s="12">
        <f>IFERROR(__xludf.DUMMYFUNCTION("""COMPUTED_VALUE"""),0.30416666666666664)</f>
        <v>0.3041666667</v>
      </c>
      <c r="F6" s="12">
        <f>IFERROR(__xludf.DUMMYFUNCTION("""COMPUTED_VALUE"""),0.36666666666666664)</f>
        <v>0.3666666667</v>
      </c>
      <c r="G6" s="12">
        <f>IFERROR(__xludf.DUMMYFUNCTION("""COMPUTED_VALUE"""),0.3875)</f>
        <v>0.3875</v>
      </c>
      <c r="H6" s="12">
        <f>IFERROR(__xludf.DUMMYFUNCTION("""COMPUTED_VALUE"""),0.44305555555555554)</f>
        <v>0.4430555556</v>
      </c>
      <c r="I6" s="12">
        <f>IFERROR(__xludf.DUMMYFUNCTION("""COMPUTED_VALUE"""),0.5020833333333333)</f>
        <v>0.5020833333</v>
      </c>
      <c r="J6" s="12">
        <f>IFERROR(__xludf.DUMMYFUNCTION("""COMPUTED_VALUE"""),0.54375)</f>
        <v>0.54375</v>
      </c>
      <c r="K6" s="12">
        <f>IFERROR(__xludf.DUMMYFUNCTION("""COMPUTED_VALUE"""),0.5611111111111111)</f>
        <v>0.5611111111</v>
      </c>
      <c r="L6" s="12">
        <f>IFERROR(__xludf.DUMMYFUNCTION("""COMPUTED_VALUE"""),0.6340277777777777)</f>
        <v>0.6340277778</v>
      </c>
      <c r="M6" s="12">
        <f>IFERROR(__xludf.DUMMYFUNCTION("""COMPUTED_VALUE"""),0.6618055555555555)</f>
        <v>0.6618055556</v>
      </c>
      <c r="N6" s="12">
        <f>IFERROR(__xludf.DUMMYFUNCTION("""COMPUTED_VALUE"""),0.6895833333333333)</f>
        <v>0.6895833333</v>
      </c>
      <c r="O6" s="12">
        <f>IFERROR(__xludf.DUMMYFUNCTION("""COMPUTED_VALUE"""),0.7381944444444445)</f>
        <v>0.7381944444</v>
      </c>
      <c r="P6" s="12">
        <f>IFERROR(__xludf.DUMMYFUNCTION("""COMPUTED_VALUE"""),0.7590277777777777)</f>
        <v>0.7590277778</v>
      </c>
      <c r="Q6" s="12"/>
      <c r="R6" s="12"/>
      <c r="S6" s="12"/>
      <c r="T6" s="12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>
        <f>IFERROR(__xludf.DUMMYFUNCTION("""COMPUTED_VALUE"""),0.23055555555555557)</f>
        <v>0.2305555556</v>
      </c>
      <c r="D7" s="12">
        <f>IFERROR(__xludf.DUMMYFUNCTION("""COMPUTED_VALUE"""),0.2722222222222222)</f>
        <v>0.2722222222</v>
      </c>
      <c r="E7" s="12">
        <f>IFERROR(__xludf.DUMMYFUNCTION("""COMPUTED_VALUE"""),0.30694444444444446)</f>
        <v>0.3069444444</v>
      </c>
      <c r="F7" s="12">
        <f>IFERROR(__xludf.DUMMYFUNCTION("""COMPUTED_VALUE"""),0.36944444444444446)</f>
        <v>0.3694444444</v>
      </c>
      <c r="G7" s="12">
        <f>IFERROR(__xludf.DUMMYFUNCTION("""COMPUTED_VALUE"""),0.3902777777777778)</f>
        <v>0.3902777778</v>
      </c>
      <c r="H7" s="12">
        <f>IFERROR(__xludf.DUMMYFUNCTION("""COMPUTED_VALUE"""),0.44583333333333336)</f>
        <v>0.4458333333</v>
      </c>
      <c r="I7" s="12">
        <f>IFERROR(__xludf.DUMMYFUNCTION("""COMPUTED_VALUE"""),0.5048611111111111)</f>
        <v>0.5048611111</v>
      </c>
      <c r="J7" s="12">
        <f>IFERROR(__xludf.DUMMYFUNCTION("""COMPUTED_VALUE"""),0.5465277777777777)</f>
        <v>0.5465277778</v>
      </c>
      <c r="K7" s="12">
        <f>IFERROR(__xludf.DUMMYFUNCTION("""COMPUTED_VALUE"""),0.5638888888888889)</f>
        <v>0.5638888889</v>
      </c>
      <c r="L7" s="12">
        <f>IFERROR(__xludf.DUMMYFUNCTION("""COMPUTED_VALUE"""),0.6368055555555555)</f>
        <v>0.6368055556</v>
      </c>
      <c r="M7" s="12">
        <f>IFERROR(__xludf.DUMMYFUNCTION("""COMPUTED_VALUE"""),0.6645833333333333)</f>
        <v>0.6645833333</v>
      </c>
      <c r="N7" s="12">
        <f>IFERROR(__xludf.DUMMYFUNCTION("""COMPUTED_VALUE"""),0.6923611111111111)</f>
        <v>0.6923611111</v>
      </c>
      <c r="O7" s="12">
        <f>IFERROR(__xludf.DUMMYFUNCTION("""COMPUTED_VALUE"""),0.7409722222222223)</f>
        <v>0.7409722222</v>
      </c>
      <c r="P7" s="12">
        <f>IFERROR(__xludf.DUMMYFUNCTION("""COMPUTED_VALUE"""),0.7618055555555555)</f>
        <v>0.7618055556</v>
      </c>
      <c r="Q7" s="12"/>
      <c r="R7" s="12"/>
      <c r="S7" s="12"/>
      <c r="T7" s="12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>
        <f>IFERROR(__xludf.DUMMYFUNCTION("""COMPUTED_VALUE"""),0.2326388888888889)</f>
        <v>0.2326388889</v>
      </c>
      <c r="D8" s="12">
        <f>IFERROR(__xludf.DUMMYFUNCTION("""COMPUTED_VALUE"""),0.2743055555555556)</f>
        <v>0.2743055556</v>
      </c>
      <c r="E8" s="12">
        <f>IFERROR(__xludf.DUMMYFUNCTION("""COMPUTED_VALUE"""),0.3090277777777778)</f>
        <v>0.3090277778</v>
      </c>
      <c r="F8" s="12">
        <f>IFERROR(__xludf.DUMMYFUNCTION("""COMPUTED_VALUE"""),0.3715277777777778)</f>
        <v>0.3715277778</v>
      </c>
      <c r="G8" s="12">
        <f>IFERROR(__xludf.DUMMYFUNCTION("""COMPUTED_VALUE"""),0.3923611111111111)</f>
        <v>0.3923611111</v>
      </c>
      <c r="H8" s="12">
        <f>IFERROR(__xludf.DUMMYFUNCTION("""COMPUTED_VALUE"""),0.4479166666666667)</f>
        <v>0.4479166667</v>
      </c>
      <c r="I8" s="12">
        <f>IFERROR(__xludf.DUMMYFUNCTION("""COMPUTED_VALUE"""),0.5069444444444444)</f>
        <v>0.5069444444</v>
      </c>
      <c r="J8" s="12">
        <f>IFERROR(__xludf.DUMMYFUNCTION("""COMPUTED_VALUE"""),0.5486111111111112)</f>
        <v>0.5486111111</v>
      </c>
      <c r="K8" s="12">
        <f>IFERROR(__xludf.DUMMYFUNCTION("""COMPUTED_VALUE"""),0.5659722222222222)</f>
        <v>0.5659722222</v>
      </c>
      <c r="L8" s="12">
        <f>IFERROR(__xludf.DUMMYFUNCTION("""COMPUTED_VALUE"""),0.6388888888888888)</f>
        <v>0.6388888889</v>
      </c>
      <c r="M8" s="12">
        <f>IFERROR(__xludf.DUMMYFUNCTION("""COMPUTED_VALUE"""),0.6666666666666666)</f>
        <v>0.6666666667</v>
      </c>
      <c r="N8" s="12">
        <f>IFERROR(__xludf.DUMMYFUNCTION("""COMPUTED_VALUE"""),0.6944444444444444)</f>
        <v>0.6944444444</v>
      </c>
      <c r="O8" s="12">
        <f>IFERROR(__xludf.DUMMYFUNCTION("""COMPUTED_VALUE"""),0.7430555555555556)</f>
        <v>0.7430555556</v>
      </c>
      <c r="P8" s="12">
        <f>IFERROR(__xludf.DUMMYFUNCTION("""COMPUTED_VALUE"""),0.7638888888888888)</f>
        <v>0.7638888889</v>
      </c>
      <c r="Q8" s="12"/>
      <c r="R8" s="12"/>
      <c r="S8" s="12"/>
      <c r="T8" s="12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/>
      <c r="D14" s="12"/>
      <c r="E14" s="12"/>
      <c r="F14" s="12"/>
      <c r="G14" s="12"/>
      <c r="H14" s="12"/>
      <c r="I14" s="12"/>
      <c r="J14" s="12"/>
      <c r="K14" s="12"/>
      <c r="L14" s="87"/>
      <c r="M14" s="87"/>
      <c r="N14" s="87"/>
      <c r="O14" s="87"/>
      <c r="P14" s="87"/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/>
      <c r="D15" s="12"/>
      <c r="E15" s="12"/>
      <c r="F15" s="12"/>
      <c r="G15" s="12"/>
      <c r="H15" s="12"/>
      <c r="I15" s="12"/>
      <c r="J15" s="12"/>
      <c r="K15" s="12"/>
      <c r="L15" s="87"/>
      <c r="M15" s="87"/>
      <c r="N15" s="87"/>
      <c r="O15" s="87"/>
      <c r="P15" s="87"/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7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IFERROR(__xludf.DUMMYFUNCTION("""COMPUTED_VALUE"""),0.23402777777777778)</f>
        <v>0.2340277778</v>
      </c>
      <c r="D21" s="17">
        <f>IFERROR(__xludf.DUMMYFUNCTION("""COMPUTED_VALUE"""),0.27569444444444446)</f>
        <v>0.2756944444</v>
      </c>
      <c r="E21" s="17">
        <f>IFERROR(__xludf.DUMMYFUNCTION("""COMPUTED_VALUE"""),0.3104166666666667)</f>
        <v>0.3104166667</v>
      </c>
      <c r="F21" s="17">
        <f>IFERROR(__xludf.DUMMYFUNCTION("""COMPUTED_VALUE"""),0.3729166666666667)</f>
        <v>0.3729166667</v>
      </c>
      <c r="G21" s="17">
        <f>IFERROR(__xludf.DUMMYFUNCTION("""COMPUTED_VALUE"""),0.39375)</f>
        <v>0.39375</v>
      </c>
      <c r="H21" s="17">
        <f>IFERROR(__xludf.DUMMYFUNCTION("""COMPUTED_VALUE"""),0.44930555555555557)</f>
        <v>0.4493055556</v>
      </c>
      <c r="I21" s="17">
        <f>IFERROR(__xludf.DUMMYFUNCTION("""COMPUTED_VALUE"""),0.5083333333333333)</f>
        <v>0.5083333333</v>
      </c>
      <c r="J21" s="17">
        <f>IFERROR(__xludf.DUMMYFUNCTION("""COMPUTED_VALUE"""),0.55)</f>
        <v>0.55</v>
      </c>
      <c r="K21" s="17">
        <f>IFERROR(__xludf.DUMMYFUNCTION("""COMPUTED_VALUE"""),0.5673611111111111)</f>
        <v>0.5673611111</v>
      </c>
      <c r="L21" s="17">
        <f>IFERROR(__xludf.DUMMYFUNCTION("""COMPUTED_VALUE"""),0.6402777777777777)</f>
        <v>0.6402777778</v>
      </c>
      <c r="M21" s="17">
        <f>IFERROR(__xludf.DUMMYFUNCTION("""COMPUTED_VALUE"""),0.6680555555555555)</f>
        <v>0.6680555556</v>
      </c>
      <c r="N21" s="17">
        <f>IFERROR(__xludf.DUMMYFUNCTION("""COMPUTED_VALUE"""),0.6958333333333333)</f>
        <v>0.6958333333</v>
      </c>
      <c r="O21" s="17">
        <f>IFERROR(__xludf.DUMMYFUNCTION("""COMPUTED_VALUE"""),0.7444444444444445)</f>
        <v>0.7444444444</v>
      </c>
      <c r="P21" s="17">
        <f>IFERROR(__xludf.DUMMYFUNCTION("""COMPUTED_VALUE"""),0.7652777777777777)</f>
        <v>0.7652777778</v>
      </c>
      <c r="Q21" s="17"/>
      <c r="R21" s="17"/>
      <c r="S21" s="17"/>
      <c r="T21" s="17"/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IFERROR(__xludf.DUMMYFUNCTION("""COMPUTED_VALUE"""),0.2361111111111111)</f>
        <v>0.2361111111</v>
      </c>
      <c r="D22" s="17">
        <f>IFERROR(__xludf.DUMMYFUNCTION("""COMPUTED_VALUE"""),0.2777777777777778)</f>
        <v>0.2777777778</v>
      </c>
      <c r="E22" s="17">
        <f>IFERROR(__xludf.DUMMYFUNCTION("""COMPUTED_VALUE"""),0.3125)</f>
        <v>0.3125</v>
      </c>
      <c r="F22" s="17">
        <f>IFERROR(__xludf.DUMMYFUNCTION("""COMPUTED_VALUE"""),0.375)</f>
        <v>0.375</v>
      </c>
      <c r="G22" s="17">
        <f>IFERROR(__xludf.DUMMYFUNCTION("""COMPUTED_VALUE"""),0.3958333333333333)</f>
        <v>0.3958333333</v>
      </c>
      <c r="H22" s="17">
        <f>IFERROR(__xludf.DUMMYFUNCTION("""COMPUTED_VALUE"""),0.4513888888888889)</f>
        <v>0.4513888889</v>
      </c>
      <c r="I22" s="17">
        <f>IFERROR(__xludf.DUMMYFUNCTION("""COMPUTED_VALUE"""),0.5104166666666666)</f>
        <v>0.5104166667</v>
      </c>
      <c r="J22" s="17">
        <f>IFERROR(__xludf.DUMMYFUNCTION("""COMPUTED_VALUE"""),0.5520833333333334)</f>
        <v>0.5520833333</v>
      </c>
      <c r="K22" s="17">
        <f>IFERROR(__xludf.DUMMYFUNCTION("""COMPUTED_VALUE"""),0.5694444444444444)</f>
        <v>0.5694444444</v>
      </c>
      <c r="L22" s="17">
        <f>IFERROR(__xludf.DUMMYFUNCTION("""COMPUTED_VALUE"""),0.6423611111111112)</f>
        <v>0.6423611111</v>
      </c>
      <c r="M22" s="17">
        <f>IFERROR(__xludf.DUMMYFUNCTION("""COMPUTED_VALUE"""),0.6701388888888888)</f>
        <v>0.6701388889</v>
      </c>
      <c r="N22" s="17">
        <f>IFERROR(__xludf.DUMMYFUNCTION("""COMPUTED_VALUE"""),0.6979166666666666)</f>
        <v>0.6979166667</v>
      </c>
      <c r="O22" s="17">
        <f>IFERROR(__xludf.DUMMYFUNCTION("""COMPUTED_VALUE"""),0.7465277777777778)</f>
        <v>0.7465277778</v>
      </c>
      <c r="P22" s="17">
        <f>IFERROR(__xludf.DUMMYFUNCTION("""COMPUTED_VALUE"""),0.7673611111111112)</f>
        <v>0.7673611111</v>
      </c>
      <c r="Q22" s="17"/>
      <c r="R22" s="17"/>
      <c r="S22" s="17"/>
      <c r="T22" s="17"/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IFERROR(__xludf.DUMMYFUNCTION("""COMPUTED_VALUE"""),0.3159722222222222)</f>
        <v>0.3159722222</v>
      </c>
      <c r="F23" s="17">
        <f>IFERROR(__xludf.DUMMYFUNCTION("""COMPUTED_VALUE"""),0.3784722222222222)</f>
        <v>0.3784722222</v>
      </c>
      <c r="G23" s="17">
        <f>IFERROR(__xludf.DUMMYFUNCTION("""COMPUTED_VALUE"""),0.3993055555555556)</f>
        <v>0.3993055556</v>
      </c>
      <c r="H23" s="17">
        <f>IFERROR(__xludf.DUMMYFUNCTION("""COMPUTED_VALUE"""),0.4548611111111111)</f>
        <v>0.4548611111</v>
      </c>
      <c r="I23" s="17">
        <f>IFERROR(__xludf.DUMMYFUNCTION("""COMPUTED_VALUE"""),0.5138888888888888)</f>
        <v>0.5138888889</v>
      </c>
      <c r="J23" s="17">
        <f>IFERROR(__xludf.DUMMYFUNCTION("""COMPUTED_VALUE"""),0.5555555555555556)</f>
        <v>0.5555555556</v>
      </c>
      <c r="K23" s="17">
        <f>IFERROR(__xludf.DUMMYFUNCTION("""COMPUTED_VALUE"""),0.5729166666666666)</f>
        <v>0.5729166667</v>
      </c>
      <c r="L23" s="17">
        <f>IFERROR(__xludf.DUMMYFUNCTION("""COMPUTED_VALUE"""),0.6458333333333334)</f>
        <v>0.6458333333</v>
      </c>
      <c r="M23" s="17">
        <f>IFERROR(__xludf.DUMMYFUNCTION("""COMPUTED_VALUE"""),0.6736111111111112)</f>
        <v>0.6736111111</v>
      </c>
      <c r="N23" s="17">
        <f>IFERROR(__xludf.DUMMYFUNCTION("""COMPUTED_VALUE"""),0.7013888888888888)</f>
        <v>0.7013888889</v>
      </c>
      <c r="O23" s="17">
        <f>IFERROR(__xludf.DUMMYFUNCTION("""COMPUTED_VALUE"""),0.75)</f>
        <v>0.75</v>
      </c>
      <c r="P23" s="17">
        <f>IFERROR(__xludf.DUMMYFUNCTION("""COMPUTED_VALUE"""),0.7708333333333334)</f>
        <v>0.7708333333</v>
      </c>
      <c r="Q23" s="17"/>
      <c r="R23" s="17"/>
      <c r="S23" s="17"/>
      <c r="T23" s="17"/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A33" s="87"/>
      <c r="B33" s="87"/>
      <c r="C33" s="19"/>
      <c r="D33" s="19"/>
      <c r="E33" s="19"/>
      <c r="F33" s="19"/>
      <c r="G33" s="19"/>
      <c r="H33" s="19"/>
      <c r="I33" s="19"/>
      <c r="J33" s="19"/>
      <c r="K33" s="87"/>
      <c r="L33" s="87"/>
      <c r="M33" s="87"/>
      <c r="N33" s="87"/>
      <c r="O33" s="87"/>
      <c r="P33" s="87"/>
    </row>
    <row r="34">
      <c r="A34" s="87"/>
      <c r="B34" s="87"/>
      <c r="C34" s="19"/>
      <c r="D34" s="19"/>
      <c r="E34" s="19"/>
      <c r="F34" s="19"/>
      <c r="G34" s="19"/>
      <c r="H34" s="19"/>
      <c r="I34" s="19"/>
      <c r="J34" s="19"/>
      <c r="K34" s="87"/>
      <c r="L34" s="87"/>
      <c r="M34" s="87"/>
      <c r="N34" s="87"/>
      <c r="O34" s="87"/>
      <c r="P34" s="87"/>
    </row>
    <row r="35">
      <c r="A35" s="87"/>
      <c r="B35" s="87"/>
      <c r="C35" s="19"/>
      <c r="D35" s="19"/>
      <c r="E35" s="19"/>
      <c r="F35" s="19"/>
      <c r="G35" s="19"/>
      <c r="H35" s="19"/>
      <c r="I35" s="19"/>
      <c r="J35" s="19"/>
      <c r="K35" s="87"/>
      <c r="L35" s="87"/>
      <c r="M35" s="87"/>
      <c r="N35" s="87"/>
      <c r="O35" s="87"/>
      <c r="P35" s="87"/>
    </row>
    <row r="36">
      <c r="A36" s="87"/>
      <c r="B36" s="20"/>
      <c r="C36" s="16"/>
      <c r="D36" s="16"/>
      <c r="E36" s="16"/>
      <c r="F36" s="16"/>
      <c r="G36" s="16"/>
      <c r="H36" s="16"/>
      <c r="I36" s="16"/>
      <c r="J36" s="16"/>
      <c r="K36" s="87"/>
      <c r="L36" s="87"/>
      <c r="M36" s="87"/>
      <c r="N36" s="87"/>
      <c r="O36" s="87"/>
      <c r="P36" s="87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87"/>
      <c r="L37" s="87"/>
      <c r="M37" s="87"/>
      <c r="N37" s="87"/>
      <c r="O37" s="87"/>
      <c r="P37" s="8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87"/>
      <c r="L38" s="87"/>
      <c r="M38" s="87"/>
      <c r="N38" s="87"/>
      <c r="O38" s="87"/>
      <c r="P38" s="87"/>
    </row>
    <row r="39">
      <c r="A39" s="92"/>
      <c r="B39" s="19"/>
      <c r="C39" s="19"/>
      <c r="D39" s="19"/>
      <c r="E39" s="19"/>
      <c r="F39" s="19"/>
      <c r="G39" s="19"/>
      <c r="H39" s="19"/>
      <c r="I39" s="19"/>
      <c r="J39" s="19"/>
      <c r="K39" s="87"/>
      <c r="L39" s="87"/>
      <c r="M39" s="87"/>
      <c r="N39" s="87"/>
      <c r="O39" s="87"/>
      <c r="P39" s="87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87"/>
      <c r="L40" s="87"/>
      <c r="M40" s="87"/>
      <c r="N40" s="87"/>
      <c r="O40" s="87"/>
      <c r="P40" s="87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87"/>
      <c r="L41" s="87"/>
      <c r="M41" s="87"/>
      <c r="N41" s="87"/>
      <c r="O41" s="87"/>
      <c r="P41" s="87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87"/>
      <c r="L42" s="87"/>
      <c r="M42" s="87"/>
      <c r="N42" s="87"/>
      <c r="O42" s="87"/>
      <c r="P42" s="8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87"/>
      <c r="L43" s="87"/>
      <c r="M43" s="87"/>
      <c r="N43" s="87"/>
      <c r="O43" s="87"/>
      <c r="P43" s="87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87"/>
      <c r="L44" s="87"/>
      <c r="M44" s="87"/>
      <c r="N44" s="87"/>
      <c r="O44" s="87"/>
      <c r="P44" s="8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87"/>
      <c r="L45" s="87"/>
      <c r="M45" s="87"/>
      <c r="N45" s="87"/>
      <c r="O45" s="87"/>
      <c r="P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</row>
    <row r="51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</row>
    <row r="52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</row>
    <row r="83">
      <c r="A83" s="87"/>
      <c r="B83" s="75"/>
      <c r="C83" s="75"/>
      <c r="D83" s="75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</row>
    <row r="85">
      <c r="A85" s="87"/>
      <c r="B85" s="75"/>
      <c r="C85" s="75"/>
      <c r="D85" s="75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2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9007.0</v>
      </c>
      <c r="F2" s="5">
        <v>9005.0</v>
      </c>
      <c r="G2" s="5">
        <v>9009.0</v>
      </c>
      <c r="H2" s="5">
        <v>9011.0</v>
      </c>
      <c r="I2" s="5">
        <v>9013.0</v>
      </c>
      <c r="J2" s="5">
        <v>9015.0</v>
      </c>
      <c r="K2" s="5">
        <v>9017.0</v>
      </c>
      <c r="L2" s="5">
        <v>9019.0</v>
      </c>
      <c r="M2" s="5">
        <v>9021.0</v>
      </c>
      <c r="N2" s="5">
        <v>9023.0</v>
      </c>
      <c r="O2" s="5">
        <v>9025.0</v>
      </c>
      <c r="P2" s="5">
        <v>9027.0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93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83</v>
      </c>
      <c r="B4" s="15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81</v>
      </c>
      <c r="B5" s="15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79</v>
      </c>
      <c r="B6" s="1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77</v>
      </c>
      <c r="B7" s="14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75</v>
      </c>
      <c r="B8" s="14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73</v>
      </c>
      <c r="B9" s="14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71</v>
      </c>
      <c r="B10" s="14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69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67</v>
      </c>
      <c r="B12" s="14"/>
      <c r="C12" s="12">
        <v>0.2326388888888889</v>
      </c>
      <c r="D12" s="12">
        <v>0.2673611111111111</v>
      </c>
      <c r="E12" s="12">
        <v>0.2916666666666667</v>
      </c>
      <c r="F12" s="12">
        <v>0.3298611111111111</v>
      </c>
      <c r="G12" s="12">
        <v>0.3854166666666667</v>
      </c>
      <c r="H12" s="12">
        <v>0.40625</v>
      </c>
      <c r="I12" s="12">
        <v>0.4618055555555556</v>
      </c>
      <c r="J12" s="12">
        <v>0.5208333333333334</v>
      </c>
      <c r="K12" s="12">
        <v>0.5972222222222222</v>
      </c>
      <c r="L12" s="12">
        <v>0.6527777777777778</v>
      </c>
      <c r="M12" s="12">
        <v>0.7013888888888888</v>
      </c>
      <c r="N12" s="12">
        <v>0.7222222222222222</v>
      </c>
      <c r="O12" s="12">
        <v>0.7638888888888888</v>
      </c>
      <c r="P12" s="12">
        <v>0.7847222222222222</v>
      </c>
      <c r="Q12" s="12"/>
      <c r="R12" s="12"/>
      <c r="S12" s="12"/>
      <c r="T12" s="12"/>
    </row>
    <row r="13">
      <c r="A13" s="1" t="s">
        <v>65</v>
      </c>
      <c r="B13" s="14"/>
      <c r="C13" s="12">
        <v>0.2361111111111111</v>
      </c>
      <c r="D13" s="12">
        <v>0.2708333333333333</v>
      </c>
      <c r="E13" s="12">
        <v>0.2951388888888889</v>
      </c>
      <c r="F13" s="12">
        <v>0.3333333333333333</v>
      </c>
      <c r="G13" s="12">
        <v>0.3888888888888889</v>
      </c>
      <c r="H13" s="12">
        <v>0.4097222222222222</v>
      </c>
      <c r="I13" s="12">
        <v>0.4652777777777778</v>
      </c>
      <c r="J13" s="12">
        <v>0.5243055555555556</v>
      </c>
      <c r="K13" s="12">
        <v>0.6006944444444444</v>
      </c>
      <c r="L13" s="12">
        <v>0.65625</v>
      </c>
      <c r="M13" s="12">
        <v>0.7048611111111112</v>
      </c>
      <c r="N13" s="12">
        <v>0.7256944444444444</v>
      </c>
      <c r="O13" s="12">
        <v>0.7673611111111112</v>
      </c>
      <c r="P13" s="12">
        <v>0.7881944444444444</v>
      </c>
      <c r="Q13" s="12"/>
      <c r="R13" s="12"/>
      <c r="S13" s="12"/>
      <c r="T13" s="12"/>
    </row>
    <row r="14">
      <c r="A14" s="4" t="s">
        <v>63</v>
      </c>
      <c r="B14" s="14"/>
      <c r="C14" s="12">
        <v>0.2375</v>
      </c>
      <c r="D14" s="12">
        <v>0.2722222222222222</v>
      </c>
      <c r="E14" s="12">
        <v>0.2965277777777778</v>
      </c>
      <c r="F14" s="12">
        <v>0.3347222222222222</v>
      </c>
      <c r="G14" s="12">
        <v>0.3902777777777778</v>
      </c>
      <c r="H14" s="12">
        <v>0.4111111111111111</v>
      </c>
      <c r="I14" s="12">
        <v>0.4666666666666667</v>
      </c>
      <c r="J14" s="12">
        <v>0.5256944444444445</v>
      </c>
      <c r="K14" s="12">
        <v>0.6020833333333333</v>
      </c>
      <c r="L14" s="20">
        <v>0.6576388888888889</v>
      </c>
      <c r="M14" s="20">
        <v>0.70625</v>
      </c>
      <c r="N14" s="20">
        <v>0.7270833333333333</v>
      </c>
      <c r="O14" s="20">
        <v>0.76875</v>
      </c>
      <c r="P14" s="20">
        <v>0.7895833333333333</v>
      </c>
    </row>
    <row r="15">
      <c r="A15" s="1" t="s">
        <v>87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20"/>
      <c r="M15" s="20"/>
      <c r="N15" s="20"/>
      <c r="O15" s="20"/>
      <c r="P15" s="20"/>
    </row>
    <row r="16">
      <c r="A16" s="4" t="s">
        <v>89</v>
      </c>
      <c r="B16" s="1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">
        <v>61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">
        <v>59</v>
      </c>
      <c r="B18" s="14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">
        <v>57</v>
      </c>
      <c r="B19" s="14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7" t="s">
        <v>55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">
        <v>53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51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49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47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45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43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41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39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37</v>
      </c>
      <c r="B29" s="19"/>
      <c r="C29" s="17">
        <v>0.23958333333333334</v>
      </c>
      <c r="D29" s="17">
        <v>0.2743055555555556</v>
      </c>
      <c r="E29" s="17">
        <v>0.2986111111111111</v>
      </c>
      <c r="F29" s="17">
        <v>0.3368055555555556</v>
      </c>
      <c r="G29" s="17">
        <v>0.3923611111111111</v>
      </c>
      <c r="H29" s="17">
        <v>0.4131944444444444</v>
      </c>
      <c r="I29" s="17">
        <v>0.46875</v>
      </c>
      <c r="J29" s="17">
        <v>0.5277777777777778</v>
      </c>
      <c r="K29" s="17">
        <v>0.6041666666666666</v>
      </c>
      <c r="L29" s="17">
        <v>0.6597222222222222</v>
      </c>
      <c r="M29" s="17">
        <v>0.7083333333333334</v>
      </c>
      <c r="N29" s="17">
        <v>0.7291666666666666</v>
      </c>
      <c r="O29" s="17">
        <v>0.7708333333333334</v>
      </c>
      <c r="P29" s="17">
        <v>0.7916666666666666</v>
      </c>
      <c r="Q29" s="17"/>
      <c r="R29" s="17"/>
      <c r="S29" s="17"/>
      <c r="T29" s="17"/>
    </row>
    <row r="30">
      <c r="A30" s="18" t="s">
        <v>35</v>
      </c>
      <c r="B30" s="19"/>
      <c r="C30" s="17">
        <v>0.24305555555555555</v>
      </c>
      <c r="D30" s="17">
        <v>0.2777777777777778</v>
      </c>
      <c r="E30" s="17">
        <v>0.3020833333333333</v>
      </c>
      <c r="F30" s="17">
        <v>0.3402777777777778</v>
      </c>
      <c r="G30" s="17">
        <v>0.3958333333333333</v>
      </c>
      <c r="H30" s="17">
        <v>0.4166666666666667</v>
      </c>
      <c r="I30" s="17">
        <v>0.4722222222222222</v>
      </c>
      <c r="J30" s="17">
        <v>0.53125</v>
      </c>
      <c r="K30" s="17">
        <v>0.6076388888888888</v>
      </c>
      <c r="L30" s="17">
        <v>0.6631944444444444</v>
      </c>
      <c r="M30" s="17">
        <v>0.7118055555555556</v>
      </c>
      <c r="N30" s="17">
        <v>0.7326388888888888</v>
      </c>
      <c r="O30" s="17">
        <v>0.7743055555555556</v>
      </c>
      <c r="P30" s="17">
        <v>0.7951388888888888</v>
      </c>
      <c r="Q30" s="17"/>
      <c r="R30" s="17"/>
      <c r="S30" s="17"/>
      <c r="T30" s="17"/>
    </row>
    <row r="31">
      <c r="A31" s="18" t="s">
        <v>33</v>
      </c>
      <c r="B31" s="19"/>
      <c r="C31" s="17">
        <v>0.24513888888888888</v>
      </c>
      <c r="D31" s="17">
        <v>0.2798611111111111</v>
      </c>
      <c r="E31" s="17">
        <v>0.30416666666666664</v>
      </c>
      <c r="F31" s="17">
        <v>0.3423611111111111</v>
      </c>
      <c r="G31" s="17">
        <v>0.39791666666666664</v>
      </c>
      <c r="H31" s="17">
        <v>0.41875</v>
      </c>
      <c r="I31" s="17">
        <v>0.47430555555555554</v>
      </c>
      <c r="J31" s="17">
        <v>0.5333333333333333</v>
      </c>
      <c r="K31" s="17">
        <v>0.6097222222222223</v>
      </c>
      <c r="L31" s="17">
        <v>0.6652777777777777</v>
      </c>
      <c r="M31" s="17">
        <v>0.7138888888888889</v>
      </c>
      <c r="N31" s="17">
        <v>0.7347222222222223</v>
      </c>
      <c r="O31" s="17">
        <v>0.7763888888888889</v>
      </c>
      <c r="P31" s="17">
        <v>0.7972222222222223</v>
      </c>
      <c r="Q31" s="17"/>
      <c r="R31" s="17"/>
      <c r="S31" s="17"/>
      <c r="T31" s="17"/>
    </row>
    <row r="32">
      <c r="A32" s="18" t="s">
        <v>31</v>
      </c>
      <c r="B32" s="19"/>
      <c r="C32" s="17">
        <v>0.24791666666666667</v>
      </c>
      <c r="D32" s="17">
        <v>0.2826388888888889</v>
      </c>
      <c r="E32" s="17">
        <v>0.30694444444444446</v>
      </c>
      <c r="F32" s="17">
        <v>0.3451388888888889</v>
      </c>
      <c r="G32" s="17">
        <v>0.40069444444444446</v>
      </c>
      <c r="H32" s="17">
        <v>0.4215277777777778</v>
      </c>
      <c r="I32" s="17">
        <v>0.47708333333333336</v>
      </c>
      <c r="J32" s="17">
        <v>0.5361111111111111</v>
      </c>
      <c r="K32" s="12">
        <v>0.6125</v>
      </c>
      <c r="L32" s="12">
        <v>0.6680555555555555</v>
      </c>
      <c r="M32" s="12">
        <v>0.7166666666666667</v>
      </c>
      <c r="N32" s="12">
        <v>0.7375</v>
      </c>
      <c r="O32" s="12">
        <v>0.7791666666666667</v>
      </c>
      <c r="P32" s="12">
        <v>0.8</v>
      </c>
    </row>
    <row r="33">
      <c r="A33" s="87" t="s">
        <v>29</v>
      </c>
      <c r="B33" s="20"/>
      <c r="C33" s="17">
        <v>0.25</v>
      </c>
      <c r="D33" s="17">
        <v>0.2847222222222222</v>
      </c>
      <c r="E33" s="17">
        <v>0.3090277777777778</v>
      </c>
      <c r="F33" s="17">
        <v>0.3472222222222222</v>
      </c>
      <c r="G33" s="17">
        <v>0.4027777777777778</v>
      </c>
      <c r="H33" s="17">
        <v>0.4236111111111111</v>
      </c>
      <c r="I33" s="17">
        <v>0.4791666666666667</v>
      </c>
      <c r="J33" s="17">
        <v>0.5381944444444444</v>
      </c>
      <c r="K33" s="12">
        <v>0.6145833333333334</v>
      </c>
      <c r="L33" s="12">
        <v>0.6701388888888888</v>
      </c>
      <c r="M33" s="12">
        <v>0.71875</v>
      </c>
      <c r="N33" s="12">
        <v>0.7395833333333334</v>
      </c>
      <c r="O33" s="12">
        <v>0.78125</v>
      </c>
      <c r="P33" s="12">
        <v>0.8020833333333334</v>
      </c>
    </row>
    <row r="34">
      <c r="A34" s="87" t="s">
        <v>27</v>
      </c>
      <c r="B34" s="20"/>
      <c r="C34" s="17">
        <v>0.2534722222222222</v>
      </c>
      <c r="D34" s="17">
        <v>0.2881944444444444</v>
      </c>
      <c r="E34" s="17">
        <v>0.3125</v>
      </c>
      <c r="F34" s="17">
        <v>0.3506944444444444</v>
      </c>
      <c r="G34" s="17">
        <v>0.40625</v>
      </c>
      <c r="H34" s="17">
        <v>0.4270833333333333</v>
      </c>
      <c r="I34" s="17">
        <v>0.4826388888888889</v>
      </c>
      <c r="J34" s="17">
        <v>0.5416666666666666</v>
      </c>
      <c r="K34" s="12">
        <v>0.6180555555555556</v>
      </c>
      <c r="L34" s="12">
        <v>0.6736111111111112</v>
      </c>
      <c r="M34" s="12">
        <v>0.7222222222222222</v>
      </c>
      <c r="N34" s="12">
        <v>0.7430555555555556</v>
      </c>
      <c r="O34" s="12">
        <v>0.7847222222222222</v>
      </c>
      <c r="P34" s="12">
        <v>0.8055555555555556</v>
      </c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/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9006.0</v>
      </c>
      <c r="F2" s="5">
        <v>9008.0</v>
      </c>
      <c r="G2" s="5">
        <v>9010.0</v>
      </c>
      <c r="H2" s="5">
        <v>9012.0</v>
      </c>
      <c r="I2" s="5">
        <v>9014.0</v>
      </c>
      <c r="J2" s="5">
        <v>9014.0</v>
      </c>
      <c r="K2" s="5">
        <v>9016.0</v>
      </c>
      <c r="L2" s="5">
        <v>9020.0</v>
      </c>
      <c r="M2" s="5">
        <v>9022.0</v>
      </c>
      <c r="N2" s="5">
        <v>9024.0</v>
      </c>
      <c r="O2" s="5">
        <v>9026.0</v>
      </c>
      <c r="P2" s="5">
        <v>9028.0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27</v>
      </c>
      <c r="B3" s="8"/>
      <c r="C3" s="9">
        <v>0.21875</v>
      </c>
      <c r="D3" s="9">
        <v>0.2604166666666667</v>
      </c>
      <c r="E3" s="9">
        <v>0.2951388888888889</v>
      </c>
      <c r="F3" s="9">
        <v>0.3576388888888889</v>
      </c>
      <c r="G3" s="9">
        <v>0.3784722222222222</v>
      </c>
      <c r="H3" s="9">
        <v>0.4340277777777778</v>
      </c>
      <c r="I3" s="9">
        <v>0.4930555555555556</v>
      </c>
      <c r="J3" s="9">
        <v>0.5347222222222222</v>
      </c>
      <c r="K3" s="9">
        <v>0.5520833333333334</v>
      </c>
      <c r="L3" s="9">
        <v>0.625</v>
      </c>
      <c r="M3" s="9">
        <v>0.6527777777777778</v>
      </c>
      <c r="N3" s="9">
        <v>0.6805555555555556</v>
      </c>
      <c r="O3" s="9">
        <v>0.7291666666666666</v>
      </c>
      <c r="P3" s="9"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29</v>
      </c>
      <c r="B4" s="11"/>
      <c r="C4" s="12">
        <v>0.22291666666666668</v>
      </c>
      <c r="D4" s="12">
        <v>0.26458333333333334</v>
      </c>
      <c r="E4" s="12">
        <v>0.29930555555555555</v>
      </c>
      <c r="F4" s="12">
        <v>0.36180555555555555</v>
      </c>
      <c r="G4" s="12">
        <v>0.38263888888888886</v>
      </c>
      <c r="H4" s="12">
        <v>0.43819444444444444</v>
      </c>
      <c r="I4" s="12">
        <v>0.49722222222222223</v>
      </c>
      <c r="J4" s="12">
        <v>0.5388888888888889</v>
      </c>
      <c r="K4" s="12">
        <v>0.55625</v>
      </c>
      <c r="L4" s="12">
        <v>0.6291666666666667</v>
      </c>
      <c r="M4" s="12">
        <v>0.6569444444444444</v>
      </c>
      <c r="N4" s="12">
        <v>0.6847222222222222</v>
      </c>
      <c r="O4" s="12">
        <v>0.7333333333333333</v>
      </c>
      <c r="P4" s="12">
        <v>0.7541666666666667</v>
      </c>
      <c r="Q4" s="12"/>
      <c r="R4" s="12"/>
      <c r="S4" s="12"/>
      <c r="T4" s="12"/>
    </row>
    <row r="5">
      <c r="A5" s="1" t="s">
        <v>31</v>
      </c>
      <c r="B5" s="11"/>
      <c r="C5" s="12">
        <v>0.225</v>
      </c>
      <c r="D5" s="12">
        <v>0.26666666666666666</v>
      </c>
      <c r="E5" s="12">
        <v>0.3013888888888889</v>
      </c>
      <c r="F5" s="12">
        <v>0.3638888888888889</v>
      </c>
      <c r="G5" s="12">
        <v>0.38472222222222224</v>
      </c>
      <c r="H5" s="12">
        <v>0.44027777777777777</v>
      </c>
      <c r="I5" s="12">
        <v>0.49930555555555556</v>
      </c>
      <c r="J5" s="12">
        <v>0.5409722222222222</v>
      </c>
      <c r="K5" s="12">
        <v>0.5583333333333333</v>
      </c>
      <c r="L5" s="12">
        <v>0.63125</v>
      </c>
      <c r="M5" s="12">
        <v>0.6590277777777778</v>
      </c>
      <c r="N5" s="12">
        <v>0.6868055555555556</v>
      </c>
      <c r="O5" s="12">
        <v>0.7354166666666667</v>
      </c>
      <c r="P5" s="12">
        <v>0.75625</v>
      </c>
      <c r="Q5" s="12"/>
      <c r="R5" s="12"/>
      <c r="S5" s="12"/>
      <c r="T5" s="12"/>
    </row>
    <row r="6">
      <c r="A6" s="1" t="s">
        <v>33</v>
      </c>
      <c r="B6" s="11"/>
      <c r="C6" s="12">
        <v>0.22777777777777777</v>
      </c>
      <c r="D6" s="12">
        <v>0.26944444444444443</v>
      </c>
      <c r="E6" s="12">
        <v>0.30416666666666664</v>
      </c>
      <c r="F6" s="12">
        <v>0.36666666666666664</v>
      </c>
      <c r="G6" s="12">
        <v>0.3875</v>
      </c>
      <c r="H6" s="12">
        <v>0.44305555555555554</v>
      </c>
      <c r="I6" s="12">
        <v>0.5020833333333333</v>
      </c>
      <c r="J6" s="12">
        <v>0.54375</v>
      </c>
      <c r="K6" s="12">
        <v>0.5611111111111111</v>
      </c>
      <c r="L6" s="12">
        <v>0.6340277777777777</v>
      </c>
      <c r="M6" s="12">
        <v>0.6618055555555555</v>
      </c>
      <c r="N6" s="12">
        <v>0.6895833333333333</v>
      </c>
      <c r="O6" s="12">
        <v>0.7381944444444445</v>
      </c>
      <c r="P6" s="12">
        <v>0.7590277777777777</v>
      </c>
      <c r="Q6" s="12"/>
      <c r="R6" s="12"/>
      <c r="S6" s="12"/>
      <c r="T6" s="12"/>
    </row>
    <row r="7">
      <c r="A7" s="1" t="s">
        <v>35</v>
      </c>
      <c r="B7" s="13"/>
      <c r="C7" s="12">
        <v>0.23055555555555557</v>
      </c>
      <c r="D7" s="12">
        <v>0.2722222222222222</v>
      </c>
      <c r="E7" s="12">
        <v>0.30694444444444446</v>
      </c>
      <c r="F7" s="12">
        <v>0.36944444444444446</v>
      </c>
      <c r="G7" s="12">
        <v>0.3902777777777778</v>
      </c>
      <c r="H7" s="12">
        <v>0.44583333333333336</v>
      </c>
      <c r="I7" s="12">
        <v>0.5048611111111111</v>
      </c>
      <c r="J7" s="12">
        <v>0.5465277777777777</v>
      </c>
      <c r="K7" s="12">
        <v>0.5638888888888889</v>
      </c>
      <c r="L7" s="12">
        <v>0.6368055555555555</v>
      </c>
      <c r="M7" s="12">
        <v>0.6645833333333333</v>
      </c>
      <c r="N7" s="12">
        <v>0.6923611111111111</v>
      </c>
      <c r="O7" s="12">
        <v>0.7409722222222223</v>
      </c>
      <c r="P7" s="12">
        <v>0.7618055555555555</v>
      </c>
      <c r="Q7" s="12"/>
      <c r="R7" s="12"/>
      <c r="S7" s="12"/>
      <c r="T7" s="12"/>
    </row>
    <row r="8">
      <c r="A8" s="1" t="s">
        <v>37</v>
      </c>
      <c r="B8" s="13"/>
      <c r="C8" s="12">
        <v>0.2326388888888889</v>
      </c>
      <c r="D8" s="12">
        <v>0.2743055555555556</v>
      </c>
      <c r="E8" s="12">
        <v>0.3090277777777778</v>
      </c>
      <c r="F8" s="12">
        <v>0.3715277777777778</v>
      </c>
      <c r="G8" s="12">
        <v>0.3923611111111111</v>
      </c>
      <c r="H8" s="12">
        <v>0.4479166666666667</v>
      </c>
      <c r="I8" s="12">
        <v>0.5069444444444444</v>
      </c>
      <c r="J8" s="12">
        <v>0.5486111111111112</v>
      </c>
      <c r="K8" s="12">
        <v>0.5659722222222222</v>
      </c>
      <c r="L8" s="12">
        <v>0.6388888888888888</v>
      </c>
      <c r="M8" s="12">
        <v>0.6666666666666666</v>
      </c>
      <c r="N8" s="12">
        <v>0.6944444444444444</v>
      </c>
      <c r="O8" s="12">
        <v>0.7430555555555556</v>
      </c>
      <c r="P8" s="12">
        <v>0.7638888888888888</v>
      </c>
      <c r="Q8" s="12"/>
      <c r="R8" s="12"/>
      <c r="S8" s="12"/>
      <c r="T8" s="12"/>
    </row>
    <row r="9">
      <c r="A9" s="1" t="s">
        <v>39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41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43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45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47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">
        <v>49</v>
      </c>
      <c r="B14" s="91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">
        <v>51</v>
      </c>
      <c r="B15" s="91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">
        <v>53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">
        <v>55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">
        <v>57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">
        <v>59</v>
      </c>
      <c r="B19" s="9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7" t="s">
        <v>61</v>
      </c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6"/>
      <c r="R20" s="16"/>
      <c r="S20" s="16"/>
      <c r="T20" s="16"/>
    </row>
    <row r="21">
      <c r="A21" s="16" t="s">
        <v>63</v>
      </c>
      <c r="B21" s="19"/>
      <c r="C21" s="17">
        <v>0.23402777777777778</v>
      </c>
      <c r="D21" s="17">
        <v>0.27569444444444446</v>
      </c>
      <c r="E21" s="17">
        <v>0.3104166666666667</v>
      </c>
      <c r="F21" s="17">
        <v>0.3729166666666667</v>
      </c>
      <c r="G21" s="17">
        <v>0.39375</v>
      </c>
      <c r="H21" s="17">
        <v>0.44930555555555557</v>
      </c>
      <c r="I21" s="17">
        <v>0.5083333333333333</v>
      </c>
      <c r="J21" s="17">
        <v>0.55</v>
      </c>
      <c r="K21" s="17">
        <v>0.5673611111111111</v>
      </c>
      <c r="L21" s="17">
        <v>0.6402777777777777</v>
      </c>
      <c r="M21" s="17">
        <v>0.6680555555555555</v>
      </c>
      <c r="N21" s="17">
        <v>0.6958333333333333</v>
      </c>
      <c r="O21" s="17">
        <v>0.7444444444444445</v>
      </c>
      <c r="P21" s="17">
        <v>0.7652777777777777</v>
      </c>
      <c r="Q21" s="17"/>
      <c r="R21" s="17"/>
      <c r="S21" s="17"/>
      <c r="T21" s="17"/>
    </row>
    <row r="22">
      <c r="A22" s="18" t="s">
        <v>65</v>
      </c>
      <c r="B22" s="19"/>
      <c r="C22" s="17">
        <v>0.2361111111111111</v>
      </c>
      <c r="D22" s="17">
        <v>0.2777777777777778</v>
      </c>
      <c r="E22" s="17">
        <v>0.3125</v>
      </c>
      <c r="F22" s="17">
        <v>0.375</v>
      </c>
      <c r="G22" s="17">
        <v>0.3958333333333333</v>
      </c>
      <c r="H22" s="17">
        <v>0.4513888888888889</v>
      </c>
      <c r="I22" s="17">
        <v>0.5104166666666666</v>
      </c>
      <c r="J22" s="17">
        <v>0.5520833333333334</v>
      </c>
      <c r="K22" s="17">
        <v>0.5694444444444444</v>
      </c>
      <c r="L22" s="17">
        <v>0.6423611111111112</v>
      </c>
      <c r="M22" s="17">
        <v>0.6701388888888888</v>
      </c>
      <c r="N22" s="17">
        <v>0.6979166666666666</v>
      </c>
      <c r="O22" s="17">
        <v>0.7465277777777778</v>
      </c>
      <c r="P22" s="17">
        <v>0.7673611111111112</v>
      </c>
      <c r="Q22" s="17"/>
      <c r="R22" s="17"/>
      <c r="S22" s="17"/>
      <c r="T22" s="17"/>
    </row>
    <row r="23">
      <c r="A23" s="18" t="s">
        <v>67</v>
      </c>
      <c r="B23" s="19"/>
      <c r="C23" s="17">
        <v>0.23958333333333334</v>
      </c>
      <c r="D23" s="17">
        <v>0.28125</v>
      </c>
      <c r="E23" s="17">
        <v>0.3159722222222222</v>
      </c>
      <c r="F23" s="17">
        <v>0.3784722222222222</v>
      </c>
      <c r="G23" s="17">
        <v>0.3993055555555556</v>
      </c>
      <c r="H23" s="17">
        <v>0.4548611111111111</v>
      </c>
      <c r="I23" s="17">
        <v>0.5138888888888888</v>
      </c>
      <c r="J23" s="17">
        <v>0.5555555555555556</v>
      </c>
      <c r="K23" s="17">
        <v>0.5729166666666666</v>
      </c>
      <c r="L23" s="17">
        <v>0.6458333333333334</v>
      </c>
      <c r="M23" s="17">
        <v>0.6736111111111112</v>
      </c>
      <c r="N23" s="17">
        <v>0.7013888888888888</v>
      </c>
      <c r="O23" s="17">
        <v>0.75</v>
      </c>
      <c r="P23" s="17">
        <v>0.7708333333333334</v>
      </c>
      <c r="Q23" s="17"/>
      <c r="R23" s="17"/>
      <c r="S23" s="17"/>
      <c r="T23" s="17"/>
    </row>
    <row r="24">
      <c r="A24" s="18" t="s">
        <v>69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71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73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">
        <v>75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">
        <v>77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">
        <v>79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">
        <v>81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">
        <v>83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">
        <v>85</v>
      </c>
      <c r="B32" s="19"/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IFERROR(__xludf.DUMMYFUNCTION("ArrayFormula((FILTER('CTCEN-OUT_Weekday'!A:BZ, BYCOL('CTCEN-OUT_Weekday'!A:BZ, LAMBDA(c, OR(COLUMN(c)&lt;=2, INDEX(c, MATCH(""*NOLUNGILE*"", 'CTCEN-OUT_Weekday'!$A:$A, 0))&lt;&gt;""""))))))
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IFERROR(__xludf.DUMMYFUNCTION("""COMPUTED_VALUE"""),9901.0)</f>
        <v>9901</v>
      </c>
      <c r="D2" s="5">
        <f>IFERROR(__xludf.DUMMYFUNCTION("""COMPUTED_VALUE"""),9401.0)</f>
        <v>9401</v>
      </c>
      <c r="E2" s="5">
        <f>IFERROR(__xludf.DUMMYFUNCTION("""COMPUTED_VALUE"""),9903.0)</f>
        <v>9903</v>
      </c>
      <c r="F2" s="5">
        <f>IFERROR(__xludf.DUMMYFUNCTION("""COMPUTED_VALUE"""),9403.0)</f>
        <v>9403</v>
      </c>
      <c r="G2" s="5">
        <f>IFERROR(__xludf.DUMMYFUNCTION("""COMPUTED_VALUE"""),9905.0)</f>
        <v>9905</v>
      </c>
      <c r="H2" s="5">
        <f>IFERROR(__xludf.DUMMYFUNCTION("""COMPUTED_VALUE"""),9405.0)</f>
        <v>9405</v>
      </c>
      <c r="I2" s="5">
        <f>IFERROR(__xludf.DUMMYFUNCTION("""COMPUTED_VALUE"""),9907.0)</f>
        <v>9907</v>
      </c>
      <c r="J2" s="5">
        <f>IFERROR(__xludf.DUMMYFUNCTION("""COMPUTED_VALUE"""),9909.0)</f>
        <v>9909</v>
      </c>
      <c r="K2" s="5">
        <f>IFERROR(__xludf.DUMMYFUNCTION("""COMPUTED_VALUE"""),9911.0)</f>
        <v>9911</v>
      </c>
      <c r="L2" s="5">
        <f>IFERROR(__xludf.DUMMYFUNCTION("""COMPUTED_VALUE"""),9407.0)</f>
        <v>9407</v>
      </c>
      <c r="M2" s="5">
        <f>IFERROR(__xludf.DUMMYFUNCTION("""COMPUTED_VALUE"""),9913.0)</f>
        <v>9913</v>
      </c>
      <c r="N2" s="5">
        <f>IFERROR(__xludf.DUMMYFUNCTION("""COMPUTED_VALUE"""),9409.0)</f>
        <v>9409</v>
      </c>
      <c r="O2" s="5">
        <f>IFERROR(__xludf.DUMMYFUNCTION("""COMPUTED_VALUE"""),9915.0)</f>
        <v>9915</v>
      </c>
      <c r="P2" s="5">
        <f>IFERROR(__xludf.DUMMYFUNCTION("""COMPUTED_VALUE"""),9411.0)</f>
        <v>9411</v>
      </c>
      <c r="Q2" s="5">
        <f>IFERROR(__xludf.DUMMYFUNCTION("""COMPUTED_VALUE"""),9917.0)</f>
        <v>9917</v>
      </c>
      <c r="R2" s="5">
        <f>IFERROR(__xludf.DUMMYFUNCTION("""COMPUTED_VALUE"""),9413.0)</f>
        <v>9413</v>
      </c>
      <c r="S2" s="5">
        <f>IFERROR(__xludf.DUMMYFUNCTION("""COMPUTED_VALUE"""),9919.0)</f>
        <v>9919</v>
      </c>
      <c r="T2" s="5">
        <f>IFERROR(__xludf.DUMMYFUNCTION("""COMPUTED_VALUE"""),9415.0)</f>
        <v>9415</v>
      </c>
      <c r="U2" s="6">
        <f>IFERROR(__xludf.DUMMYFUNCTION("""COMPUTED_VALUE"""),9921.0)</f>
        <v>9921</v>
      </c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8" t="str">
        <f>IFERROR(__xludf.DUMMYFUNCTION("""COMPUTED_VALUE"""),"-33.92363127060243, 18.42718648501388")</f>
        <v>-33.92363127060243, 18.42718648501388</v>
      </c>
      <c r="C3" s="9">
        <f>IFERROR(__xludf.DUMMYFUNCTION("""COMPUTED_VALUE"""),0.2013888888888889)</f>
        <v>0.2013888889</v>
      </c>
      <c r="D3" s="9">
        <f>IFERROR(__xludf.DUMMYFUNCTION("""COMPUTED_VALUE"""),0.24305555555555555)</f>
        <v>0.2430555556</v>
      </c>
      <c r="E3" s="9">
        <f>IFERROR(__xludf.DUMMYFUNCTION("""COMPUTED_VALUE"""),0.2534722222222222)</f>
        <v>0.2534722222</v>
      </c>
      <c r="F3" s="9">
        <f>IFERROR(__xludf.DUMMYFUNCTION("""COMPUTED_VALUE"""),0.2951388888888889)</f>
        <v>0.2951388889</v>
      </c>
      <c r="G3" s="9">
        <f>IFERROR(__xludf.DUMMYFUNCTION("""COMPUTED_VALUE"""),0.3055555555555556)</f>
        <v>0.3055555556</v>
      </c>
      <c r="H3" s="9">
        <f>IFERROR(__xludf.DUMMYFUNCTION("""COMPUTED_VALUE"""),0.34930555555555554)</f>
        <v>0.3493055556</v>
      </c>
      <c r="I3" s="9">
        <f>IFERROR(__xludf.DUMMYFUNCTION("""COMPUTED_VALUE"""),0.375)</f>
        <v>0.375</v>
      </c>
      <c r="J3" s="9">
        <f>IFERROR(__xludf.DUMMYFUNCTION("""COMPUTED_VALUE"""),0.4305555555555556)</f>
        <v>0.4305555556</v>
      </c>
      <c r="K3" s="9">
        <f>IFERROR(__xludf.DUMMYFUNCTION("""COMPUTED_VALUE"""),0.4861111111111111)</f>
        <v>0.4861111111</v>
      </c>
      <c r="L3" s="9">
        <f>IFERROR(__xludf.DUMMYFUNCTION("""COMPUTED_VALUE"""),0.4965277777777778)</f>
        <v>0.4965277778</v>
      </c>
      <c r="M3" s="9">
        <f>IFERROR(__xludf.DUMMYFUNCTION("""COMPUTED_VALUE"""),0.5729166666666666)</f>
        <v>0.5729166667</v>
      </c>
      <c r="N3" s="9">
        <f>IFERROR(__xludf.DUMMYFUNCTION("""COMPUTED_VALUE"""),0.5902777777777778)</f>
        <v>0.5902777778</v>
      </c>
      <c r="O3" s="9">
        <f>IFERROR(__xludf.DUMMYFUNCTION("""COMPUTED_VALUE"""),0.625)</f>
        <v>0.625</v>
      </c>
      <c r="P3" s="9">
        <f>IFERROR(__xludf.DUMMYFUNCTION("""COMPUTED_VALUE"""),0.6631944444444444)</f>
        <v>0.6631944444</v>
      </c>
      <c r="Q3" s="9">
        <f>IFERROR(__xludf.DUMMYFUNCTION("""COMPUTED_VALUE"""),0.6770833333333334)</f>
        <v>0.6770833333</v>
      </c>
      <c r="R3" s="9">
        <f>IFERROR(__xludf.DUMMYFUNCTION("""COMPUTED_VALUE"""),0.7243055555555555)</f>
        <v>0.7243055556</v>
      </c>
      <c r="S3" s="9">
        <f>IFERROR(__xludf.DUMMYFUNCTION("""COMPUTED_VALUE"""),0.7326388888888888)</f>
        <v>0.7326388889</v>
      </c>
      <c r="T3" s="9">
        <f>IFERROR(__xludf.DUMMYFUNCTION("""COMPUTED_VALUE"""),0.7569444444444444)</f>
        <v>0.7569444444</v>
      </c>
      <c r="U3" s="89">
        <f>IFERROR(__xludf.DUMMYFUNCTION("""COMPUTED_VALUE"""),0.8020833333333334)</f>
        <v>0.8020833333</v>
      </c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90" t="str">
        <f>IFERROR(__xludf.DUMMYFUNCTION("""COMPUTED_VALUE"""),"-33.925058308184404, 18.44613913370814")</f>
        <v>-33.925058308184404, 18.44613913370814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tr">
        <f>IFERROR(__xludf.DUMMYFUNCTION("""COMPUTED_VALUE"""),"SALT RIVER")</f>
        <v>SALT RIVER</v>
      </c>
      <c r="B5" s="90" t="str">
        <f>IFERROR(__xludf.DUMMYFUNCTION("""COMPUTED_VALUE"""),"-33.92754558428959, 18.464689555116372")</f>
        <v>-33.92754558428959, 18.464689555116372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tr">
        <f>IFERROR(__xludf.DUMMYFUNCTION("""COMPUTED_VALUE"""),"KOEBERG RD")</f>
        <v>KOEBERG RD</v>
      </c>
      <c r="B6" s="90" t="str">
        <f>IFERROR(__xludf.DUMMYFUNCTION("""COMPUTED_VALUE"""),"-33.92570961024241, 18.47887742815667")</f>
        <v>-33.92570961024241, 18.47887742815667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1" t="str">
        <f>IFERROR(__xludf.DUMMYFUNCTION("""COMPUTED_VALUE"""),"MAITLAND")</f>
        <v>MAITLAND</v>
      </c>
      <c r="B7" s="91" t="str">
        <f>IFERROR(__xludf.DUMMYFUNCTION("""COMPUTED_VALUE"""),"-33.92465193392986, 18.487001988940953")</f>
        <v>-33.92465193392986, 18.487001988940953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</row>
    <row r="8">
      <c r="A8" s="1" t="str">
        <f>IFERROR(__xludf.DUMMYFUNCTION("""COMPUTED_VALUE"""),"NDABENI")</f>
        <v>NDABENI</v>
      </c>
      <c r="B8" s="91" t="str">
        <f>IFERROR(__xludf.DUMMYFUNCTION("""COMPUTED_VALUE"""),"-33.928548273196824, 18.495159894144553")</f>
        <v>-33.928548273196824, 18.495159894144553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</row>
    <row r="9">
      <c r="A9" s="1" t="str">
        <f>IFERROR(__xludf.DUMMYFUNCTION("""COMPUTED_VALUE"""),"PINELANDS")</f>
        <v>PINELANDS</v>
      </c>
      <c r="B9" s="91" t="str">
        <f>IFERROR(__xludf.DUMMYFUNCTION("""COMPUTED_VALUE"""),"-33.93964476336891, 18.490635019900687")</f>
        <v>-33.93964476336891, 18.490635019900687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1" t="str">
        <f>IFERROR(__xludf.DUMMYFUNCTION("""COMPUTED_VALUE"""),"ESPLANADE")</f>
        <v>ESPLANADE</v>
      </c>
      <c r="B10" s="91" t="str">
        <f>IFERROR(__xludf.DUMMYFUNCTION("""COMPUTED_VALUE"""),"-33.923640784366874, 18.446037955514498")</f>
        <v>-33.923640784366874, 18.446037955514498</v>
      </c>
      <c r="C10" s="12">
        <f>IFERROR(__xludf.DUMMYFUNCTION("""COMPUTED_VALUE"""),0.20833333333333334)</f>
        <v>0.2083333333</v>
      </c>
      <c r="D10" s="12">
        <f>IFERROR(__xludf.DUMMYFUNCTION("""COMPUTED_VALUE"""),0.25)</f>
        <v>0.25</v>
      </c>
      <c r="E10" s="12">
        <f>IFERROR(__xludf.DUMMYFUNCTION("""COMPUTED_VALUE"""),0.2604166666666667)</f>
        <v>0.2604166667</v>
      </c>
      <c r="F10" s="12">
        <f>IFERROR(__xludf.DUMMYFUNCTION("""COMPUTED_VALUE"""),0.3020833333333333)</f>
        <v>0.3020833333</v>
      </c>
      <c r="G10" s="12">
        <f>IFERROR(__xludf.DUMMYFUNCTION("""COMPUTED_VALUE"""),0.3125)</f>
        <v>0.3125</v>
      </c>
      <c r="H10" s="12">
        <f>IFERROR(__xludf.DUMMYFUNCTION("""COMPUTED_VALUE"""),0.35625)</f>
        <v>0.35625</v>
      </c>
      <c r="I10" s="12">
        <f>IFERROR(__xludf.DUMMYFUNCTION("""COMPUTED_VALUE"""),0.3819444444444444)</f>
        <v>0.3819444444</v>
      </c>
      <c r="J10" s="12">
        <f>IFERROR(__xludf.DUMMYFUNCTION("""COMPUTED_VALUE"""),0.4375)</f>
        <v>0.4375</v>
      </c>
      <c r="K10" s="12">
        <f>IFERROR(__xludf.DUMMYFUNCTION("""COMPUTED_VALUE"""),0.4930555555555556)</f>
        <v>0.4930555556</v>
      </c>
      <c r="L10" s="12">
        <f>IFERROR(__xludf.DUMMYFUNCTION("""COMPUTED_VALUE"""),0.5034722222222222)</f>
        <v>0.5034722222</v>
      </c>
      <c r="M10" s="12">
        <f>IFERROR(__xludf.DUMMYFUNCTION("""COMPUTED_VALUE"""),0.5798611111111112)</f>
        <v>0.5798611111</v>
      </c>
      <c r="N10" s="12">
        <f>IFERROR(__xludf.DUMMYFUNCTION("""COMPUTED_VALUE"""),0.5972222222222222)</f>
        <v>0.5972222222</v>
      </c>
      <c r="O10" s="12">
        <f>IFERROR(__xludf.DUMMYFUNCTION("""COMPUTED_VALUE"""),0.6319444444444444)</f>
        <v>0.6319444444</v>
      </c>
      <c r="P10" s="12">
        <f>IFERROR(__xludf.DUMMYFUNCTION("""COMPUTED_VALUE"""),0.6701388888888888)</f>
        <v>0.6701388889</v>
      </c>
      <c r="Q10" s="12">
        <f>IFERROR(__xludf.DUMMYFUNCTION("""COMPUTED_VALUE"""),0.6840277777777778)</f>
        <v>0.6840277778</v>
      </c>
      <c r="R10" s="12">
        <f>IFERROR(__xludf.DUMMYFUNCTION("""COMPUTED_VALUE"""),0.73125)</f>
        <v>0.73125</v>
      </c>
      <c r="S10" s="12">
        <f>IFERROR(__xludf.DUMMYFUNCTION("""COMPUTED_VALUE"""),0.7395833333333334)</f>
        <v>0.7395833333</v>
      </c>
      <c r="T10" s="12">
        <f>IFERROR(__xludf.DUMMYFUNCTION("""COMPUTED_VALUE"""),0.7638888888888888)</f>
        <v>0.7638888889</v>
      </c>
      <c r="U10" s="20">
        <f>IFERROR(__xludf.DUMMYFUNCTION("""COMPUTED_VALUE"""),0.8090277777777778)</f>
        <v>0.8090277778</v>
      </c>
    </row>
    <row r="11">
      <c r="A11" s="1" t="str">
        <f>IFERROR(__xludf.DUMMYFUNCTION("""COMPUTED_VALUE"""),"YSTERPLAAT")</f>
        <v>YSTERPLAAT</v>
      </c>
      <c r="B11" s="91" t="str">
        <f>IFERROR(__xludf.DUMMYFUNCTION("""COMPUTED_VALUE"""),"-33.9199022523178, 18.476775305514295")</f>
        <v>-33.9199022523178, 18.476775305514295</v>
      </c>
      <c r="C11" s="12">
        <f>IFERROR(__xludf.DUMMYFUNCTION("""COMPUTED_VALUE"""),0.21666666666666667)</f>
        <v>0.2166666667</v>
      </c>
      <c r="D11" s="12">
        <f>IFERROR(__xludf.DUMMYFUNCTION("""COMPUTED_VALUE"""),0.25833333333333336)</f>
        <v>0.2583333333</v>
      </c>
      <c r="E11" s="12">
        <f>IFERROR(__xludf.DUMMYFUNCTION("""COMPUTED_VALUE"""),0.26875)</f>
        <v>0.26875</v>
      </c>
      <c r="F11" s="12">
        <f>IFERROR(__xludf.DUMMYFUNCTION("""COMPUTED_VALUE"""),0.3104166666666667)</f>
        <v>0.3104166667</v>
      </c>
      <c r="G11" s="12">
        <f>IFERROR(__xludf.DUMMYFUNCTION("""COMPUTED_VALUE"""),0.32083333333333336)</f>
        <v>0.3208333333</v>
      </c>
      <c r="H11" s="12">
        <f>IFERROR(__xludf.DUMMYFUNCTION("""COMPUTED_VALUE"""),0.3645833333333333)</f>
        <v>0.3645833333</v>
      </c>
      <c r="I11" s="12">
        <f>IFERROR(__xludf.DUMMYFUNCTION("""COMPUTED_VALUE"""),0.3902777777777778)</f>
        <v>0.3902777778</v>
      </c>
      <c r="J11" s="12">
        <f>IFERROR(__xludf.DUMMYFUNCTION("""COMPUTED_VALUE"""),0.44583333333333336)</f>
        <v>0.4458333333</v>
      </c>
      <c r="K11" s="12">
        <f>IFERROR(__xludf.DUMMYFUNCTION("""COMPUTED_VALUE"""),0.5013888888888889)</f>
        <v>0.5013888889</v>
      </c>
      <c r="L11" s="12">
        <f>IFERROR(__xludf.DUMMYFUNCTION("""COMPUTED_VALUE"""),0.5118055555555555)</f>
        <v>0.5118055556</v>
      </c>
      <c r="M11" s="12">
        <f>IFERROR(__xludf.DUMMYFUNCTION("""COMPUTED_VALUE"""),0.5881944444444445)</f>
        <v>0.5881944444</v>
      </c>
      <c r="N11" s="12">
        <f>IFERROR(__xludf.DUMMYFUNCTION("""COMPUTED_VALUE"""),0.6055555555555555)</f>
        <v>0.6055555556</v>
      </c>
      <c r="O11" s="12">
        <f>IFERROR(__xludf.DUMMYFUNCTION("""COMPUTED_VALUE"""),0.6402777777777777)</f>
        <v>0.6402777778</v>
      </c>
      <c r="P11" s="12">
        <f>IFERROR(__xludf.DUMMYFUNCTION("""COMPUTED_VALUE"""),0.6784722222222223)</f>
        <v>0.6784722222</v>
      </c>
      <c r="Q11" s="12">
        <f>IFERROR(__xludf.DUMMYFUNCTION("""COMPUTED_VALUE"""),0.6923611111111111)</f>
        <v>0.6923611111</v>
      </c>
      <c r="R11" s="12">
        <f>IFERROR(__xludf.DUMMYFUNCTION("""COMPUTED_VALUE"""),0.7395833333333334)</f>
        <v>0.7395833333</v>
      </c>
      <c r="S11" s="12">
        <f>IFERROR(__xludf.DUMMYFUNCTION("""COMPUTED_VALUE"""),0.7479166666666667)</f>
        <v>0.7479166667</v>
      </c>
      <c r="T11" s="12">
        <f>IFERROR(__xludf.DUMMYFUNCTION("""COMPUTED_VALUE"""),0.7722222222222223)</f>
        <v>0.7722222222</v>
      </c>
      <c r="U11" s="20">
        <f>IFERROR(__xludf.DUMMYFUNCTION("""COMPUTED_VALUE"""),0.8173611111111111)</f>
        <v>0.8173611111</v>
      </c>
    </row>
    <row r="12">
      <c r="A12" s="1" t="str">
        <f>IFERROR(__xludf.DUMMYFUNCTION("""COMPUTED_VALUE"""),"MUTUAL")</f>
        <v>MUTUAL</v>
      </c>
      <c r="B12" s="13" t="str">
        <f>IFERROR(__xludf.DUMMYFUNCTION("""COMPUTED_VALUE"""),"-33.92209345116931, 18.511988082500565")</f>
        <v>-33.92209345116931, 18.511988082500565</v>
      </c>
      <c r="C12" s="12">
        <f>IFERROR(__xludf.DUMMYFUNCTION("""COMPUTED_VALUE"""),0.22013888888888888)</f>
        <v>0.2201388889</v>
      </c>
      <c r="D12" s="12">
        <f>IFERROR(__xludf.DUMMYFUNCTION("""COMPUTED_VALUE"""),0.26180555555555557)</f>
        <v>0.2618055556</v>
      </c>
      <c r="E12" s="12">
        <f>IFERROR(__xludf.DUMMYFUNCTION("""COMPUTED_VALUE"""),0.2722222222222222)</f>
        <v>0.2722222222</v>
      </c>
      <c r="F12" s="12">
        <f>IFERROR(__xludf.DUMMYFUNCTION("""COMPUTED_VALUE"""),0.3138888888888889)</f>
        <v>0.3138888889</v>
      </c>
      <c r="G12" s="12">
        <f>IFERROR(__xludf.DUMMYFUNCTION("""COMPUTED_VALUE"""),0.32430555555555557)</f>
        <v>0.3243055556</v>
      </c>
      <c r="H12" s="12">
        <f>IFERROR(__xludf.DUMMYFUNCTION("""COMPUTED_VALUE"""),0.3680555555555556)</f>
        <v>0.3680555556</v>
      </c>
      <c r="I12" s="12">
        <f>IFERROR(__xludf.DUMMYFUNCTION("""COMPUTED_VALUE"""),0.39375)</f>
        <v>0.39375</v>
      </c>
      <c r="J12" s="12">
        <f>IFERROR(__xludf.DUMMYFUNCTION("""COMPUTED_VALUE"""),0.44930555555555557)</f>
        <v>0.4493055556</v>
      </c>
      <c r="K12" s="12">
        <f>IFERROR(__xludf.DUMMYFUNCTION("""COMPUTED_VALUE"""),0.5048611111111111)</f>
        <v>0.5048611111</v>
      </c>
      <c r="L12" s="12">
        <f>IFERROR(__xludf.DUMMYFUNCTION("""COMPUTED_VALUE"""),0.5152777777777777)</f>
        <v>0.5152777778</v>
      </c>
      <c r="M12" s="12">
        <f>IFERROR(__xludf.DUMMYFUNCTION("""COMPUTED_VALUE"""),0.5916666666666667)</f>
        <v>0.5916666667</v>
      </c>
      <c r="N12" s="12">
        <f>IFERROR(__xludf.DUMMYFUNCTION("""COMPUTED_VALUE"""),0.6090277777777777)</f>
        <v>0.6090277778</v>
      </c>
      <c r="O12" s="12">
        <f>IFERROR(__xludf.DUMMYFUNCTION("""COMPUTED_VALUE"""),0.64375)</f>
        <v>0.64375</v>
      </c>
      <c r="P12" s="12">
        <f>IFERROR(__xludf.DUMMYFUNCTION("""COMPUTED_VALUE"""),0.6819444444444445)</f>
        <v>0.6819444444</v>
      </c>
      <c r="Q12" s="12">
        <f>IFERROR(__xludf.DUMMYFUNCTION("""COMPUTED_VALUE"""),0.6958333333333333)</f>
        <v>0.6958333333</v>
      </c>
      <c r="R12" s="12">
        <f>IFERROR(__xludf.DUMMYFUNCTION("""COMPUTED_VALUE"""),0.7430555555555556)</f>
        <v>0.7430555556</v>
      </c>
      <c r="S12" s="12">
        <f>IFERROR(__xludf.DUMMYFUNCTION("""COMPUTED_VALUE"""),0.7513888888888889)</f>
        <v>0.7513888889</v>
      </c>
      <c r="T12" s="12">
        <f>IFERROR(__xludf.DUMMYFUNCTION("""COMPUTED_VALUE"""),0.7756944444444445)</f>
        <v>0.7756944444</v>
      </c>
      <c r="U12" s="20">
        <f>IFERROR(__xludf.DUMMYFUNCTION("""COMPUTED_VALUE"""),0.8208333333333333)</f>
        <v>0.8208333333</v>
      </c>
    </row>
    <row r="13">
      <c r="A13" s="1" t="str">
        <f>IFERROR(__xludf.DUMMYFUNCTION("""COMPUTED_VALUE"""),"LANGA")</f>
        <v>LANGA</v>
      </c>
      <c r="B13" s="14" t="str">
        <f>IFERROR(__xludf.DUMMYFUNCTION("""COMPUTED_VALUE"""),"-33.938934072196076, 18.52974423065194")</f>
        <v>-33.938934072196076, 18.52974423065194</v>
      </c>
      <c r="C13" s="12">
        <f>IFERROR(__xludf.DUMMYFUNCTION("""COMPUTED_VALUE"""),0.22361111111111112)</f>
        <v>0.2236111111</v>
      </c>
      <c r="D13" s="12">
        <f>IFERROR(__xludf.DUMMYFUNCTION("""COMPUTED_VALUE"""),0.2652777777777778)</f>
        <v>0.2652777778</v>
      </c>
      <c r="E13" s="12">
        <f>IFERROR(__xludf.DUMMYFUNCTION("""COMPUTED_VALUE"""),0.27569444444444446)</f>
        <v>0.2756944444</v>
      </c>
      <c r="F13" s="12">
        <f>IFERROR(__xludf.DUMMYFUNCTION("""COMPUTED_VALUE"""),0.3173611111111111)</f>
        <v>0.3173611111</v>
      </c>
      <c r="G13" s="12">
        <f>IFERROR(__xludf.DUMMYFUNCTION("""COMPUTED_VALUE"""),0.3277777777777778)</f>
        <v>0.3277777778</v>
      </c>
      <c r="H13" s="12">
        <f>IFERROR(__xludf.DUMMYFUNCTION("""COMPUTED_VALUE"""),0.3715277777777778)</f>
        <v>0.3715277778</v>
      </c>
      <c r="I13" s="12">
        <f>IFERROR(__xludf.DUMMYFUNCTION("""COMPUTED_VALUE"""),0.3972222222222222)</f>
        <v>0.3972222222</v>
      </c>
      <c r="J13" s="12">
        <f>IFERROR(__xludf.DUMMYFUNCTION("""COMPUTED_VALUE"""),0.4527777777777778)</f>
        <v>0.4527777778</v>
      </c>
      <c r="K13" s="12">
        <f>IFERROR(__xludf.DUMMYFUNCTION("""COMPUTED_VALUE"""),0.5083333333333333)</f>
        <v>0.5083333333</v>
      </c>
      <c r="L13" s="12">
        <f>IFERROR(__xludf.DUMMYFUNCTION("""COMPUTED_VALUE"""),0.51875)</f>
        <v>0.51875</v>
      </c>
      <c r="M13" s="12">
        <f>IFERROR(__xludf.DUMMYFUNCTION("""COMPUTED_VALUE"""),0.5951388888888889)</f>
        <v>0.5951388889</v>
      </c>
      <c r="N13" s="12">
        <f>IFERROR(__xludf.DUMMYFUNCTION("""COMPUTED_VALUE"""),0.6125)</f>
        <v>0.6125</v>
      </c>
      <c r="O13" s="12">
        <f>IFERROR(__xludf.DUMMYFUNCTION("""COMPUTED_VALUE"""),0.6472222222222223)</f>
        <v>0.6472222222</v>
      </c>
      <c r="P13" s="12">
        <f>IFERROR(__xludf.DUMMYFUNCTION("""COMPUTED_VALUE"""),0.6854166666666667)</f>
        <v>0.6854166667</v>
      </c>
      <c r="Q13" s="12">
        <f>IFERROR(__xludf.DUMMYFUNCTION("""COMPUTED_VALUE"""),0.6993055555555555)</f>
        <v>0.6993055556</v>
      </c>
      <c r="R13" s="12">
        <f>IFERROR(__xludf.DUMMYFUNCTION("""COMPUTED_VALUE"""),0.7465277777777778)</f>
        <v>0.7465277778</v>
      </c>
      <c r="S13" s="12">
        <f>IFERROR(__xludf.DUMMYFUNCTION("""COMPUTED_VALUE"""),0.7548611111111111)</f>
        <v>0.7548611111</v>
      </c>
      <c r="T13" s="12">
        <f>IFERROR(__xludf.DUMMYFUNCTION("""COMPUTED_VALUE"""),0.7791666666666667)</f>
        <v>0.7791666667</v>
      </c>
      <c r="U13" s="20">
        <f>IFERROR(__xludf.DUMMYFUNCTION("""COMPUTED_VALUE"""),0.8243055555555555)</f>
        <v>0.8243055556</v>
      </c>
    </row>
    <row r="14">
      <c r="A14" s="4" t="str">
        <f>IFERROR(__xludf.DUMMYFUNCTION("""COMPUTED_VALUE"""),"BONTEHEUWEL")</f>
        <v>BONTEHEUWEL</v>
      </c>
      <c r="B14" s="13" t="str">
        <f>IFERROR(__xludf.DUMMYFUNCTION("""COMPUTED_VALUE"""),"-33.94185049480737, 18.549579817876847")</f>
        <v>-33.94185049480737, 18.549579817876847</v>
      </c>
      <c r="C14" s="12">
        <f>IFERROR(__xludf.DUMMYFUNCTION("""COMPUTED_VALUE"""),0.225)</f>
        <v>0.225</v>
      </c>
      <c r="D14" s="12">
        <f>IFERROR(__xludf.DUMMYFUNCTION("""COMPUTED_VALUE"""),0.26666666666666666)</f>
        <v>0.2666666667</v>
      </c>
      <c r="E14" s="12">
        <f>IFERROR(__xludf.DUMMYFUNCTION("""COMPUTED_VALUE"""),0.27708333333333335)</f>
        <v>0.2770833333</v>
      </c>
      <c r="F14" s="12">
        <f>IFERROR(__xludf.DUMMYFUNCTION("""COMPUTED_VALUE"""),0.31875)</f>
        <v>0.31875</v>
      </c>
      <c r="G14" s="12">
        <f>IFERROR(__xludf.DUMMYFUNCTION("""COMPUTED_VALUE"""),0.32916666666666666)</f>
        <v>0.3291666667</v>
      </c>
      <c r="H14" s="12">
        <f>IFERROR(__xludf.DUMMYFUNCTION("""COMPUTED_VALUE"""),0.3729166666666667)</f>
        <v>0.3729166667</v>
      </c>
      <c r="I14" s="12">
        <f>IFERROR(__xludf.DUMMYFUNCTION("""COMPUTED_VALUE"""),0.39861111111111114)</f>
        <v>0.3986111111</v>
      </c>
      <c r="J14" s="12">
        <f>IFERROR(__xludf.DUMMYFUNCTION("""COMPUTED_VALUE"""),0.45416666666666666)</f>
        <v>0.4541666667</v>
      </c>
      <c r="K14" s="12">
        <f>IFERROR(__xludf.DUMMYFUNCTION("""COMPUTED_VALUE"""),0.5097222222222222)</f>
        <v>0.5097222222</v>
      </c>
      <c r="L14" s="20">
        <f>IFERROR(__xludf.DUMMYFUNCTION("""COMPUTED_VALUE"""),0.5201388888888889)</f>
        <v>0.5201388889</v>
      </c>
      <c r="M14" s="20">
        <f>IFERROR(__xludf.DUMMYFUNCTION("""COMPUTED_VALUE"""),0.5965277777777778)</f>
        <v>0.5965277778</v>
      </c>
      <c r="N14" s="20">
        <f>IFERROR(__xludf.DUMMYFUNCTION("""COMPUTED_VALUE"""),0.6138888888888889)</f>
        <v>0.6138888889</v>
      </c>
      <c r="O14" s="20">
        <f>IFERROR(__xludf.DUMMYFUNCTION("""COMPUTED_VALUE"""),0.6486111111111111)</f>
        <v>0.6486111111</v>
      </c>
      <c r="P14" s="20">
        <f>IFERROR(__xludf.DUMMYFUNCTION("""COMPUTED_VALUE"""),0.6868055555555556)</f>
        <v>0.6868055556</v>
      </c>
      <c r="Q14" s="20">
        <f>IFERROR(__xludf.DUMMYFUNCTION("""COMPUTED_VALUE"""),0.7006944444444444)</f>
        <v>0.7006944444</v>
      </c>
      <c r="R14" s="20">
        <f>IFERROR(__xludf.DUMMYFUNCTION("""COMPUTED_VALUE"""),0.7479166666666667)</f>
        <v>0.7479166667</v>
      </c>
      <c r="S14" s="20">
        <f>IFERROR(__xludf.DUMMYFUNCTION("""COMPUTED_VALUE"""),0.75625)</f>
        <v>0.75625</v>
      </c>
      <c r="T14" s="20">
        <f>IFERROR(__xludf.DUMMYFUNCTION("""COMPUTED_VALUE"""),0.7805555555555556)</f>
        <v>0.7805555556</v>
      </c>
      <c r="U14" s="20">
        <f>IFERROR(__xludf.DUMMYFUNCTION("""COMPUTED_VALUE"""),0.8256944444444444)</f>
        <v>0.8256944444</v>
      </c>
    </row>
    <row r="15">
      <c r="A15" s="1" t="str">
        <f>IFERROR(__xludf.DUMMYFUNCTION("""COMPUTED_VALUE"""),"NETREG")</f>
        <v>NETREG</v>
      </c>
      <c r="B15" s="13" t="str">
        <f>IFERROR(__xludf.DUMMYFUNCTION("""COMPUTED_VALUE"""),"-33.952666168847884, 18.56356622880313")</f>
        <v>-33.952666168847884, 18.56356622880313</v>
      </c>
      <c r="C15" s="12">
        <f>IFERROR(__xludf.DUMMYFUNCTION("""COMPUTED_VALUE"""),0.2263888888888889)</f>
        <v>0.2263888889</v>
      </c>
      <c r="D15" s="12">
        <f>IFERROR(__xludf.DUMMYFUNCTION("""COMPUTED_VALUE"""),0.26805555555555555)</f>
        <v>0.2680555556</v>
      </c>
      <c r="E15" s="12">
        <f>IFERROR(__xludf.DUMMYFUNCTION("""COMPUTED_VALUE"""),0.27847222222222223)</f>
        <v>0.2784722222</v>
      </c>
      <c r="F15" s="12">
        <f>IFERROR(__xludf.DUMMYFUNCTION("""COMPUTED_VALUE"""),0.32013888888888886)</f>
        <v>0.3201388889</v>
      </c>
      <c r="G15" s="12">
        <f>IFERROR(__xludf.DUMMYFUNCTION("""COMPUTED_VALUE"""),0.33055555555555555)</f>
        <v>0.3305555556</v>
      </c>
      <c r="H15" s="12">
        <f>IFERROR(__xludf.DUMMYFUNCTION("""COMPUTED_VALUE"""),0.37430555555555556)</f>
        <v>0.3743055556</v>
      </c>
      <c r="I15" s="12">
        <f>IFERROR(__xludf.DUMMYFUNCTION("""COMPUTED_VALUE"""),0.4)</f>
        <v>0.4</v>
      </c>
      <c r="J15" s="12">
        <f>IFERROR(__xludf.DUMMYFUNCTION("""COMPUTED_VALUE"""),0.45555555555555555)</f>
        <v>0.4555555556</v>
      </c>
      <c r="K15" s="12">
        <f>IFERROR(__xludf.DUMMYFUNCTION("""COMPUTED_VALUE"""),0.5111111111111111)</f>
        <v>0.5111111111</v>
      </c>
      <c r="L15" s="20">
        <f>IFERROR(__xludf.DUMMYFUNCTION("""COMPUTED_VALUE"""),0.5215277777777778)</f>
        <v>0.5215277778</v>
      </c>
      <c r="M15" s="20">
        <f>IFERROR(__xludf.DUMMYFUNCTION("""COMPUTED_VALUE"""),0.5979166666666667)</f>
        <v>0.5979166667</v>
      </c>
      <c r="N15" s="20">
        <f>IFERROR(__xludf.DUMMYFUNCTION("""COMPUTED_VALUE"""),0.6152777777777778)</f>
        <v>0.6152777778</v>
      </c>
      <c r="O15" s="20">
        <f>IFERROR(__xludf.DUMMYFUNCTION("""COMPUTED_VALUE"""),0.65)</f>
        <v>0.65</v>
      </c>
      <c r="P15" s="20">
        <f>IFERROR(__xludf.DUMMYFUNCTION("""COMPUTED_VALUE"""),0.6881944444444444)</f>
        <v>0.6881944444</v>
      </c>
      <c r="Q15" s="20">
        <f>IFERROR(__xludf.DUMMYFUNCTION("""COMPUTED_VALUE"""),0.7020833333333333)</f>
        <v>0.7020833333</v>
      </c>
      <c r="R15" s="20">
        <f>IFERROR(__xludf.DUMMYFUNCTION("""COMPUTED_VALUE"""),0.7493055555555556)</f>
        <v>0.7493055556</v>
      </c>
      <c r="S15" s="20">
        <f>IFERROR(__xludf.DUMMYFUNCTION("""COMPUTED_VALUE"""),0.7576388888888889)</f>
        <v>0.7576388889</v>
      </c>
      <c r="T15" s="20">
        <f>IFERROR(__xludf.DUMMYFUNCTION("""COMPUTED_VALUE"""),0.7819444444444444)</f>
        <v>0.7819444444</v>
      </c>
      <c r="U15" s="20">
        <f>IFERROR(__xludf.DUMMYFUNCTION("""COMPUTED_VALUE"""),0.8270833333333333)</f>
        <v>0.8270833333</v>
      </c>
    </row>
    <row r="16">
      <c r="A16" s="4" t="str">
        <f>IFERROR(__xludf.DUMMYFUNCTION("""COMPUTED_VALUE"""),"HEIDEVELD")</f>
        <v>HEIDEVELD</v>
      </c>
      <c r="B16" s="13" t="str">
        <f>IFERROR(__xludf.DUMMYFUNCTION("""COMPUTED_VALUE"""),"-33.969594701133275, 18.56187725551686")</f>
        <v>-33.969594701133275, 18.56187725551686</v>
      </c>
      <c r="C16" s="12">
        <f>IFERROR(__xludf.DUMMYFUNCTION("""COMPUTED_VALUE"""),0.22708333333333333)</f>
        <v>0.2270833333</v>
      </c>
      <c r="D16" s="12">
        <f>IFERROR(__xludf.DUMMYFUNCTION("""COMPUTED_VALUE"""),0.26875)</f>
        <v>0.26875</v>
      </c>
      <c r="E16" s="12">
        <f>IFERROR(__xludf.DUMMYFUNCTION("""COMPUTED_VALUE"""),0.2791666666666667)</f>
        <v>0.2791666667</v>
      </c>
      <c r="F16" s="12">
        <f>IFERROR(__xludf.DUMMYFUNCTION("""COMPUTED_VALUE"""),0.32083333333333336)</f>
        <v>0.3208333333</v>
      </c>
      <c r="G16" s="12">
        <f>IFERROR(__xludf.DUMMYFUNCTION("""COMPUTED_VALUE"""),0.33125)</f>
        <v>0.33125</v>
      </c>
      <c r="H16" s="12">
        <f>IFERROR(__xludf.DUMMYFUNCTION("""COMPUTED_VALUE"""),0.375)</f>
        <v>0.375</v>
      </c>
      <c r="I16" s="12">
        <f>IFERROR(__xludf.DUMMYFUNCTION("""COMPUTED_VALUE"""),0.40069444444444446)</f>
        <v>0.4006944444</v>
      </c>
      <c r="J16" s="12">
        <f>IFERROR(__xludf.DUMMYFUNCTION("""COMPUTED_VALUE"""),0.45625)</f>
        <v>0.45625</v>
      </c>
      <c r="K16" s="12">
        <f>IFERROR(__xludf.DUMMYFUNCTION("""COMPUTED_VALUE"""),0.5118055555555555)</f>
        <v>0.5118055556</v>
      </c>
      <c r="L16" s="12">
        <f>IFERROR(__xludf.DUMMYFUNCTION("""COMPUTED_VALUE"""),0.5222222222222223)</f>
        <v>0.5222222222</v>
      </c>
      <c r="M16" s="12">
        <f>IFERROR(__xludf.DUMMYFUNCTION("""COMPUTED_VALUE"""),0.5986111111111111)</f>
        <v>0.5986111111</v>
      </c>
      <c r="N16" s="12">
        <f>IFERROR(__xludf.DUMMYFUNCTION("""COMPUTED_VALUE"""),0.6159722222222223)</f>
        <v>0.6159722222</v>
      </c>
      <c r="O16" s="12">
        <f>IFERROR(__xludf.DUMMYFUNCTION("""COMPUTED_VALUE"""),0.6506944444444445)</f>
        <v>0.6506944444</v>
      </c>
      <c r="P16" s="12">
        <f>IFERROR(__xludf.DUMMYFUNCTION("""COMPUTED_VALUE"""),0.6888888888888889)</f>
        <v>0.6888888889</v>
      </c>
      <c r="Q16" s="12">
        <f>IFERROR(__xludf.DUMMYFUNCTION("""COMPUTED_VALUE"""),0.7027777777777777)</f>
        <v>0.7027777778</v>
      </c>
      <c r="R16" s="12">
        <f>IFERROR(__xludf.DUMMYFUNCTION("""COMPUTED_VALUE"""),0.75)</f>
        <v>0.75</v>
      </c>
      <c r="S16" s="12">
        <f>IFERROR(__xludf.DUMMYFUNCTION("""COMPUTED_VALUE"""),0.7583333333333333)</f>
        <v>0.7583333333</v>
      </c>
      <c r="T16" s="12">
        <f>IFERROR(__xludf.DUMMYFUNCTION("""COMPUTED_VALUE"""),0.7826388888888889)</f>
        <v>0.7826388889</v>
      </c>
      <c r="U16" s="20">
        <f>IFERROR(__xludf.DUMMYFUNCTION("""COMPUTED_VALUE"""),0.8277777777777777)</f>
        <v>0.8277777778</v>
      </c>
    </row>
    <row r="17">
      <c r="A17" s="4" t="str">
        <f>IFERROR(__xludf.DUMMYFUNCTION("""COMPUTED_VALUE"""),"NYANGA")</f>
        <v>NYANGA</v>
      </c>
      <c r="B17" s="15" t="str">
        <f>IFERROR(__xludf.DUMMYFUNCTION("""COMPUTED_VALUE"""),"-33.99271379632963, 18.559776951819032")</f>
        <v>-33.99271379632963, 18.559776951819032</v>
      </c>
      <c r="C17" s="12">
        <f>IFERROR(__xludf.DUMMYFUNCTION("""COMPUTED_VALUE"""),0.2298611111111111)</f>
        <v>0.2298611111</v>
      </c>
      <c r="D17" s="12">
        <f>IFERROR(__xludf.DUMMYFUNCTION("""COMPUTED_VALUE"""),0.27152777777777776)</f>
        <v>0.2715277778</v>
      </c>
      <c r="E17" s="12">
        <f>IFERROR(__xludf.DUMMYFUNCTION("""COMPUTED_VALUE"""),0.28194444444444444)</f>
        <v>0.2819444444</v>
      </c>
      <c r="F17" s="12">
        <f>IFERROR(__xludf.DUMMYFUNCTION("""COMPUTED_VALUE"""),0.3236111111111111)</f>
        <v>0.3236111111</v>
      </c>
      <c r="G17" s="12">
        <f>IFERROR(__xludf.DUMMYFUNCTION("""COMPUTED_VALUE"""),0.33402777777777776)</f>
        <v>0.3340277778</v>
      </c>
      <c r="H17" s="12">
        <f>IFERROR(__xludf.DUMMYFUNCTION("""COMPUTED_VALUE"""),0.37777777777777777)</f>
        <v>0.3777777778</v>
      </c>
      <c r="I17" s="12">
        <f>IFERROR(__xludf.DUMMYFUNCTION("""COMPUTED_VALUE"""),0.40347222222222223)</f>
        <v>0.4034722222</v>
      </c>
      <c r="J17" s="12">
        <f>IFERROR(__xludf.DUMMYFUNCTION("""COMPUTED_VALUE"""),0.45902777777777776)</f>
        <v>0.4590277778</v>
      </c>
      <c r="K17" s="12">
        <f>IFERROR(__xludf.DUMMYFUNCTION("""COMPUTED_VALUE"""),0.5145833333333333)</f>
        <v>0.5145833333</v>
      </c>
      <c r="L17" s="12">
        <f>IFERROR(__xludf.DUMMYFUNCTION("""COMPUTED_VALUE"""),0.525)</f>
        <v>0.525</v>
      </c>
      <c r="M17" s="12">
        <f>IFERROR(__xludf.DUMMYFUNCTION("""COMPUTED_VALUE"""),0.6013888888888889)</f>
        <v>0.6013888889</v>
      </c>
      <c r="N17" s="12">
        <f>IFERROR(__xludf.DUMMYFUNCTION("""COMPUTED_VALUE"""),0.61875)</f>
        <v>0.61875</v>
      </c>
      <c r="O17" s="12">
        <f>IFERROR(__xludf.DUMMYFUNCTION("""COMPUTED_VALUE"""),0.6534722222222222)</f>
        <v>0.6534722222</v>
      </c>
      <c r="P17" s="12">
        <f>IFERROR(__xludf.DUMMYFUNCTION("""COMPUTED_VALUE"""),0.6916666666666667)</f>
        <v>0.6916666667</v>
      </c>
      <c r="Q17" s="12">
        <f>IFERROR(__xludf.DUMMYFUNCTION("""COMPUTED_VALUE"""),0.7055555555555556)</f>
        <v>0.7055555556</v>
      </c>
      <c r="R17" s="12">
        <f>IFERROR(__xludf.DUMMYFUNCTION("""COMPUTED_VALUE"""),0.7527777777777778)</f>
        <v>0.7527777778</v>
      </c>
      <c r="S17" s="12">
        <f>IFERROR(__xludf.DUMMYFUNCTION("""COMPUTED_VALUE"""),0.7611111111111111)</f>
        <v>0.7611111111</v>
      </c>
      <c r="T17" s="12">
        <f>IFERROR(__xludf.DUMMYFUNCTION("""COMPUTED_VALUE"""),0.7854166666666667)</f>
        <v>0.7854166667</v>
      </c>
      <c r="U17" s="20">
        <f>IFERROR(__xludf.DUMMYFUNCTION("""COMPUTED_VALUE"""),0.8305555555555556)</f>
        <v>0.8305555556</v>
      </c>
    </row>
    <row r="18">
      <c r="A18" s="4" t="str">
        <f>IFERROR(__xludf.DUMMYFUNCTION("""COMPUTED_VALUE"""),"PHILIPPI")</f>
        <v>PHILIPPI</v>
      </c>
      <c r="B18" s="13" t="str">
        <f>IFERROR(__xludf.DUMMYFUNCTION("""COMPUTED_VALUE"""),"-34.01328895709482, 18.584421561340882")</f>
        <v>-34.01328895709482, 18.584421561340882</v>
      </c>
      <c r="C18" s="12">
        <f>IFERROR(__xludf.DUMMYFUNCTION("""COMPUTED_VALUE"""),0.23402777777777778)</f>
        <v>0.2340277778</v>
      </c>
      <c r="D18" s="12">
        <f>IFERROR(__xludf.DUMMYFUNCTION("""COMPUTED_VALUE"""),0.27569444444444446)</f>
        <v>0.2756944444</v>
      </c>
      <c r="E18" s="12">
        <f>IFERROR(__xludf.DUMMYFUNCTION("""COMPUTED_VALUE"""),0.2861111111111111)</f>
        <v>0.2861111111</v>
      </c>
      <c r="F18" s="12">
        <f>IFERROR(__xludf.DUMMYFUNCTION("""COMPUTED_VALUE"""),0.3277777777777778)</f>
        <v>0.3277777778</v>
      </c>
      <c r="G18" s="12">
        <f>IFERROR(__xludf.DUMMYFUNCTION("""COMPUTED_VALUE"""),0.33819444444444446)</f>
        <v>0.3381944444</v>
      </c>
      <c r="H18" s="12">
        <f>IFERROR(__xludf.DUMMYFUNCTION("""COMPUTED_VALUE"""),0.3819444444444444)</f>
        <v>0.3819444444</v>
      </c>
      <c r="I18" s="12">
        <f>IFERROR(__xludf.DUMMYFUNCTION("""COMPUTED_VALUE"""),0.4076388888888889)</f>
        <v>0.4076388889</v>
      </c>
      <c r="J18" s="12">
        <f>IFERROR(__xludf.DUMMYFUNCTION("""COMPUTED_VALUE"""),0.46319444444444446)</f>
        <v>0.4631944444</v>
      </c>
      <c r="K18" s="12">
        <f>IFERROR(__xludf.DUMMYFUNCTION("""COMPUTED_VALUE"""),0.51875)</f>
        <v>0.51875</v>
      </c>
      <c r="L18" s="12">
        <f>IFERROR(__xludf.DUMMYFUNCTION("""COMPUTED_VALUE"""),0.5291666666666667)</f>
        <v>0.5291666667</v>
      </c>
      <c r="M18" s="12">
        <f>IFERROR(__xludf.DUMMYFUNCTION("""COMPUTED_VALUE"""),0.6055555555555555)</f>
        <v>0.6055555556</v>
      </c>
      <c r="N18" s="12">
        <f>IFERROR(__xludf.DUMMYFUNCTION("""COMPUTED_VALUE"""),0.6208333333333333)</f>
        <v>0.6208333333</v>
      </c>
      <c r="O18" s="12">
        <f>IFERROR(__xludf.DUMMYFUNCTION("""COMPUTED_VALUE"""),0.6576388888888889)</f>
        <v>0.6576388889</v>
      </c>
      <c r="P18" s="12">
        <f>IFERROR(__xludf.DUMMYFUNCTION("""COMPUTED_VALUE"""),0.6958333333333333)</f>
        <v>0.6958333333</v>
      </c>
      <c r="Q18" s="12">
        <f>IFERROR(__xludf.DUMMYFUNCTION("""COMPUTED_VALUE"""),0.7097222222222223)</f>
        <v>0.7097222222</v>
      </c>
      <c r="R18" s="12">
        <f>IFERROR(__xludf.DUMMYFUNCTION("""COMPUTED_VALUE"""),0.7569444444444444)</f>
        <v>0.7569444444</v>
      </c>
      <c r="S18" s="12">
        <f>IFERROR(__xludf.DUMMYFUNCTION("""COMPUTED_VALUE"""),0.7652777777777777)</f>
        <v>0.7652777778</v>
      </c>
      <c r="T18" s="12">
        <f>IFERROR(__xludf.DUMMYFUNCTION("""COMPUTED_VALUE"""),0.7895833333333333)</f>
        <v>0.7895833333</v>
      </c>
      <c r="U18" s="20">
        <f>IFERROR(__xludf.DUMMYFUNCTION("""COMPUTED_VALUE"""),0.8326388888888889)</f>
        <v>0.8326388889</v>
      </c>
    </row>
    <row r="19">
      <c r="A19" s="4" t="str">
        <f>IFERROR(__xludf.DUMMYFUNCTION("""COMPUTED_VALUE"""),"LENTEGEUR")</f>
        <v>LENTEGEUR</v>
      </c>
      <c r="B19" s="13" t="str">
        <f>IFERROR(__xludf.DUMMYFUNCTION("""COMPUTED_VALUE"""),"-34.03418971685345, 18.611322738328173")</f>
        <v>-34.03418971685345, 18.611322738328173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20"/>
    </row>
    <row r="20">
      <c r="A20" s="87" t="str">
        <f>IFERROR(__xludf.DUMMYFUNCTION("""COMPUTED_VALUE"""),"MITCHELL'S PLAIN")</f>
        <v>MITCHELL'S PLAIN</v>
      </c>
      <c r="B20" s="16" t="str">
        <f>IFERROR(__xludf.DUMMYFUNCTION("""COMPUTED_VALUE"""),"-34.0504610838304, 18.619222253671435")</f>
        <v>-34.0504610838304, 18.619222253671435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20"/>
    </row>
    <row r="21">
      <c r="A21" s="16" t="str">
        <f>IFERROR(__xludf.DUMMYFUNCTION("""COMPUTED_VALUE"""),"KAPTEINSKLIP")</f>
        <v>KAPTEINSKLIP</v>
      </c>
      <c r="B21" s="16" t="str">
        <f>IFERROR(__xludf.DUMMYFUNCTION("""COMPUTED_VALUE"""),"-34.06755873543257, 18.620534480658506")</f>
        <v>-34.06755873543257, 18.620534480658506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0"/>
    </row>
    <row r="22">
      <c r="A22" s="18" t="str">
        <f>IFERROR(__xludf.DUMMYFUNCTION("""COMPUTED_VALUE"""),"STOCK ROAD")</f>
        <v>STOCK ROAD</v>
      </c>
      <c r="B22" s="19" t="str">
        <f>IFERROR(__xludf.DUMMYFUNCTION("""COMPUTED_VALUE"""),"-34.01412292128464, 18.606174209491407")</f>
        <v>-34.01412292128464, 18.606174209491407</v>
      </c>
      <c r="C22" s="17">
        <f>IFERROR(__xludf.DUMMYFUNCTION("""COMPUTED_VALUE"""),0.23680555555555555)</f>
        <v>0.2368055556</v>
      </c>
      <c r="D22" s="17">
        <f>IFERROR(__xludf.DUMMYFUNCTION("""COMPUTED_VALUE"""),0.27847222222222223)</f>
        <v>0.2784722222</v>
      </c>
      <c r="E22" s="17">
        <f>IFERROR(__xludf.DUMMYFUNCTION("""COMPUTED_VALUE"""),0.28888888888888886)</f>
        <v>0.2888888889</v>
      </c>
      <c r="F22" s="17">
        <f>IFERROR(__xludf.DUMMYFUNCTION("""COMPUTED_VALUE"""),0.33055555555555555)</f>
        <v>0.3305555556</v>
      </c>
      <c r="G22" s="17">
        <f>IFERROR(__xludf.DUMMYFUNCTION("""COMPUTED_VALUE"""),0.34097222222222223)</f>
        <v>0.3409722222</v>
      </c>
      <c r="H22" s="17">
        <f>IFERROR(__xludf.DUMMYFUNCTION("""COMPUTED_VALUE"""),0.38472222222222224)</f>
        <v>0.3847222222</v>
      </c>
      <c r="I22" s="17">
        <f>IFERROR(__xludf.DUMMYFUNCTION("""COMPUTED_VALUE"""),0.41041666666666665)</f>
        <v>0.4104166667</v>
      </c>
      <c r="J22" s="17">
        <f>IFERROR(__xludf.DUMMYFUNCTION("""COMPUTED_VALUE"""),0.46597222222222223)</f>
        <v>0.4659722222</v>
      </c>
      <c r="K22" s="17">
        <f>IFERROR(__xludf.DUMMYFUNCTION("""COMPUTED_VALUE"""),0.5215277777777778)</f>
        <v>0.5215277778</v>
      </c>
      <c r="L22" s="17">
        <f>IFERROR(__xludf.DUMMYFUNCTION("""COMPUTED_VALUE"""),0.5319444444444444)</f>
        <v>0.5319444444</v>
      </c>
      <c r="M22" s="17">
        <f>IFERROR(__xludf.DUMMYFUNCTION("""COMPUTED_VALUE"""),0.6083333333333333)</f>
        <v>0.6083333333</v>
      </c>
      <c r="N22" s="17">
        <f>IFERROR(__xludf.DUMMYFUNCTION("""COMPUTED_VALUE"""),0.6236111111111111)</f>
        <v>0.6236111111</v>
      </c>
      <c r="O22" s="17">
        <f>IFERROR(__xludf.DUMMYFUNCTION("""COMPUTED_VALUE"""),0.6604166666666667)</f>
        <v>0.6604166667</v>
      </c>
      <c r="P22" s="17">
        <f>IFERROR(__xludf.DUMMYFUNCTION("""COMPUTED_VALUE"""),0.6986111111111111)</f>
        <v>0.6986111111</v>
      </c>
      <c r="Q22" s="17">
        <f>IFERROR(__xludf.DUMMYFUNCTION("""COMPUTED_VALUE"""),0.7125)</f>
        <v>0.7125</v>
      </c>
      <c r="R22" s="17">
        <f>IFERROR(__xludf.DUMMYFUNCTION("""COMPUTED_VALUE"""),0.7597222222222222)</f>
        <v>0.7597222222</v>
      </c>
      <c r="S22" s="17">
        <f>IFERROR(__xludf.DUMMYFUNCTION("""COMPUTED_VALUE"""),0.7680555555555556)</f>
        <v>0.7680555556</v>
      </c>
      <c r="T22" s="17">
        <f>IFERROR(__xludf.DUMMYFUNCTION("""COMPUTED_VALUE"""),0.7923611111111111)</f>
        <v>0.7923611111</v>
      </c>
      <c r="U22" s="20">
        <f>IFERROR(__xludf.DUMMYFUNCTION("""COMPUTED_VALUE"""),0.8354166666666667)</f>
        <v>0.8354166667</v>
      </c>
    </row>
    <row r="23">
      <c r="A23" s="18" t="str">
        <f>IFERROR(__xludf.DUMMYFUNCTION("""COMPUTED_VALUE"""),"MANDALAY")</f>
        <v>MANDALAY</v>
      </c>
      <c r="B23" s="19" t="str">
        <f>IFERROR(__xludf.DUMMYFUNCTION("""COMPUTED_VALUE"""),"-34.019015667481014, 18.624391145998562")</f>
        <v>-34.019015667481014, 18.624391145998562</v>
      </c>
      <c r="C23" s="17">
        <f>IFERROR(__xludf.DUMMYFUNCTION("""COMPUTED_VALUE"""),0.23958333333333334)</f>
        <v>0.2395833333</v>
      </c>
      <c r="D23" s="17">
        <f>IFERROR(__xludf.DUMMYFUNCTION("""COMPUTED_VALUE"""),0.28125)</f>
        <v>0.28125</v>
      </c>
      <c r="E23" s="17">
        <f>IFERROR(__xludf.DUMMYFUNCTION("""COMPUTED_VALUE"""),0.2916666666666667)</f>
        <v>0.2916666667</v>
      </c>
      <c r="F23" s="17">
        <f>IFERROR(__xludf.DUMMYFUNCTION("""COMPUTED_VALUE"""),0.3333333333333333)</f>
        <v>0.3333333333</v>
      </c>
      <c r="G23" s="17">
        <f>IFERROR(__xludf.DUMMYFUNCTION("""COMPUTED_VALUE"""),0.34375)</f>
        <v>0.34375</v>
      </c>
      <c r="H23" s="17">
        <f>IFERROR(__xludf.DUMMYFUNCTION("""COMPUTED_VALUE"""),0.3875)</f>
        <v>0.3875</v>
      </c>
      <c r="I23" s="17">
        <f>IFERROR(__xludf.DUMMYFUNCTION("""COMPUTED_VALUE"""),0.4131944444444444)</f>
        <v>0.4131944444</v>
      </c>
      <c r="J23" s="17">
        <f>IFERROR(__xludf.DUMMYFUNCTION("""COMPUTED_VALUE"""),0.46875)</f>
        <v>0.46875</v>
      </c>
      <c r="K23" s="17">
        <f>IFERROR(__xludf.DUMMYFUNCTION("""COMPUTED_VALUE"""),0.5243055555555556)</f>
        <v>0.5243055556</v>
      </c>
      <c r="L23" s="17">
        <f>IFERROR(__xludf.DUMMYFUNCTION("""COMPUTED_VALUE"""),0.5347222222222222)</f>
        <v>0.5347222222</v>
      </c>
      <c r="M23" s="17">
        <f>IFERROR(__xludf.DUMMYFUNCTION("""COMPUTED_VALUE"""),0.6111111111111112)</f>
        <v>0.6111111111</v>
      </c>
      <c r="N23" s="17">
        <f>IFERROR(__xludf.DUMMYFUNCTION("""COMPUTED_VALUE"""),0.6263888888888889)</f>
        <v>0.6263888889</v>
      </c>
      <c r="O23" s="17">
        <f>IFERROR(__xludf.DUMMYFUNCTION("""COMPUTED_VALUE"""),0.6631944444444444)</f>
        <v>0.6631944444</v>
      </c>
      <c r="P23" s="17">
        <f>IFERROR(__xludf.DUMMYFUNCTION("""COMPUTED_VALUE"""),0.7013888888888888)</f>
        <v>0.7013888889</v>
      </c>
      <c r="Q23" s="17">
        <f>IFERROR(__xludf.DUMMYFUNCTION("""COMPUTED_VALUE"""),0.7152777777777778)</f>
        <v>0.7152777778</v>
      </c>
      <c r="R23" s="17">
        <f>IFERROR(__xludf.DUMMYFUNCTION("""COMPUTED_VALUE"""),0.7625)</f>
        <v>0.7625</v>
      </c>
      <c r="S23" s="17">
        <f>IFERROR(__xludf.DUMMYFUNCTION("""COMPUTED_VALUE"""),0.7708333333333334)</f>
        <v>0.7708333333</v>
      </c>
      <c r="T23" s="17">
        <f>IFERROR(__xludf.DUMMYFUNCTION("""COMPUTED_VALUE"""),0.7951388888888888)</f>
        <v>0.7951388889</v>
      </c>
      <c r="U23" s="20">
        <f>IFERROR(__xludf.DUMMYFUNCTION("""COMPUTED_VALUE"""),0.8381944444444445)</f>
        <v>0.8381944444</v>
      </c>
    </row>
    <row r="24">
      <c r="A24" s="18" t="str">
        <f>IFERROR(__xludf.DUMMYFUNCTION("""COMPUTED_VALUE"""),"NOLUNGILE")</f>
        <v>NOLUNGILE</v>
      </c>
      <c r="B24" s="19" t="str">
        <f>IFERROR(__xludf.DUMMYFUNCTION("""COMPUTED_VALUE"""),"-34.016811809063164, 18.64902361716287")</f>
        <v>-34.016811809063164, 18.64902361716287</v>
      </c>
      <c r="C24" s="17">
        <f>IFERROR(__xludf.DUMMYFUNCTION("""COMPUTED_VALUE"""),0.2423611111111111)</f>
        <v>0.2423611111</v>
      </c>
      <c r="D24" s="17">
        <f>IFERROR(__xludf.DUMMYFUNCTION("""COMPUTED_VALUE"""),0.28402777777777777)</f>
        <v>0.2840277778</v>
      </c>
      <c r="E24" s="17">
        <f>IFERROR(__xludf.DUMMYFUNCTION("""COMPUTED_VALUE"""),0.29444444444444445)</f>
        <v>0.2944444444</v>
      </c>
      <c r="F24" s="17">
        <f>IFERROR(__xludf.DUMMYFUNCTION("""COMPUTED_VALUE"""),0.33611111111111114)</f>
        <v>0.3361111111</v>
      </c>
      <c r="G24" s="17">
        <f>IFERROR(__xludf.DUMMYFUNCTION("""COMPUTED_VALUE"""),0.34652777777777777)</f>
        <v>0.3465277778</v>
      </c>
      <c r="H24" s="17">
        <f>IFERROR(__xludf.DUMMYFUNCTION("""COMPUTED_VALUE"""),0.3902777777777778)</f>
        <v>0.3902777778</v>
      </c>
      <c r="I24" s="17">
        <f>IFERROR(__xludf.DUMMYFUNCTION("""COMPUTED_VALUE"""),0.41597222222222224)</f>
        <v>0.4159722222</v>
      </c>
      <c r="J24" s="17">
        <f>IFERROR(__xludf.DUMMYFUNCTION("""COMPUTED_VALUE"""),0.47152777777777777)</f>
        <v>0.4715277778</v>
      </c>
      <c r="K24" s="17">
        <f>IFERROR(__xludf.DUMMYFUNCTION("""COMPUTED_VALUE"""),0.5270833333333333)</f>
        <v>0.5270833333</v>
      </c>
      <c r="L24" s="17">
        <f>IFERROR(__xludf.DUMMYFUNCTION("""COMPUTED_VALUE"""),0.5375)</f>
        <v>0.5375</v>
      </c>
      <c r="M24" s="17">
        <f>IFERROR(__xludf.DUMMYFUNCTION("""COMPUTED_VALUE"""),0.6138888888888889)</f>
        <v>0.6138888889</v>
      </c>
      <c r="N24" s="17">
        <f>IFERROR(__xludf.DUMMYFUNCTION("""COMPUTED_VALUE"""),0.6319444444444444)</f>
        <v>0.6319444444</v>
      </c>
      <c r="O24" s="17">
        <f>IFERROR(__xludf.DUMMYFUNCTION("""COMPUTED_VALUE"""),0.6659722222222222)</f>
        <v>0.6659722222</v>
      </c>
      <c r="P24" s="17">
        <f>IFERROR(__xludf.DUMMYFUNCTION("""COMPUTED_VALUE"""),0.7013888888888888)</f>
        <v>0.7013888889</v>
      </c>
      <c r="Q24" s="17">
        <f>IFERROR(__xludf.DUMMYFUNCTION("""COMPUTED_VALUE"""),0.7180555555555556)</f>
        <v>0.7180555556</v>
      </c>
      <c r="R24" s="17">
        <f>IFERROR(__xludf.DUMMYFUNCTION("""COMPUTED_VALUE"""),0.7652777777777777)</f>
        <v>0.7652777778</v>
      </c>
      <c r="S24" s="17">
        <f>IFERROR(__xludf.DUMMYFUNCTION("""COMPUTED_VALUE"""),0.7736111111111111)</f>
        <v>0.7736111111</v>
      </c>
      <c r="T24" s="17">
        <f>IFERROR(__xludf.DUMMYFUNCTION("""COMPUTED_VALUE"""),0.7986111111111112)</f>
        <v>0.7986111111</v>
      </c>
      <c r="U24" s="20">
        <f>IFERROR(__xludf.DUMMYFUNCTION("""COMPUTED_VALUE"""),0.8409722222222222)</f>
        <v>0.8409722222</v>
      </c>
    </row>
    <row r="25">
      <c r="A25" s="18" t="str">
        <f>IFERROR(__xludf.DUMMYFUNCTION("""COMPUTED_VALUE"""),"NONKQUBELA")</f>
        <v>NONKQUBELA</v>
      </c>
      <c r="B25" s="19" t="str">
        <f>IFERROR(__xludf.DUMMYFUNCTION("""COMPUTED_VALUE"""),"-34.02681746271161, 18.663190611341626")</f>
        <v>-34.02681746271161, 18.663190611341626</v>
      </c>
      <c r="C25" s="17">
        <f>IFERROR(__xludf.DUMMYFUNCTION("""COMPUTED_VALUE"""),0.24513888888888888)</f>
        <v>0.2451388889</v>
      </c>
      <c r="D25" s="17"/>
      <c r="E25" s="17">
        <f>IFERROR(__xludf.DUMMYFUNCTION("""COMPUTED_VALUE"""),0.2972222222222222)</f>
        <v>0.2972222222</v>
      </c>
      <c r="F25" s="17"/>
      <c r="G25" s="17">
        <f>IFERROR(__xludf.DUMMYFUNCTION("""COMPUTED_VALUE"""),0.34930555555555554)</f>
        <v>0.3493055556</v>
      </c>
      <c r="H25" s="17"/>
      <c r="I25" s="17">
        <f>IFERROR(__xludf.DUMMYFUNCTION("""COMPUTED_VALUE"""),0.41875)</f>
        <v>0.41875</v>
      </c>
      <c r="J25" s="17">
        <f>IFERROR(__xludf.DUMMYFUNCTION("""COMPUTED_VALUE"""),0.47430555555555554)</f>
        <v>0.4743055556</v>
      </c>
      <c r="K25" s="17">
        <f>IFERROR(__xludf.DUMMYFUNCTION("""COMPUTED_VALUE"""),0.5298611111111111)</f>
        <v>0.5298611111</v>
      </c>
      <c r="L25" s="17">
        <f>IFERROR(__xludf.DUMMYFUNCTION("""COMPUTED_VALUE"""),0.5451388888888888)</f>
        <v>0.5451388889</v>
      </c>
      <c r="M25" s="17">
        <f>IFERROR(__xludf.DUMMYFUNCTION("""COMPUTED_VALUE"""),0.6166666666666667)</f>
        <v>0.6166666667</v>
      </c>
      <c r="N25" s="17"/>
      <c r="O25" s="17">
        <f>IFERROR(__xludf.DUMMYFUNCTION("""COMPUTED_VALUE"""),0.66875)</f>
        <v>0.66875</v>
      </c>
      <c r="P25" s="17"/>
      <c r="Q25" s="17">
        <f>IFERROR(__xludf.DUMMYFUNCTION("""COMPUTED_VALUE"""),0.7208333333333333)</f>
        <v>0.7208333333</v>
      </c>
      <c r="R25" s="17"/>
      <c r="S25" s="17">
        <f>IFERROR(__xludf.DUMMYFUNCTION("""COMPUTED_VALUE"""),0.7763888888888889)</f>
        <v>0.7763888889</v>
      </c>
      <c r="T25" s="17"/>
      <c r="U25" s="20">
        <f>IFERROR(__xludf.DUMMYFUNCTION("""COMPUTED_VALUE"""),0.84375)</f>
        <v>0.84375</v>
      </c>
    </row>
    <row r="26">
      <c r="A26" s="18" t="str">
        <f>IFERROR(__xludf.DUMMYFUNCTION("""COMPUTED_VALUE"""),"KHAYELITSHA")</f>
        <v>KHAYELITSHA</v>
      </c>
      <c r="B26" s="19" t="str">
        <f>IFERROR(__xludf.DUMMYFUNCTION("""COMPUTED_VALUE"""),"-34.047943373751565, 18.67073769040669")</f>
        <v>-34.047943373751565, 18.67073769040669</v>
      </c>
      <c r="C26" s="17">
        <f>IFERROR(__xludf.DUMMYFUNCTION("""COMPUTED_VALUE"""),0.24791666666666667)</f>
        <v>0.2479166667</v>
      </c>
      <c r="D26" s="17"/>
      <c r="E26" s="17">
        <f>IFERROR(__xludf.DUMMYFUNCTION("""COMPUTED_VALUE"""),0.3)</f>
        <v>0.3</v>
      </c>
      <c r="F26" s="17"/>
      <c r="G26" s="17">
        <f>IFERROR(__xludf.DUMMYFUNCTION("""COMPUTED_VALUE"""),0.35208333333333336)</f>
        <v>0.3520833333</v>
      </c>
      <c r="H26" s="17"/>
      <c r="I26" s="17">
        <f>IFERROR(__xludf.DUMMYFUNCTION("""COMPUTED_VALUE"""),0.4215277777777778)</f>
        <v>0.4215277778</v>
      </c>
      <c r="J26" s="17">
        <f>IFERROR(__xludf.DUMMYFUNCTION("""COMPUTED_VALUE"""),0.47708333333333336)</f>
        <v>0.4770833333</v>
      </c>
      <c r="K26" s="17">
        <f>IFERROR(__xludf.DUMMYFUNCTION("""COMPUTED_VALUE"""),0.5326388888888889)</f>
        <v>0.5326388889</v>
      </c>
      <c r="L26" s="17"/>
      <c r="M26" s="17">
        <f>IFERROR(__xludf.DUMMYFUNCTION("""COMPUTED_VALUE"""),0.6194444444444445)</f>
        <v>0.6194444444</v>
      </c>
      <c r="N26" s="17"/>
      <c r="O26" s="17">
        <f>IFERROR(__xludf.DUMMYFUNCTION("""COMPUTED_VALUE"""),0.6715277777777777)</f>
        <v>0.6715277778</v>
      </c>
      <c r="P26" s="17"/>
      <c r="Q26" s="17">
        <f>IFERROR(__xludf.DUMMYFUNCTION("""COMPUTED_VALUE"""),0.7236111111111111)</f>
        <v>0.7236111111</v>
      </c>
      <c r="R26" s="17"/>
      <c r="S26" s="17">
        <f>IFERROR(__xludf.DUMMYFUNCTION("""COMPUTED_VALUE"""),0.7791666666666667)</f>
        <v>0.7791666667</v>
      </c>
      <c r="T26" s="17"/>
      <c r="U26" s="20">
        <f>IFERROR(__xludf.DUMMYFUNCTION("""COMPUTED_VALUE"""),0.8465277777777778)</f>
        <v>0.8465277778</v>
      </c>
    </row>
    <row r="27">
      <c r="A27" s="18" t="str">
        <f>IFERROR(__xludf.DUMMYFUNCTION("""COMPUTED_VALUE"""),"KUYASA")</f>
        <v>KUYASA</v>
      </c>
      <c r="B27" s="19" t="str">
        <f>IFERROR(__xludf.DUMMYFUNCTION("""COMPUTED_VALUE"""),"-34.05489939537871, 18.692323957717754")</f>
        <v>-34.05489939537871, 18.692323957717754</v>
      </c>
      <c r="C27" s="17">
        <f>IFERROR(__xludf.DUMMYFUNCTION("""COMPUTED_VALUE"""),0.25)</f>
        <v>0.25</v>
      </c>
      <c r="D27" s="17"/>
      <c r="E27" s="17">
        <f>IFERROR(__xludf.DUMMYFUNCTION("""COMPUTED_VALUE"""),0.3020833333333333)</f>
        <v>0.3020833333</v>
      </c>
      <c r="F27" s="17"/>
      <c r="G27" s="17">
        <f>IFERROR(__xludf.DUMMYFUNCTION("""COMPUTED_VALUE"""),0.3541666666666667)</f>
        <v>0.3541666667</v>
      </c>
      <c r="H27" s="17"/>
      <c r="I27" s="17">
        <f>IFERROR(__xludf.DUMMYFUNCTION("""COMPUTED_VALUE"""),0.4236111111111111)</f>
        <v>0.4236111111</v>
      </c>
      <c r="J27" s="17">
        <f>IFERROR(__xludf.DUMMYFUNCTION("""COMPUTED_VALUE"""),0.4791666666666667)</f>
        <v>0.4791666667</v>
      </c>
      <c r="K27" s="17">
        <f>IFERROR(__xludf.DUMMYFUNCTION("""COMPUTED_VALUE"""),0.5347222222222222)</f>
        <v>0.5347222222</v>
      </c>
      <c r="L27" s="17"/>
      <c r="M27" s="17">
        <f>IFERROR(__xludf.DUMMYFUNCTION("""COMPUTED_VALUE"""),0.6215277777777778)</f>
        <v>0.6215277778</v>
      </c>
      <c r="N27" s="17"/>
      <c r="O27" s="17">
        <f>IFERROR(__xludf.DUMMYFUNCTION("""COMPUTED_VALUE"""),0.6736111111111112)</f>
        <v>0.6736111111</v>
      </c>
      <c r="P27" s="17"/>
      <c r="Q27" s="17">
        <f>IFERROR(__xludf.DUMMYFUNCTION("""COMPUTED_VALUE"""),0.7256944444444444)</f>
        <v>0.7256944444</v>
      </c>
      <c r="R27" s="17"/>
      <c r="S27" s="17">
        <f>IFERROR(__xludf.DUMMYFUNCTION("""COMPUTED_VALUE"""),0.78125)</f>
        <v>0.78125</v>
      </c>
      <c r="T27" s="17"/>
      <c r="U27" s="20">
        <f>IFERROR(__xludf.DUMMYFUNCTION("""COMPUTED_VALUE"""),0.8486111111111111)</f>
        <v>0.8486111111</v>
      </c>
    </row>
    <row r="28">
      <c r="A28" s="18" t="str">
        <f>IFERROR(__xludf.DUMMYFUNCTION("""COMPUTED_VALUE"""),"CHRIS HANI")</f>
        <v>CHRIS HANI</v>
      </c>
      <c r="B28" s="19" t="str">
        <f>IFERROR(__xludf.DUMMYFUNCTION("""COMPUTED_VALUE"""),"-34.054706073305944, 18.710707924836054")</f>
        <v>-34.054706073305944, 18.710707924836054</v>
      </c>
      <c r="C28" s="17">
        <f>IFERROR(__xludf.DUMMYFUNCTION("""COMPUTED_VALUE"""),0.25277777777777777)</f>
        <v>0.2527777778</v>
      </c>
      <c r="D28" s="17"/>
      <c r="E28" s="17">
        <f>IFERROR(__xludf.DUMMYFUNCTION("""COMPUTED_VALUE"""),0.30486111111111114)</f>
        <v>0.3048611111</v>
      </c>
      <c r="F28" s="17"/>
      <c r="G28" s="17">
        <f>IFERROR(__xludf.DUMMYFUNCTION("""COMPUTED_VALUE"""),0.3548611111111111)</f>
        <v>0.3548611111</v>
      </c>
      <c r="H28" s="17"/>
      <c r="I28" s="17">
        <f>IFERROR(__xludf.DUMMYFUNCTION("""COMPUTED_VALUE"""),0.4263888888888889)</f>
        <v>0.4263888889</v>
      </c>
      <c r="J28" s="17">
        <f>IFERROR(__xludf.DUMMYFUNCTION("""COMPUTED_VALUE"""),0.4798611111111111)</f>
        <v>0.4798611111</v>
      </c>
      <c r="K28" s="17">
        <f>IFERROR(__xludf.DUMMYFUNCTION("""COMPUTED_VALUE"""),0.5375)</f>
        <v>0.5375</v>
      </c>
      <c r="L28" s="17"/>
      <c r="M28" s="17">
        <f>IFERROR(__xludf.DUMMYFUNCTION("""COMPUTED_VALUE"""),0.6243055555555556)</f>
        <v>0.6243055556</v>
      </c>
      <c r="N28" s="17"/>
      <c r="O28" s="17">
        <f>IFERROR(__xludf.DUMMYFUNCTION("""COMPUTED_VALUE"""),0.6743055555555556)</f>
        <v>0.6743055556</v>
      </c>
      <c r="P28" s="17"/>
      <c r="Q28" s="17">
        <f>IFERROR(__xludf.DUMMYFUNCTION("""COMPUTED_VALUE"""),0.7284722222222222)</f>
        <v>0.7284722222</v>
      </c>
      <c r="R28" s="17"/>
      <c r="S28" s="17">
        <f>IFERROR(__xludf.DUMMYFUNCTION("""COMPUTED_VALUE"""),0.7840277777777778)</f>
        <v>0.7840277778</v>
      </c>
      <c r="T28" s="17"/>
      <c r="U28" s="20">
        <f>IFERROR(__xludf.DUMMYFUNCTION("""COMPUTED_VALUE"""),0.8513888888888889)</f>
        <v>0.8513888889</v>
      </c>
    </row>
    <row r="29">
      <c r="A29" s="18" t="str">
        <f>IFERROR(__xludf.DUMMYFUNCTION("""COMPUTED_VALUE"""),"LAVISTOWN")</f>
        <v>LAVISTOWN</v>
      </c>
      <c r="B29" s="19" t="str">
        <f>IFERROR(__xludf.DUMMYFUNCTION("""COMPUTED_VALUE"""),"-33.943269567798055, 18.583722311337315")</f>
        <v>-33.943269567798055, 18.583722311337315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</row>
    <row r="30">
      <c r="A30" s="18" t="str">
        <f>IFERROR(__xludf.DUMMYFUNCTION("""COMPUTED_VALUE"""),"BELHAR")</f>
        <v>BELHAR</v>
      </c>
      <c r="B30" s="19" t="str">
        <f>IFERROR(__xludf.DUMMYFUNCTION("""COMPUTED_VALUE"""),"-33.93959717971092, 18.60894476900841")</f>
        <v>-33.93959717971092, 18.60894476900841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</row>
    <row r="31">
      <c r="A31" s="18" t="str">
        <f>IFERROR(__xludf.DUMMYFUNCTION("""COMPUTED_VALUE"""),"UNIBELL")</f>
        <v>UNIBELL</v>
      </c>
      <c r="B31" s="19" t="str">
        <f>IFERROR(__xludf.DUMMYFUNCTION("""COMPUTED_VALUE"""),"-33.93686354314193, 18.628117540172582")</f>
        <v>-33.93686354314193, 18.628117540172582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</row>
    <row r="32">
      <c r="A32" s="18" t="str">
        <f>IFERROR(__xludf.DUMMYFUNCTION("""COMPUTED_VALUE"""),"PENTECH")</f>
        <v>PENTECH</v>
      </c>
      <c r="B32" s="19" t="str">
        <f>IFERROR(__xludf.DUMMYFUNCTION("""COMPUTED_VALUE"""),"-33.93468015167005, 18.646053668734744")</f>
        <v>-33.93468015167005, 18.646053668734744</v>
      </c>
      <c r="C32" s="19"/>
      <c r="D32" s="19"/>
      <c r="E32" s="17"/>
      <c r="F32" s="17"/>
      <c r="G32" s="17"/>
      <c r="H32" s="17"/>
      <c r="I32" s="17"/>
      <c r="J32" s="17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87" t="str">
        <f>IFERROR(__xludf.DUMMYFUNCTION("""COMPUTED_VALUE"""),"SAREPTA")</f>
        <v>SAREPTA</v>
      </c>
      <c r="B33" s="87" t="str">
        <f>IFERROR(__xludf.DUMMYFUNCTION("""COMPUTED_VALUE"""),"-33.92655594121331, 18.661143180651308")</f>
        <v>-33.92655594121331, 18.661143180651308</v>
      </c>
      <c r="C33" s="19"/>
      <c r="D33" s="19"/>
      <c r="E33" s="19"/>
      <c r="F33" s="19"/>
      <c r="G33" s="19"/>
      <c r="H33" s="19"/>
      <c r="I33" s="19"/>
      <c r="J33" s="19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87" t="str">
        <f>IFERROR(__xludf.DUMMYFUNCTION("""COMPUTED_VALUE"""),"BELLVILLE")</f>
        <v>BELLVILLE</v>
      </c>
      <c r="B34" s="87" t="str">
        <f>IFERROR(__xludf.DUMMYFUNCTION("""COMPUTED_VALUE"""),"-33.906263459762684, 18.62662128465745")</f>
        <v>-33.906263459762684, 18.62662128465745</v>
      </c>
      <c r="C34" s="19"/>
      <c r="D34" s="19"/>
      <c r="E34" s="19"/>
      <c r="F34" s="19"/>
      <c r="G34" s="19"/>
      <c r="H34" s="19"/>
      <c r="I34" s="19"/>
      <c r="J34" s="19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87"/>
      <c r="B35" s="20"/>
      <c r="C35" s="19"/>
      <c r="D35" s="19"/>
      <c r="E35" s="19"/>
      <c r="F35" s="19"/>
      <c r="G35" s="19"/>
      <c r="H35" s="19"/>
      <c r="I35" s="19"/>
      <c r="J35" s="19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>
      <c r="A36" s="87"/>
      <c r="B36" s="20"/>
      <c r="C36" s="16"/>
      <c r="D36" s="16"/>
      <c r="E36" s="17"/>
      <c r="F36" s="17"/>
      <c r="G36" s="17"/>
      <c r="H36" s="17"/>
      <c r="I36" s="17"/>
      <c r="J36" s="17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>
      <c r="A37" s="18"/>
      <c r="B37" s="17"/>
      <c r="C37" s="17"/>
      <c r="D37" s="17"/>
      <c r="E37" s="17"/>
      <c r="F37" s="17"/>
      <c r="G37" s="17"/>
      <c r="H37" s="17"/>
      <c r="I37" s="17"/>
      <c r="J37" s="17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18"/>
      <c r="B38" s="17"/>
      <c r="C38" s="17"/>
      <c r="D38" s="17"/>
      <c r="E38" s="17"/>
      <c r="F38" s="17"/>
      <c r="G38" s="17"/>
      <c r="H38" s="17"/>
      <c r="I38" s="17"/>
      <c r="J38" s="17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20"/>
      <c r="L39" s="87"/>
      <c r="M39" s="20"/>
      <c r="N39" s="20"/>
      <c r="O39" s="20"/>
      <c r="P39" s="20"/>
      <c r="Q39" s="20"/>
      <c r="R39" s="20"/>
      <c r="S39" s="20"/>
      <c r="T39" s="20"/>
      <c r="U39" s="20"/>
    </row>
    <row r="40">
      <c r="A40" s="92"/>
      <c r="B40" s="19"/>
      <c r="C40" s="19"/>
      <c r="D40" s="19"/>
      <c r="E40" s="19"/>
      <c r="F40" s="19"/>
      <c r="G40" s="19"/>
      <c r="H40" s="19"/>
      <c r="I40" s="19"/>
      <c r="J40" s="19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>
      <c r="A42" s="18"/>
      <c r="B42" s="19"/>
      <c r="C42" s="17"/>
      <c r="D42" s="17"/>
      <c r="E42" s="17"/>
      <c r="F42" s="17"/>
      <c r="G42" s="17"/>
      <c r="H42" s="17"/>
      <c r="I42" s="17"/>
      <c r="J42" s="17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>
      <c r="A44" s="18"/>
      <c r="B44" s="19"/>
      <c r="C44" s="17"/>
      <c r="D44" s="17"/>
      <c r="E44" s="17"/>
      <c r="F44" s="17"/>
      <c r="G44" s="17"/>
      <c r="H44" s="17"/>
      <c r="I44" s="17"/>
      <c r="J44" s="17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>
      <c r="A46" s="87"/>
      <c r="B46" s="75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>
      <c r="A47" s="87"/>
      <c r="B47" s="75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>
      <c r="A48" s="87"/>
      <c r="B48" s="75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>
      <c r="A49" s="87"/>
      <c r="B49" s="8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87"/>
      <c r="B50" s="8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IFERROR(__xludf.DUMMYFUNCTION("FILTER('CTCEN-IN_Weekday'!A:ZZ, BYCOL('CTCEN-IN_Weekday'!A:ZZ, LAMBDA(colData, OR(COLUMN(colData)&lt;=2, INDEX(colData, MATCH(""*NOLUNGILE*"", 'CTCEN-IN_Weekday'!$A:$A, 0))&lt;&gt;""""))))"),"Last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IFERROR(__xludf.DUMMYFUNCTION("""COMPUTED_VALUE"""),9400.0)</f>
        <v>9400</v>
      </c>
      <c r="D2" s="5">
        <f>IFERROR(__xludf.DUMMYFUNCTION("""COMPUTED_VALUE"""),9900.0)</f>
        <v>9900</v>
      </c>
      <c r="E2" s="5">
        <f>IFERROR(__xludf.DUMMYFUNCTION("""COMPUTED_VALUE"""),9402.0)</f>
        <v>9402</v>
      </c>
      <c r="F2" s="5">
        <f>IFERROR(__xludf.DUMMYFUNCTION("""COMPUTED_VALUE"""),9902.0)</f>
        <v>9902</v>
      </c>
      <c r="G2" s="5">
        <f>IFERROR(__xludf.DUMMYFUNCTION("""COMPUTED_VALUE"""),9404.0)</f>
        <v>9404</v>
      </c>
      <c r="H2" s="5">
        <f>IFERROR(__xludf.DUMMYFUNCTION("""COMPUTED_VALUE"""),9904.0)</f>
        <v>9904</v>
      </c>
      <c r="I2" s="5">
        <f>IFERROR(__xludf.DUMMYFUNCTION("""COMPUTED_VALUE"""),9406.0)</f>
        <v>9406</v>
      </c>
      <c r="J2" s="5">
        <f>IFERROR(__xludf.DUMMYFUNCTION("""COMPUTED_VALUE"""),9906.0)</f>
        <v>9906</v>
      </c>
      <c r="K2" s="5">
        <f>IFERROR(__xludf.DUMMYFUNCTION("""COMPUTED_VALUE"""),9408.0)</f>
        <v>9408</v>
      </c>
      <c r="L2" s="5">
        <f>IFERROR(__xludf.DUMMYFUNCTION("""COMPUTED_VALUE"""),9908.0)</f>
        <v>9908</v>
      </c>
      <c r="M2" s="5">
        <f>IFERROR(__xludf.DUMMYFUNCTION("""COMPUTED_VALUE"""),9910.0)</f>
        <v>9910</v>
      </c>
      <c r="N2" s="5">
        <f>IFERROR(__xludf.DUMMYFUNCTION("""COMPUTED_VALUE"""),9410.0)</f>
        <v>9410</v>
      </c>
      <c r="O2" s="5">
        <f>IFERROR(__xludf.DUMMYFUNCTION("""COMPUTED_VALUE"""),9912.0)</f>
        <v>9912</v>
      </c>
      <c r="P2" s="5">
        <f>IFERROR(__xludf.DUMMYFUNCTION("""COMPUTED_VALUE"""),9412.0)</f>
        <v>9412</v>
      </c>
      <c r="Q2" s="5">
        <f>IFERROR(__xludf.DUMMYFUNCTION("""COMPUTED_VALUE"""),9914.0)</f>
        <v>9914</v>
      </c>
      <c r="R2" s="5">
        <f>IFERROR(__xludf.DUMMYFUNCTION("""COMPUTED_VALUE"""),9916.0)</f>
        <v>9916</v>
      </c>
      <c r="S2" s="5">
        <f>IFERROR(__xludf.DUMMYFUNCTION("""COMPUTED_VALUE"""),9414.0)</f>
        <v>9414</v>
      </c>
      <c r="T2" s="5">
        <f>IFERROR(__xludf.DUMMYFUNCTION("""COMPUTED_VALUE"""),9918.0)</f>
        <v>9918</v>
      </c>
      <c r="U2" s="6">
        <f>IFERROR(__xludf.DUMMYFUNCTION("""COMPUTED_VALUE"""),9416.0)</f>
        <v>9416</v>
      </c>
      <c r="V2" s="6">
        <f>IFERROR(__xludf.DUMMYFUNCTION("""COMPUTED_VALUE"""),9920.0)</f>
        <v>9920</v>
      </c>
      <c r="W2" s="6">
        <f>IFERROR(__xludf.DUMMYFUNCTION("""COMPUTED_VALUE"""),9418.0)</f>
        <v>9418</v>
      </c>
      <c r="X2" s="6"/>
      <c r="Y2" s="6"/>
      <c r="Z2" s="6"/>
      <c r="AA2" s="6"/>
    </row>
    <row r="3">
      <c r="A3" s="7" t="str">
        <f>IFERROR(__xludf.DUMMYFUNCTION("""COMPUTED_VALUE"""),"BELLVILLE")</f>
        <v>BELLVILLE</v>
      </c>
      <c r="B3" s="93" t="str">
        <f>IFERROR(__xludf.DUMMYFUNCTION("""COMPUTED_VALUE"""),"-33.906263459762684, 18.62662128465745")</f>
        <v>-33.906263459762684, 18.62662128465745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89"/>
      <c r="V3" s="89"/>
      <c r="W3" s="89"/>
      <c r="X3" s="10"/>
      <c r="Y3" s="10"/>
      <c r="Z3" s="10"/>
      <c r="AA3" s="10"/>
    </row>
    <row r="4">
      <c r="A4" s="1" t="str">
        <f>IFERROR(__xludf.DUMMYFUNCTION("""COMPUTED_VALUE"""),"SAREPTA")</f>
        <v>SAREPTA</v>
      </c>
      <c r="B4" s="11" t="str">
        <f>IFERROR(__xludf.DUMMYFUNCTION("""COMPUTED_VALUE"""),"-33.92655594121331, 18.661143180651308")</f>
        <v>-33.92655594121331, 18.661143180651308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tr">
        <f>IFERROR(__xludf.DUMMYFUNCTION("""COMPUTED_VALUE"""),"PENTECH")</f>
        <v>PENTECH</v>
      </c>
      <c r="B5" s="11" t="str">
        <f>IFERROR(__xludf.DUMMYFUNCTION("""COMPUTED_VALUE"""),"-33.93468015167005, 18.646053668734744")</f>
        <v>-33.93468015167005, 18.646053668734744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tr">
        <f>IFERROR(__xludf.DUMMYFUNCTION("""COMPUTED_VALUE"""),"UNIBELL")</f>
        <v>UNIBELL</v>
      </c>
      <c r="B6" s="11" t="str">
        <f>IFERROR(__xludf.DUMMYFUNCTION("""COMPUTED_VALUE"""),"-33.93686354314193, 18.628117540172582")</f>
        <v>-33.93686354314193, 18.628117540172582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tr">
        <f>IFERROR(__xludf.DUMMYFUNCTION("""COMPUTED_VALUE"""),"BELHAR")</f>
        <v>BELHAR</v>
      </c>
      <c r="B7" s="13" t="str">
        <f>IFERROR(__xludf.DUMMYFUNCTION("""COMPUTED_VALUE"""),"-33.93959717971092, 18.60894476900841")</f>
        <v>-33.93959717971092, 18.60894476900841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1" t="str">
        <f>IFERROR(__xludf.DUMMYFUNCTION("""COMPUTED_VALUE"""),"LAVISTOWN")</f>
        <v>LAVISTOWN</v>
      </c>
      <c r="B8" s="13" t="str">
        <f>IFERROR(__xludf.DUMMYFUNCTION("""COMPUTED_VALUE"""),"-33.943269567798055, 18.583722311337315")</f>
        <v>-33.943269567798055, 18.583722311337315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20"/>
      <c r="V8" s="20"/>
      <c r="W8" s="20"/>
    </row>
    <row r="9">
      <c r="A9" s="1" t="str">
        <f>IFERROR(__xludf.DUMMYFUNCTION("""COMPUTED_VALUE"""),"CHRIS HANI")</f>
        <v>CHRIS HANI</v>
      </c>
      <c r="B9" s="13" t="str">
        <f>IFERROR(__xludf.DUMMYFUNCTION("""COMPUTED_VALUE"""),"-34.054706073305944, 18.710707924836054")</f>
        <v>-34.054706073305944, 18.710707924836054</v>
      </c>
      <c r="C9" s="12"/>
      <c r="D9" s="12">
        <f>IFERROR(__xludf.DUMMYFUNCTION("""COMPUTED_VALUE"""),0.2048611111111111)</f>
        <v>0.2048611111</v>
      </c>
      <c r="E9" s="12"/>
      <c r="F9" s="12">
        <f>IFERROR(__xludf.DUMMYFUNCTION("""COMPUTED_VALUE"""),0.25833333333333336)</f>
        <v>0.2583333333</v>
      </c>
      <c r="G9" s="12"/>
      <c r="H9" s="12">
        <f>IFERROR(__xludf.DUMMYFUNCTION("""COMPUTED_VALUE"""),0.3125)</f>
        <v>0.3125</v>
      </c>
      <c r="I9" s="12"/>
      <c r="J9" s="12">
        <f>IFERROR(__xludf.DUMMYFUNCTION("""COMPUTED_VALUE"""),0.3625)</f>
        <v>0.3625</v>
      </c>
      <c r="K9" s="12"/>
      <c r="L9" s="12">
        <f>IFERROR(__xludf.DUMMYFUNCTION("""COMPUTED_VALUE"""),0.43194444444444446)</f>
        <v>0.4319444444</v>
      </c>
      <c r="M9" s="12">
        <f>IFERROR(__xludf.DUMMYFUNCTION("""COMPUTED_VALUE"""),0.4895833333333333)</f>
        <v>0.4895833333</v>
      </c>
      <c r="N9" s="12"/>
      <c r="O9" s="12">
        <f>IFERROR(__xludf.DUMMYFUNCTION("""COMPUTED_VALUE"""),0.5486111111111112)</f>
        <v>0.5486111111</v>
      </c>
      <c r="P9" s="12"/>
      <c r="Q9" s="12">
        <f>IFERROR(__xludf.DUMMYFUNCTION("""COMPUTED_VALUE"""),0.6263888888888889)</f>
        <v>0.6263888889</v>
      </c>
      <c r="R9" s="12">
        <f>IFERROR(__xludf.DUMMYFUNCTION("""COMPUTED_VALUE"""),0.6840277777777778)</f>
        <v>0.6840277778</v>
      </c>
      <c r="S9" s="12"/>
      <c r="T9" s="12">
        <f>IFERROR(__xludf.DUMMYFUNCTION("""COMPUTED_VALUE"""),0.7361111111111112)</f>
        <v>0.7361111111</v>
      </c>
      <c r="U9" s="20"/>
      <c r="V9" s="20">
        <f>IFERROR(__xludf.DUMMYFUNCTION("""COMPUTED_VALUE"""),0.7986111111111112)</f>
        <v>0.7986111111</v>
      </c>
      <c r="W9" s="20"/>
    </row>
    <row r="10">
      <c r="A10" s="1" t="str">
        <f>IFERROR(__xludf.DUMMYFUNCTION("""COMPUTED_VALUE"""),"KUYASA")</f>
        <v>KUYASA</v>
      </c>
      <c r="B10" s="13" t="str">
        <f>IFERROR(__xludf.DUMMYFUNCTION("""COMPUTED_VALUE"""),"-34.05489939537871, 18.692323957717754")</f>
        <v>-34.05489939537871, 18.692323957717754</v>
      </c>
      <c r="C10" s="12"/>
      <c r="D10" s="12">
        <f>IFERROR(__xludf.DUMMYFUNCTION("""COMPUTED_VALUE"""),0.2076388888888889)</f>
        <v>0.2076388889</v>
      </c>
      <c r="E10" s="12"/>
      <c r="F10" s="12">
        <f>IFERROR(__xludf.DUMMYFUNCTION("""COMPUTED_VALUE"""),0.2611111111111111)</f>
        <v>0.2611111111</v>
      </c>
      <c r="G10" s="12"/>
      <c r="H10" s="12">
        <f>IFERROR(__xludf.DUMMYFUNCTION("""COMPUTED_VALUE"""),0.31527777777777777)</f>
        <v>0.3152777778</v>
      </c>
      <c r="I10" s="12"/>
      <c r="J10" s="12">
        <f>IFERROR(__xludf.DUMMYFUNCTION("""COMPUTED_VALUE"""),0.36527777777777776)</f>
        <v>0.3652777778</v>
      </c>
      <c r="K10" s="12"/>
      <c r="L10" s="12">
        <f>IFERROR(__xludf.DUMMYFUNCTION("""COMPUTED_VALUE"""),0.43472222222222223)</f>
        <v>0.4347222222</v>
      </c>
      <c r="M10" s="12">
        <f>IFERROR(__xludf.DUMMYFUNCTION("""COMPUTED_VALUE"""),0.49236111111111114)</f>
        <v>0.4923611111</v>
      </c>
      <c r="N10" s="12"/>
      <c r="O10" s="12">
        <f>IFERROR(__xludf.DUMMYFUNCTION("""COMPUTED_VALUE"""),0.5513888888888889)</f>
        <v>0.5513888889</v>
      </c>
      <c r="P10" s="12"/>
      <c r="Q10" s="12">
        <f>IFERROR(__xludf.DUMMYFUNCTION("""COMPUTED_VALUE"""),0.6291666666666667)</f>
        <v>0.6291666667</v>
      </c>
      <c r="R10" s="12">
        <f>IFERROR(__xludf.DUMMYFUNCTION("""COMPUTED_VALUE"""),0.6868055555555556)</f>
        <v>0.6868055556</v>
      </c>
      <c r="S10" s="12"/>
      <c r="T10" s="12">
        <f>IFERROR(__xludf.DUMMYFUNCTION("""COMPUTED_VALUE"""),0.7388888888888889)</f>
        <v>0.7388888889</v>
      </c>
      <c r="U10" s="20"/>
      <c r="V10" s="20">
        <f>IFERROR(__xludf.DUMMYFUNCTION("""COMPUTED_VALUE"""),0.8013888888888889)</f>
        <v>0.8013888889</v>
      </c>
      <c r="W10" s="20"/>
    </row>
    <row r="11">
      <c r="A11" s="1" t="str">
        <f>IFERROR(__xludf.DUMMYFUNCTION("""COMPUTED_VALUE"""),"KHAYELITSHA")</f>
        <v>KHAYELITSHA</v>
      </c>
      <c r="B11" s="13" t="str">
        <f>IFERROR(__xludf.DUMMYFUNCTION("""COMPUTED_VALUE"""),"-34.047943373751565, 18.67073769040669")</f>
        <v>-34.047943373751565, 18.67073769040669</v>
      </c>
      <c r="C11" s="12"/>
      <c r="D11" s="12">
        <f>IFERROR(__xludf.DUMMYFUNCTION("""COMPUTED_VALUE"""),0.20972222222222223)</f>
        <v>0.2097222222</v>
      </c>
      <c r="E11" s="12"/>
      <c r="F11" s="12">
        <f>IFERROR(__xludf.DUMMYFUNCTION("""COMPUTED_VALUE"""),0.26319444444444445)</f>
        <v>0.2631944444</v>
      </c>
      <c r="G11" s="12"/>
      <c r="H11" s="12">
        <f>IFERROR(__xludf.DUMMYFUNCTION("""COMPUTED_VALUE"""),0.3173611111111111)</f>
        <v>0.3173611111</v>
      </c>
      <c r="I11" s="12"/>
      <c r="J11" s="12">
        <f>IFERROR(__xludf.DUMMYFUNCTION("""COMPUTED_VALUE"""),0.36736111111111114)</f>
        <v>0.3673611111</v>
      </c>
      <c r="K11" s="12"/>
      <c r="L11" s="12">
        <f>IFERROR(__xludf.DUMMYFUNCTION("""COMPUTED_VALUE"""),0.43680555555555556)</f>
        <v>0.4368055556</v>
      </c>
      <c r="M11" s="12">
        <f>IFERROR(__xludf.DUMMYFUNCTION("""COMPUTED_VALUE"""),0.49444444444444446)</f>
        <v>0.4944444444</v>
      </c>
      <c r="N11" s="12"/>
      <c r="O11" s="12">
        <f>IFERROR(__xludf.DUMMYFUNCTION("""COMPUTED_VALUE"""),0.5534722222222223)</f>
        <v>0.5534722222</v>
      </c>
      <c r="P11" s="12"/>
      <c r="Q11" s="12">
        <f>IFERROR(__xludf.DUMMYFUNCTION("""COMPUTED_VALUE"""),0.63125)</f>
        <v>0.63125</v>
      </c>
      <c r="R11" s="12">
        <f>IFERROR(__xludf.DUMMYFUNCTION("""COMPUTED_VALUE"""),0.6888888888888889)</f>
        <v>0.6888888889</v>
      </c>
      <c r="S11" s="12"/>
      <c r="T11" s="12">
        <f>IFERROR(__xludf.DUMMYFUNCTION("""COMPUTED_VALUE"""),0.7409722222222223)</f>
        <v>0.7409722222</v>
      </c>
      <c r="U11" s="20"/>
      <c r="V11" s="20">
        <f>IFERROR(__xludf.DUMMYFUNCTION("""COMPUTED_VALUE"""),0.8034722222222223)</f>
        <v>0.8034722222</v>
      </c>
      <c r="W11" s="20"/>
    </row>
    <row r="12">
      <c r="A12" s="1" t="str">
        <f>IFERROR(__xludf.DUMMYFUNCTION("""COMPUTED_VALUE"""),"NONKQUBELA")</f>
        <v>NONKQUBELA</v>
      </c>
      <c r="B12" s="13" t="str">
        <f>IFERROR(__xludf.DUMMYFUNCTION("""COMPUTED_VALUE"""),"-34.02681746271161, 18.663190611341626")</f>
        <v>-34.02681746271161, 18.663190611341626</v>
      </c>
      <c r="C12" s="12"/>
      <c r="D12" s="12">
        <f>IFERROR(__xludf.DUMMYFUNCTION("""COMPUTED_VALUE"""),0.2125)</f>
        <v>0.2125</v>
      </c>
      <c r="E12" s="12"/>
      <c r="F12" s="12">
        <f>IFERROR(__xludf.DUMMYFUNCTION("""COMPUTED_VALUE"""),0.2659722222222222)</f>
        <v>0.2659722222</v>
      </c>
      <c r="G12" s="12"/>
      <c r="H12" s="12">
        <f>IFERROR(__xludf.DUMMYFUNCTION("""COMPUTED_VALUE"""),0.32013888888888886)</f>
        <v>0.3201388889</v>
      </c>
      <c r="I12" s="12"/>
      <c r="J12" s="12">
        <f>IFERROR(__xludf.DUMMYFUNCTION("""COMPUTED_VALUE"""),0.3701388888888889)</f>
        <v>0.3701388889</v>
      </c>
      <c r="K12" s="12"/>
      <c r="L12" s="12">
        <f>IFERROR(__xludf.DUMMYFUNCTION("""COMPUTED_VALUE"""),0.4395833333333333)</f>
        <v>0.4395833333</v>
      </c>
      <c r="M12" s="12">
        <f>IFERROR(__xludf.DUMMYFUNCTION("""COMPUTED_VALUE"""),0.49722222222222223)</f>
        <v>0.4972222222</v>
      </c>
      <c r="N12" s="12"/>
      <c r="O12" s="12">
        <f>IFERROR(__xludf.DUMMYFUNCTION("""COMPUTED_VALUE"""),0.55625)</f>
        <v>0.55625</v>
      </c>
      <c r="P12" s="12"/>
      <c r="Q12" s="12">
        <f>IFERROR(__xludf.DUMMYFUNCTION("""COMPUTED_VALUE"""),0.6340277777777777)</f>
        <v>0.6340277778</v>
      </c>
      <c r="R12" s="12">
        <f>IFERROR(__xludf.DUMMYFUNCTION("""COMPUTED_VALUE"""),0.6916666666666667)</f>
        <v>0.6916666667</v>
      </c>
      <c r="S12" s="12"/>
      <c r="T12" s="12">
        <f>IFERROR(__xludf.DUMMYFUNCTION("""COMPUTED_VALUE"""),0.74375)</f>
        <v>0.74375</v>
      </c>
      <c r="U12" s="20"/>
      <c r="V12" s="20">
        <f>IFERROR(__xludf.DUMMYFUNCTION("""COMPUTED_VALUE"""),0.80625)</f>
        <v>0.80625</v>
      </c>
      <c r="W12" s="20"/>
    </row>
    <row r="13">
      <c r="A13" s="1" t="str">
        <f>IFERROR(__xludf.DUMMYFUNCTION("""COMPUTED_VALUE"""),"NOLUNGILE")</f>
        <v>NOLUNGILE</v>
      </c>
      <c r="B13" s="14" t="str">
        <f>IFERROR(__xludf.DUMMYFUNCTION("""COMPUTED_VALUE"""),"-34.016811809063164, 18.64902361716287")</f>
        <v>-34.016811809063164, 18.64902361716287</v>
      </c>
      <c r="C13" s="12">
        <f>IFERROR(__xludf.DUMMYFUNCTION("""COMPUTED_VALUE"""),0.19444444444444445)</f>
        <v>0.1944444444</v>
      </c>
      <c r="D13" s="12">
        <f>IFERROR(__xludf.DUMMYFUNCTION("""COMPUTED_VALUE"""),0.2152777777777778)</f>
        <v>0.2152777778</v>
      </c>
      <c r="E13" s="12">
        <f>IFERROR(__xludf.DUMMYFUNCTION("""COMPUTED_VALUE"""),0.22569444444444445)</f>
        <v>0.2256944444</v>
      </c>
      <c r="F13" s="12">
        <f>IFERROR(__xludf.DUMMYFUNCTION("""COMPUTED_VALUE"""),0.26875)</f>
        <v>0.26875</v>
      </c>
      <c r="G13" s="12">
        <f>IFERROR(__xludf.DUMMYFUNCTION("""COMPUTED_VALUE"""),0.30069444444444443)</f>
        <v>0.3006944444</v>
      </c>
      <c r="H13" s="12">
        <f>IFERROR(__xludf.DUMMYFUNCTION("""COMPUTED_VALUE"""),0.3229166666666667)</f>
        <v>0.3229166667</v>
      </c>
      <c r="I13" s="12">
        <f>IFERROR(__xludf.DUMMYFUNCTION("""COMPUTED_VALUE"""),0.3472222222222222)</f>
        <v>0.3472222222</v>
      </c>
      <c r="J13" s="12">
        <f>IFERROR(__xludf.DUMMYFUNCTION("""COMPUTED_VALUE"""),0.3729166666666667)</f>
        <v>0.3729166667</v>
      </c>
      <c r="K13" s="12">
        <f>IFERROR(__xludf.DUMMYFUNCTION("""COMPUTED_VALUE"""),0.3972222222222222)</f>
        <v>0.3972222222</v>
      </c>
      <c r="L13" s="12">
        <f>IFERROR(__xludf.DUMMYFUNCTION("""COMPUTED_VALUE"""),0.4423611111111111)</f>
        <v>0.4423611111</v>
      </c>
      <c r="M13" s="12">
        <f>IFERROR(__xludf.DUMMYFUNCTION("""COMPUTED_VALUE"""),0.5)</f>
        <v>0.5</v>
      </c>
      <c r="N13" s="12">
        <f>IFERROR(__xludf.DUMMYFUNCTION("""COMPUTED_VALUE"""),0.5451388888888888)</f>
        <v>0.5451388889</v>
      </c>
      <c r="O13" s="12">
        <f>IFERROR(__xludf.DUMMYFUNCTION("""COMPUTED_VALUE"""),0.5590277777777778)</f>
        <v>0.5590277778</v>
      </c>
      <c r="P13" s="12">
        <f>IFERROR(__xludf.DUMMYFUNCTION("""COMPUTED_VALUE"""),0.6388888888888888)</f>
        <v>0.6388888889</v>
      </c>
      <c r="Q13" s="12">
        <f>IFERROR(__xludf.DUMMYFUNCTION("""COMPUTED_VALUE"""),0.6368055555555555)</f>
        <v>0.6368055556</v>
      </c>
      <c r="R13" s="12">
        <f>IFERROR(__xludf.DUMMYFUNCTION("""COMPUTED_VALUE"""),0.6944444444444444)</f>
        <v>0.6944444444</v>
      </c>
      <c r="S13" s="12">
        <f>IFERROR(__xludf.DUMMYFUNCTION("""COMPUTED_VALUE"""),0.7083333333333334)</f>
        <v>0.7083333333</v>
      </c>
      <c r="T13" s="12">
        <f>IFERROR(__xludf.DUMMYFUNCTION("""COMPUTED_VALUE"""),0.7465277777777778)</f>
        <v>0.7465277778</v>
      </c>
      <c r="U13" s="20">
        <f>IFERROR(__xludf.DUMMYFUNCTION("""COMPUTED_VALUE"""),0.7722222222222223)</f>
        <v>0.7722222222</v>
      </c>
      <c r="V13" s="20">
        <f>IFERROR(__xludf.DUMMYFUNCTION("""COMPUTED_VALUE"""),0.8090277777777778)</f>
        <v>0.8090277778</v>
      </c>
      <c r="W13" s="20">
        <f>IFERROR(__xludf.DUMMYFUNCTION("""COMPUTED_VALUE"""),0.8229166666666666)</f>
        <v>0.8229166667</v>
      </c>
    </row>
    <row r="14">
      <c r="A14" s="4" t="str">
        <f>IFERROR(__xludf.DUMMYFUNCTION("""COMPUTED_VALUE"""),"MANDALAY")</f>
        <v>MANDALAY</v>
      </c>
      <c r="B14" s="13" t="str">
        <f>IFERROR(__xludf.DUMMYFUNCTION("""COMPUTED_VALUE"""),"-34.019015667481014, 18.624391145998562")</f>
        <v>-34.019015667481014, 18.624391145998562</v>
      </c>
      <c r="C14" s="12">
        <f>IFERROR(__xludf.DUMMYFUNCTION("""COMPUTED_VALUE"""),0.19722222222222222)</f>
        <v>0.1972222222</v>
      </c>
      <c r="D14" s="12">
        <f>IFERROR(__xludf.DUMMYFUNCTION("""COMPUTED_VALUE"""),0.21805555555555556)</f>
        <v>0.2180555556</v>
      </c>
      <c r="E14" s="12">
        <f>IFERROR(__xludf.DUMMYFUNCTION("""COMPUTED_VALUE"""),0.22847222222222222)</f>
        <v>0.2284722222</v>
      </c>
      <c r="F14" s="12">
        <f>IFERROR(__xludf.DUMMYFUNCTION("""COMPUTED_VALUE"""),0.27152777777777776)</f>
        <v>0.2715277778</v>
      </c>
      <c r="G14" s="12">
        <f>IFERROR(__xludf.DUMMYFUNCTION("""COMPUTED_VALUE"""),0.3034722222222222)</f>
        <v>0.3034722222</v>
      </c>
      <c r="H14" s="12">
        <f>IFERROR(__xludf.DUMMYFUNCTION("""COMPUTED_VALUE"""),0.32569444444444445)</f>
        <v>0.3256944444</v>
      </c>
      <c r="I14" s="12">
        <f>IFERROR(__xludf.DUMMYFUNCTION("""COMPUTED_VALUE"""),0.35)</f>
        <v>0.35</v>
      </c>
      <c r="J14" s="12">
        <f>IFERROR(__xludf.DUMMYFUNCTION("""COMPUTED_VALUE"""),0.37569444444444444)</f>
        <v>0.3756944444</v>
      </c>
      <c r="K14" s="12">
        <f>IFERROR(__xludf.DUMMYFUNCTION("""COMPUTED_VALUE"""),0.4)</f>
        <v>0.4</v>
      </c>
      <c r="L14" s="20">
        <f>IFERROR(__xludf.DUMMYFUNCTION("""COMPUTED_VALUE"""),0.44513888888888886)</f>
        <v>0.4451388889</v>
      </c>
      <c r="M14" s="20">
        <f>IFERROR(__xludf.DUMMYFUNCTION("""COMPUTED_VALUE"""),0.5027777777777778)</f>
        <v>0.5027777778</v>
      </c>
      <c r="N14" s="20">
        <f>IFERROR(__xludf.DUMMYFUNCTION("""COMPUTED_VALUE"""),0.5479166666666667)</f>
        <v>0.5479166667</v>
      </c>
      <c r="O14" s="20">
        <f>IFERROR(__xludf.DUMMYFUNCTION("""COMPUTED_VALUE"""),0.5618055555555556)</f>
        <v>0.5618055556</v>
      </c>
      <c r="P14" s="20">
        <f>IFERROR(__xludf.DUMMYFUNCTION("""COMPUTED_VALUE"""),0.6416666666666667)</f>
        <v>0.6416666667</v>
      </c>
      <c r="Q14" s="20">
        <f>IFERROR(__xludf.DUMMYFUNCTION("""COMPUTED_VALUE"""),0.6395833333333333)</f>
        <v>0.6395833333</v>
      </c>
      <c r="R14" s="20">
        <f>IFERROR(__xludf.DUMMYFUNCTION("""COMPUTED_VALUE"""),0.6972222222222222)</f>
        <v>0.6972222222</v>
      </c>
      <c r="S14" s="20">
        <f>IFERROR(__xludf.DUMMYFUNCTION("""COMPUTED_VALUE"""),0.7111111111111111)</f>
        <v>0.7111111111</v>
      </c>
      <c r="T14" s="20">
        <f>IFERROR(__xludf.DUMMYFUNCTION("""COMPUTED_VALUE"""),0.7493055555555556)</f>
        <v>0.7493055556</v>
      </c>
      <c r="U14" s="20">
        <f>IFERROR(__xludf.DUMMYFUNCTION("""COMPUTED_VALUE"""),0.775)</f>
        <v>0.775</v>
      </c>
      <c r="V14" s="20">
        <f>IFERROR(__xludf.DUMMYFUNCTION("""COMPUTED_VALUE"""),0.8118055555555556)</f>
        <v>0.8118055556</v>
      </c>
      <c r="W14" s="20">
        <f>IFERROR(__xludf.DUMMYFUNCTION("""COMPUTED_VALUE"""),0.8256944444444444)</f>
        <v>0.8256944444</v>
      </c>
    </row>
    <row r="15">
      <c r="A15" s="1" t="str">
        <f>IFERROR(__xludf.DUMMYFUNCTION("""COMPUTED_VALUE"""),"STOCK ROAD")</f>
        <v>STOCK ROAD</v>
      </c>
      <c r="B15" s="13" t="str">
        <f>IFERROR(__xludf.DUMMYFUNCTION("""COMPUTED_VALUE"""),"-34.01412292128464, 18.606174209491407")</f>
        <v>-34.01412292128464, 18.606174209491407</v>
      </c>
      <c r="C15" s="12">
        <f>IFERROR(__xludf.DUMMYFUNCTION("""COMPUTED_VALUE"""),0.19930555555555557)</f>
        <v>0.1993055556</v>
      </c>
      <c r="D15" s="12">
        <f>IFERROR(__xludf.DUMMYFUNCTION("""COMPUTED_VALUE"""),0.22013888888888888)</f>
        <v>0.2201388889</v>
      </c>
      <c r="E15" s="12">
        <f>IFERROR(__xludf.DUMMYFUNCTION("""COMPUTED_VALUE"""),0.23055555555555557)</f>
        <v>0.2305555556</v>
      </c>
      <c r="F15" s="12">
        <f>IFERROR(__xludf.DUMMYFUNCTION("""COMPUTED_VALUE"""),0.27361111111111114)</f>
        <v>0.2736111111</v>
      </c>
      <c r="G15" s="12">
        <f>IFERROR(__xludf.DUMMYFUNCTION("""COMPUTED_VALUE"""),0.3055555555555556)</f>
        <v>0.3055555556</v>
      </c>
      <c r="H15" s="12">
        <f>IFERROR(__xludf.DUMMYFUNCTION("""COMPUTED_VALUE"""),0.3277777777777778)</f>
        <v>0.3277777778</v>
      </c>
      <c r="I15" s="12">
        <f>IFERROR(__xludf.DUMMYFUNCTION("""COMPUTED_VALUE"""),0.35208333333333336)</f>
        <v>0.3520833333</v>
      </c>
      <c r="J15" s="12">
        <f>IFERROR(__xludf.DUMMYFUNCTION("""COMPUTED_VALUE"""),0.37777777777777777)</f>
        <v>0.3777777778</v>
      </c>
      <c r="K15" s="12">
        <f>IFERROR(__xludf.DUMMYFUNCTION("""COMPUTED_VALUE"""),0.40208333333333335)</f>
        <v>0.4020833333</v>
      </c>
      <c r="L15" s="20">
        <f>IFERROR(__xludf.DUMMYFUNCTION("""COMPUTED_VALUE"""),0.44722222222222224)</f>
        <v>0.4472222222</v>
      </c>
      <c r="M15" s="20">
        <f>IFERROR(__xludf.DUMMYFUNCTION("""COMPUTED_VALUE"""),0.5048611111111111)</f>
        <v>0.5048611111</v>
      </c>
      <c r="N15" s="20">
        <f>IFERROR(__xludf.DUMMYFUNCTION("""COMPUTED_VALUE"""),0.55)</f>
        <v>0.55</v>
      </c>
      <c r="O15" s="20">
        <f>IFERROR(__xludf.DUMMYFUNCTION("""COMPUTED_VALUE"""),0.5638888888888889)</f>
        <v>0.5638888889</v>
      </c>
      <c r="P15" s="20">
        <f>IFERROR(__xludf.DUMMYFUNCTION("""COMPUTED_VALUE"""),0.64375)</f>
        <v>0.64375</v>
      </c>
      <c r="Q15" s="20">
        <f>IFERROR(__xludf.DUMMYFUNCTION("""COMPUTED_VALUE"""),0.6416666666666667)</f>
        <v>0.6416666667</v>
      </c>
      <c r="R15" s="20">
        <f>IFERROR(__xludf.DUMMYFUNCTION("""COMPUTED_VALUE"""),0.6993055555555555)</f>
        <v>0.6993055556</v>
      </c>
      <c r="S15" s="20">
        <f>IFERROR(__xludf.DUMMYFUNCTION("""COMPUTED_VALUE"""),0.7131944444444445)</f>
        <v>0.7131944444</v>
      </c>
      <c r="T15" s="20">
        <f>IFERROR(__xludf.DUMMYFUNCTION("""COMPUTED_VALUE"""),0.7513888888888889)</f>
        <v>0.7513888889</v>
      </c>
      <c r="U15" s="20">
        <f>IFERROR(__xludf.DUMMYFUNCTION("""COMPUTED_VALUE"""),0.7770833333333333)</f>
        <v>0.7770833333</v>
      </c>
      <c r="V15" s="20">
        <f>IFERROR(__xludf.DUMMYFUNCTION("""COMPUTED_VALUE"""),0.8138888888888889)</f>
        <v>0.8138888889</v>
      </c>
      <c r="W15" s="20">
        <f>IFERROR(__xludf.DUMMYFUNCTION("""COMPUTED_VALUE"""),0.8277777777777777)</f>
        <v>0.8277777778</v>
      </c>
    </row>
    <row r="16">
      <c r="A16" s="4" t="str">
        <f>IFERROR(__xludf.DUMMYFUNCTION("""COMPUTED_VALUE"""),"KAPTEINSKLIP")</f>
        <v>KAPTEINSKLIP</v>
      </c>
      <c r="B16" s="13" t="str">
        <f>IFERROR(__xludf.DUMMYFUNCTION("""COMPUTED_VALUE"""),"-34.06755873543257, 18.620534480658506")</f>
        <v>-34.06755873543257, 18.620534480658506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20"/>
      <c r="V16" s="20"/>
      <c r="W16" s="20"/>
    </row>
    <row r="17">
      <c r="A17" s="4" t="str">
        <f>IFERROR(__xludf.DUMMYFUNCTION("""COMPUTED_VALUE"""),"MITCHELL'S PLAIN")</f>
        <v>MITCHELL'S PLAIN</v>
      </c>
      <c r="B17" s="15" t="str">
        <f>IFERROR(__xludf.DUMMYFUNCTION("""COMPUTED_VALUE"""),"-34.0504610838304, 18.619222253671435")</f>
        <v>-34.0504610838304, 18.619222253671435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20"/>
      <c r="V17" s="20"/>
      <c r="W17" s="20"/>
    </row>
    <row r="18">
      <c r="A18" s="4" t="str">
        <f>IFERROR(__xludf.DUMMYFUNCTION("""COMPUTED_VALUE"""),"LENTEGEUR")</f>
        <v>LENTEGEUR</v>
      </c>
      <c r="B18" s="13" t="str">
        <f>IFERROR(__xludf.DUMMYFUNCTION("""COMPUTED_VALUE"""),"-34.03418971685345, 18.611322738328173")</f>
        <v>-34.03418971685345, 18.611322738328173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20"/>
      <c r="V18" s="20"/>
      <c r="W18" s="20"/>
    </row>
    <row r="19">
      <c r="A19" s="4" t="str">
        <f>IFERROR(__xludf.DUMMYFUNCTION("""COMPUTED_VALUE"""),"PHILIPPI")</f>
        <v>PHILIPPI</v>
      </c>
      <c r="B19" s="13" t="str">
        <f>IFERROR(__xludf.DUMMYFUNCTION("""COMPUTED_VALUE"""),"-34.01328895709482, 18.584421561340882")</f>
        <v>-34.01328895709482, 18.584421561340882</v>
      </c>
      <c r="C19" s="12">
        <f>IFERROR(__xludf.DUMMYFUNCTION("""COMPUTED_VALUE"""),0.20277777777777778)</f>
        <v>0.2027777778</v>
      </c>
      <c r="D19" s="12">
        <f>IFERROR(__xludf.DUMMYFUNCTION("""COMPUTED_VALUE"""),0.22361111111111112)</f>
        <v>0.2236111111</v>
      </c>
      <c r="E19" s="12">
        <f>IFERROR(__xludf.DUMMYFUNCTION("""COMPUTED_VALUE"""),0.23402777777777778)</f>
        <v>0.2340277778</v>
      </c>
      <c r="F19" s="12">
        <f>IFERROR(__xludf.DUMMYFUNCTION("""COMPUTED_VALUE"""),0.27708333333333335)</f>
        <v>0.2770833333</v>
      </c>
      <c r="G19" s="12">
        <f>IFERROR(__xludf.DUMMYFUNCTION("""COMPUTED_VALUE"""),0.3090277777777778)</f>
        <v>0.3090277778</v>
      </c>
      <c r="H19" s="12">
        <f>IFERROR(__xludf.DUMMYFUNCTION("""COMPUTED_VALUE"""),0.33125)</f>
        <v>0.33125</v>
      </c>
      <c r="I19" s="12">
        <f>IFERROR(__xludf.DUMMYFUNCTION("""COMPUTED_VALUE"""),0.35555555555555557)</f>
        <v>0.3555555556</v>
      </c>
      <c r="J19" s="12">
        <f>IFERROR(__xludf.DUMMYFUNCTION("""COMPUTED_VALUE"""),0.38125)</f>
        <v>0.38125</v>
      </c>
      <c r="K19" s="12">
        <f>IFERROR(__xludf.DUMMYFUNCTION("""COMPUTED_VALUE"""),0.40555555555555556)</f>
        <v>0.4055555556</v>
      </c>
      <c r="L19" s="12">
        <f>IFERROR(__xludf.DUMMYFUNCTION("""COMPUTED_VALUE"""),0.45069444444444445)</f>
        <v>0.4506944444</v>
      </c>
      <c r="M19" s="12">
        <f>IFERROR(__xludf.DUMMYFUNCTION("""COMPUTED_VALUE"""),0.5083333333333333)</f>
        <v>0.5083333333</v>
      </c>
      <c r="N19" s="12">
        <f>IFERROR(__xludf.DUMMYFUNCTION("""COMPUTED_VALUE"""),0.5534722222222223)</f>
        <v>0.5534722222</v>
      </c>
      <c r="O19" s="12">
        <f>IFERROR(__xludf.DUMMYFUNCTION("""COMPUTED_VALUE"""),0.5673611111111111)</f>
        <v>0.5673611111</v>
      </c>
      <c r="P19" s="12">
        <f>IFERROR(__xludf.DUMMYFUNCTION("""COMPUTED_VALUE"""),0.6472222222222223)</f>
        <v>0.6472222222</v>
      </c>
      <c r="Q19" s="12">
        <f>IFERROR(__xludf.DUMMYFUNCTION("""COMPUTED_VALUE"""),0.6451388888888889)</f>
        <v>0.6451388889</v>
      </c>
      <c r="R19" s="12">
        <f>IFERROR(__xludf.DUMMYFUNCTION("""COMPUTED_VALUE"""),0.7027777777777777)</f>
        <v>0.7027777778</v>
      </c>
      <c r="S19" s="12">
        <f>IFERROR(__xludf.DUMMYFUNCTION("""COMPUTED_VALUE"""),0.7166666666666667)</f>
        <v>0.7166666667</v>
      </c>
      <c r="T19" s="12">
        <f>IFERROR(__xludf.DUMMYFUNCTION("""COMPUTED_VALUE"""),0.7548611111111111)</f>
        <v>0.7548611111</v>
      </c>
      <c r="U19" s="20">
        <f>IFERROR(__xludf.DUMMYFUNCTION("""COMPUTED_VALUE"""),0.7805555555555556)</f>
        <v>0.7805555556</v>
      </c>
      <c r="V19" s="20">
        <f>IFERROR(__xludf.DUMMYFUNCTION("""COMPUTED_VALUE"""),0.8173611111111111)</f>
        <v>0.8173611111</v>
      </c>
      <c r="W19" s="20">
        <f>IFERROR(__xludf.DUMMYFUNCTION("""COMPUTED_VALUE"""),0.83125)</f>
        <v>0.83125</v>
      </c>
    </row>
    <row r="20">
      <c r="A20" s="87" t="str">
        <f>IFERROR(__xludf.DUMMYFUNCTION("""COMPUTED_VALUE"""),"NYANGA")</f>
        <v>NYANGA</v>
      </c>
      <c r="B20" s="16" t="str">
        <f>IFERROR(__xludf.DUMMYFUNCTION("""COMPUTED_VALUE"""),"-33.99271379632963, 18.559776951819032")</f>
        <v>-33.99271379632963, 18.559776951819032</v>
      </c>
      <c r="C20" s="17">
        <f>IFERROR(__xludf.DUMMYFUNCTION("""COMPUTED_VALUE"""),0.20555555555555555)</f>
        <v>0.2055555556</v>
      </c>
      <c r="D20" s="17">
        <f>IFERROR(__xludf.DUMMYFUNCTION("""COMPUTED_VALUE"""),0.2263888888888889)</f>
        <v>0.2263888889</v>
      </c>
      <c r="E20" s="17">
        <f>IFERROR(__xludf.DUMMYFUNCTION("""COMPUTED_VALUE"""),0.23680555555555555)</f>
        <v>0.2368055556</v>
      </c>
      <c r="F20" s="17">
        <f>IFERROR(__xludf.DUMMYFUNCTION("""COMPUTED_VALUE"""),0.2798611111111111)</f>
        <v>0.2798611111</v>
      </c>
      <c r="G20" s="17">
        <f>IFERROR(__xludf.DUMMYFUNCTION("""COMPUTED_VALUE"""),0.31180555555555556)</f>
        <v>0.3118055556</v>
      </c>
      <c r="H20" s="17">
        <f>IFERROR(__xludf.DUMMYFUNCTION("""COMPUTED_VALUE"""),0.33402777777777776)</f>
        <v>0.3340277778</v>
      </c>
      <c r="I20" s="17">
        <f>IFERROR(__xludf.DUMMYFUNCTION("""COMPUTED_VALUE"""),0.35833333333333334)</f>
        <v>0.3583333333</v>
      </c>
      <c r="J20" s="17">
        <f>IFERROR(__xludf.DUMMYFUNCTION("""COMPUTED_VALUE"""),0.3840277777777778)</f>
        <v>0.3840277778</v>
      </c>
      <c r="K20" s="17">
        <f>IFERROR(__xludf.DUMMYFUNCTION("""COMPUTED_VALUE"""),0.4083333333333333)</f>
        <v>0.4083333333</v>
      </c>
      <c r="L20" s="17">
        <f>IFERROR(__xludf.DUMMYFUNCTION("""COMPUTED_VALUE"""),0.4534722222222222)</f>
        <v>0.4534722222</v>
      </c>
      <c r="M20" s="17">
        <f>IFERROR(__xludf.DUMMYFUNCTION("""COMPUTED_VALUE"""),0.5111111111111111)</f>
        <v>0.5111111111</v>
      </c>
      <c r="N20" s="17">
        <f>IFERROR(__xludf.DUMMYFUNCTION("""COMPUTED_VALUE"""),0.55625)</f>
        <v>0.55625</v>
      </c>
      <c r="O20" s="17">
        <f>IFERROR(__xludf.DUMMYFUNCTION("""COMPUTED_VALUE"""),0.5701388888888889)</f>
        <v>0.5701388889</v>
      </c>
      <c r="P20" s="17">
        <f>IFERROR(__xludf.DUMMYFUNCTION("""COMPUTED_VALUE"""),0.65)</f>
        <v>0.65</v>
      </c>
      <c r="Q20" s="17">
        <f>IFERROR(__xludf.DUMMYFUNCTION("""COMPUTED_VALUE"""),0.6479166666666667)</f>
        <v>0.6479166667</v>
      </c>
      <c r="R20" s="17">
        <f>IFERROR(__xludf.DUMMYFUNCTION("""COMPUTED_VALUE"""),0.7055555555555556)</f>
        <v>0.7055555556</v>
      </c>
      <c r="S20" s="17">
        <f>IFERROR(__xludf.DUMMYFUNCTION("""COMPUTED_VALUE"""),0.7194444444444444)</f>
        <v>0.7194444444</v>
      </c>
      <c r="T20" s="17">
        <f>IFERROR(__xludf.DUMMYFUNCTION("""COMPUTED_VALUE"""),0.7576388888888889)</f>
        <v>0.7576388889</v>
      </c>
      <c r="U20" s="20">
        <f>IFERROR(__xludf.DUMMYFUNCTION("""COMPUTED_VALUE"""),0.7833333333333333)</f>
        <v>0.7833333333</v>
      </c>
      <c r="V20" s="20">
        <f>IFERROR(__xludf.DUMMYFUNCTION("""COMPUTED_VALUE"""),0.8201388888888889)</f>
        <v>0.8201388889</v>
      </c>
      <c r="W20" s="20">
        <f>IFERROR(__xludf.DUMMYFUNCTION("""COMPUTED_VALUE"""),0.8340277777777778)</f>
        <v>0.8340277778</v>
      </c>
    </row>
    <row r="21">
      <c r="A21" s="16" t="str">
        <f>IFERROR(__xludf.DUMMYFUNCTION("""COMPUTED_VALUE"""),"BONTEHEUWEL")</f>
        <v>BONTEHEUWEL</v>
      </c>
      <c r="B21" s="16" t="str">
        <f>IFERROR(__xludf.DUMMYFUNCTION("""COMPUTED_VALUE"""),"-33.94185049480737, 18.549579817876847")</f>
        <v>-33.94185049480737, 18.549579817876847</v>
      </c>
      <c r="C21" s="17">
        <f>IFERROR(__xludf.DUMMYFUNCTION("""COMPUTED_VALUE"""),0.20972222222222223)</f>
        <v>0.2097222222</v>
      </c>
      <c r="D21" s="17">
        <f>IFERROR(__xludf.DUMMYFUNCTION("""COMPUTED_VALUE"""),0.23055555555555557)</f>
        <v>0.2305555556</v>
      </c>
      <c r="E21" s="17">
        <f>IFERROR(__xludf.DUMMYFUNCTION("""COMPUTED_VALUE"""),0.24097222222222223)</f>
        <v>0.2409722222</v>
      </c>
      <c r="F21" s="17">
        <f>IFERROR(__xludf.DUMMYFUNCTION("""COMPUTED_VALUE"""),0.28402777777777777)</f>
        <v>0.2840277778</v>
      </c>
      <c r="G21" s="17">
        <f>IFERROR(__xludf.DUMMYFUNCTION("""COMPUTED_VALUE"""),0.3159722222222222)</f>
        <v>0.3159722222</v>
      </c>
      <c r="H21" s="17">
        <f>IFERROR(__xludf.DUMMYFUNCTION("""COMPUTED_VALUE"""),0.33819444444444446)</f>
        <v>0.3381944444</v>
      </c>
      <c r="I21" s="17">
        <f>IFERROR(__xludf.DUMMYFUNCTION("""COMPUTED_VALUE"""),0.3625)</f>
        <v>0.3625</v>
      </c>
      <c r="J21" s="17">
        <f>IFERROR(__xludf.DUMMYFUNCTION("""COMPUTED_VALUE"""),0.38819444444444445)</f>
        <v>0.3881944444</v>
      </c>
      <c r="K21" s="17">
        <f>IFERROR(__xludf.DUMMYFUNCTION("""COMPUTED_VALUE"""),0.4125)</f>
        <v>0.4125</v>
      </c>
      <c r="L21" s="17">
        <f>IFERROR(__xludf.DUMMYFUNCTION("""COMPUTED_VALUE"""),0.4576388888888889)</f>
        <v>0.4576388889</v>
      </c>
      <c r="M21" s="17">
        <f>IFERROR(__xludf.DUMMYFUNCTION("""COMPUTED_VALUE"""),0.5152777777777777)</f>
        <v>0.5152777778</v>
      </c>
      <c r="N21" s="17">
        <f>IFERROR(__xludf.DUMMYFUNCTION("""COMPUTED_VALUE"""),0.5604166666666667)</f>
        <v>0.5604166667</v>
      </c>
      <c r="O21" s="17">
        <f>IFERROR(__xludf.DUMMYFUNCTION("""COMPUTED_VALUE"""),0.5743055555555555)</f>
        <v>0.5743055556</v>
      </c>
      <c r="P21" s="17">
        <f>IFERROR(__xludf.DUMMYFUNCTION("""COMPUTED_VALUE"""),0.6541666666666667)</f>
        <v>0.6541666667</v>
      </c>
      <c r="Q21" s="17">
        <f>IFERROR(__xludf.DUMMYFUNCTION("""COMPUTED_VALUE"""),0.6520833333333333)</f>
        <v>0.6520833333</v>
      </c>
      <c r="R21" s="17">
        <f>IFERROR(__xludf.DUMMYFUNCTION("""COMPUTED_VALUE"""),0.7097222222222223)</f>
        <v>0.7097222222</v>
      </c>
      <c r="S21" s="17">
        <f>IFERROR(__xludf.DUMMYFUNCTION("""COMPUTED_VALUE"""),0.7236111111111111)</f>
        <v>0.7236111111</v>
      </c>
      <c r="T21" s="17">
        <f>IFERROR(__xludf.DUMMYFUNCTION("""COMPUTED_VALUE"""),0.7618055555555555)</f>
        <v>0.7618055556</v>
      </c>
      <c r="U21" s="20">
        <f>IFERROR(__xludf.DUMMYFUNCTION("""COMPUTED_VALUE"""),0.7875)</f>
        <v>0.7875</v>
      </c>
      <c r="V21" s="20">
        <f>IFERROR(__xludf.DUMMYFUNCTION("""COMPUTED_VALUE"""),0.8243055555555555)</f>
        <v>0.8243055556</v>
      </c>
      <c r="W21" s="20">
        <f>IFERROR(__xludf.DUMMYFUNCTION("""COMPUTED_VALUE"""),0.8381944444444445)</f>
        <v>0.8381944444</v>
      </c>
    </row>
    <row r="22">
      <c r="A22" s="18" t="str">
        <f>IFERROR(__xludf.DUMMYFUNCTION("""COMPUTED_VALUE"""),"LANGA")</f>
        <v>LANGA</v>
      </c>
      <c r="B22" s="19" t="str">
        <f>IFERROR(__xludf.DUMMYFUNCTION("""COMPUTED_VALUE"""),"-33.938934072196076, 18.52974423065194")</f>
        <v>-33.938934072196076, 18.52974423065194</v>
      </c>
      <c r="C22" s="17">
        <f>IFERROR(__xludf.DUMMYFUNCTION("""COMPUTED_VALUE"""),0.21180555555555555)</f>
        <v>0.2118055556</v>
      </c>
      <c r="D22" s="17">
        <f>IFERROR(__xludf.DUMMYFUNCTION("""COMPUTED_VALUE"""),0.2326388888888889)</f>
        <v>0.2326388889</v>
      </c>
      <c r="E22" s="17">
        <f>IFERROR(__xludf.DUMMYFUNCTION("""COMPUTED_VALUE"""),0.24305555555555555)</f>
        <v>0.2430555556</v>
      </c>
      <c r="F22" s="17">
        <f>IFERROR(__xludf.DUMMYFUNCTION("""COMPUTED_VALUE"""),0.2861111111111111)</f>
        <v>0.2861111111</v>
      </c>
      <c r="G22" s="17">
        <f>IFERROR(__xludf.DUMMYFUNCTION("""COMPUTED_VALUE"""),0.31805555555555554)</f>
        <v>0.3180555556</v>
      </c>
      <c r="H22" s="17">
        <f>IFERROR(__xludf.DUMMYFUNCTION("""COMPUTED_VALUE"""),0.3402777777777778)</f>
        <v>0.3402777778</v>
      </c>
      <c r="I22" s="17">
        <f>IFERROR(__xludf.DUMMYFUNCTION("""COMPUTED_VALUE"""),0.3645833333333333)</f>
        <v>0.3645833333</v>
      </c>
      <c r="J22" s="17">
        <f>IFERROR(__xludf.DUMMYFUNCTION("""COMPUTED_VALUE"""),0.3902777777777778)</f>
        <v>0.3902777778</v>
      </c>
      <c r="K22" s="17">
        <f>IFERROR(__xludf.DUMMYFUNCTION("""COMPUTED_VALUE"""),0.41458333333333336)</f>
        <v>0.4145833333</v>
      </c>
      <c r="L22" s="17">
        <f>IFERROR(__xludf.DUMMYFUNCTION("""COMPUTED_VALUE"""),0.4597222222222222)</f>
        <v>0.4597222222</v>
      </c>
      <c r="M22" s="17">
        <f>IFERROR(__xludf.DUMMYFUNCTION("""COMPUTED_VALUE"""),0.5173611111111112)</f>
        <v>0.5173611111</v>
      </c>
      <c r="N22" s="17">
        <f>IFERROR(__xludf.DUMMYFUNCTION("""COMPUTED_VALUE"""),0.5625)</f>
        <v>0.5625</v>
      </c>
      <c r="O22" s="17">
        <f>IFERROR(__xludf.DUMMYFUNCTION("""COMPUTED_VALUE"""),0.5763888888888888)</f>
        <v>0.5763888889</v>
      </c>
      <c r="P22" s="17">
        <f>IFERROR(__xludf.DUMMYFUNCTION("""COMPUTED_VALUE"""),0.65625)</f>
        <v>0.65625</v>
      </c>
      <c r="Q22" s="17">
        <f>IFERROR(__xludf.DUMMYFUNCTION("""COMPUTED_VALUE"""),0.6541666666666667)</f>
        <v>0.6541666667</v>
      </c>
      <c r="R22" s="17">
        <f>IFERROR(__xludf.DUMMYFUNCTION("""COMPUTED_VALUE"""),0.7118055555555556)</f>
        <v>0.7118055556</v>
      </c>
      <c r="S22" s="17">
        <f>IFERROR(__xludf.DUMMYFUNCTION("""COMPUTED_VALUE"""),0.7256944444444444)</f>
        <v>0.7256944444</v>
      </c>
      <c r="T22" s="17">
        <f>IFERROR(__xludf.DUMMYFUNCTION("""COMPUTED_VALUE"""),0.7638888888888888)</f>
        <v>0.7638888889</v>
      </c>
      <c r="U22" s="20">
        <f>IFERROR(__xludf.DUMMYFUNCTION("""COMPUTED_VALUE"""),0.7895833333333333)</f>
        <v>0.7895833333</v>
      </c>
      <c r="V22" s="20">
        <f>IFERROR(__xludf.DUMMYFUNCTION("""COMPUTED_VALUE"""),0.8263888888888888)</f>
        <v>0.8263888889</v>
      </c>
      <c r="W22" s="20">
        <f>IFERROR(__xludf.DUMMYFUNCTION("""COMPUTED_VALUE"""),0.8402777777777778)</f>
        <v>0.8402777778</v>
      </c>
    </row>
    <row r="23">
      <c r="A23" s="18" t="str">
        <f>IFERROR(__xludf.DUMMYFUNCTION("""COMPUTED_VALUE"""),"MUTUAL")</f>
        <v>MUTUAL</v>
      </c>
      <c r="B23" s="19" t="str">
        <f>IFERROR(__xludf.DUMMYFUNCTION("""COMPUTED_VALUE"""),"-33.92209345116931, 18.511988082500565")</f>
        <v>-33.92209345116931, 18.511988082500565</v>
      </c>
      <c r="C23" s="17">
        <f>IFERROR(__xludf.DUMMYFUNCTION("""COMPUTED_VALUE"""),0.2152777777777778)</f>
        <v>0.2152777778</v>
      </c>
      <c r="D23" s="17">
        <f>IFERROR(__xludf.DUMMYFUNCTION("""COMPUTED_VALUE"""),0.2361111111111111)</f>
        <v>0.2361111111</v>
      </c>
      <c r="E23" s="17">
        <f>IFERROR(__xludf.DUMMYFUNCTION("""COMPUTED_VALUE"""),0.2465277777777778)</f>
        <v>0.2465277778</v>
      </c>
      <c r="F23" s="17">
        <f>IFERROR(__xludf.DUMMYFUNCTION("""COMPUTED_VALUE"""),0.28958333333333336)</f>
        <v>0.2895833333</v>
      </c>
      <c r="G23" s="17">
        <f>IFERROR(__xludf.DUMMYFUNCTION("""COMPUTED_VALUE"""),0.3215277777777778)</f>
        <v>0.3215277778</v>
      </c>
      <c r="H23" s="17">
        <f>IFERROR(__xludf.DUMMYFUNCTION("""COMPUTED_VALUE"""),0.34375)</f>
        <v>0.34375</v>
      </c>
      <c r="I23" s="17">
        <f>IFERROR(__xludf.DUMMYFUNCTION("""COMPUTED_VALUE"""),0.3680555555555556)</f>
        <v>0.3680555556</v>
      </c>
      <c r="J23" s="17">
        <f>IFERROR(__xludf.DUMMYFUNCTION("""COMPUTED_VALUE"""),0.39375)</f>
        <v>0.39375</v>
      </c>
      <c r="K23" s="17">
        <f>IFERROR(__xludf.DUMMYFUNCTION("""COMPUTED_VALUE"""),0.41805555555555557)</f>
        <v>0.4180555556</v>
      </c>
      <c r="L23" s="17">
        <f>IFERROR(__xludf.DUMMYFUNCTION("""COMPUTED_VALUE"""),0.46319444444444446)</f>
        <v>0.4631944444</v>
      </c>
      <c r="M23" s="17">
        <f>IFERROR(__xludf.DUMMYFUNCTION("""COMPUTED_VALUE"""),0.5208333333333334)</f>
        <v>0.5208333333</v>
      </c>
      <c r="N23" s="17">
        <f>IFERROR(__xludf.DUMMYFUNCTION("""COMPUTED_VALUE"""),0.5659722222222222)</f>
        <v>0.5659722222</v>
      </c>
      <c r="O23" s="17">
        <f>IFERROR(__xludf.DUMMYFUNCTION("""COMPUTED_VALUE"""),0.5798611111111112)</f>
        <v>0.5798611111</v>
      </c>
      <c r="P23" s="17">
        <f>IFERROR(__xludf.DUMMYFUNCTION("""COMPUTED_VALUE"""),0.6597222222222222)</f>
        <v>0.6597222222</v>
      </c>
      <c r="Q23" s="17">
        <f>IFERROR(__xludf.DUMMYFUNCTION("""COMPUTED_VALUE"""),0.6576388888888889)</f>
        <v>0.6576388889</v>
      </c>
      <c r="R23" s="17">
        <f>IFERROR(__xludf.DUMMYFUNCTION("""COMPUTED_VALUE"""),0.7152777777777778)</f>
        <v>0.7152777778</v>
      </c>
      <c r="S23" s="17">
        <f>IFERROR(__xludf.DUMMYFUNCTION("""COMPUTED_VALUE"""),0.7291666666666666)</f>
        <v>0.7291666667</v>
      </c>
      <c r="T23" s="17">
        <f>IFERROR(__xludf.DUMMYFUNCTION("""COMPUTED_VALUE"""),0.7673611111111112)</f>
        <v>0.7673611111</v>
      </c>
      <c r="U23" s="20">
        <f>IFERROR(__xludf.DUMMYFUNCTION("""COMPUTED_VALUE"""),0.7930555555555555)</f>
        <v>0.7930555556</v>
      </c>
      <c r="V23" s="20">
        <f>IFERROR(__xludf.DUMMYFUNCTION("""COMPUTED_VALUE"""),0.8298611111111112)</f>
        <v>0.8298611111</v>
      </c>
      <c r="W23" s="20">
        <f>IFERROR(__xludf.DUMMYFUNCTION("""COMPUTED_VALUE"""),0.84375)</f>
        <v>0.84375</v>
      </c>
    </row>
    <row r="24">
      <c r="A24" s="18" t="str">
        <f>IFERROR(__xludf.DUMMYFUNCTION("""COMPUTED_VALUE"""),"YSTERPLAAT")</f>
        <v>YSTERPLAAT</v>
      </c>
      <c r="B24" s="19" t="str">
        <f>IFERROR(__xludf.DUMMYFUNCTION("""COMPUTED_VALUE"""),"-33.9199022523178, 18.476775305514295")</f>
        <v>-33.9199022523178, 18.476775305514295</v>
      </c>
      <c r="C24" s="17">
        <f>IFERROR(__xludf.DUMMYFUNCTION("""COMPUTED_VALUE"""),0.22152777777777777)</f>
        <v>0.2215277778</v>
      </c>
      <c r="D24" s="17">
        <f>IFERROR(__xludf.DUMMYFUNCTION("""COMPUTED_VALUE"""),0.2423611111111111)</f>
        <v>0.2423611111</v>
      </c>
      <c r="E24" s="17">
        <f>IFERROR(__xludf.DUMMYFUNCTION("""COMPUTED_VALUE"""),0.25277777777777777)</f>
        <v>0.2527777778</v>
      </c>
      <c r="F24" s="17">
        <f>IFERROR(__xludf.DUMMYFUNCTION("""COMPUTED_VALUE"""),0.29583333333333334)</f>
        <v>0.2958333333</v>
      </c>
      <c r="G24" s="17">
        <f>IFERROR(__xludf.DUMMYFUNCTION("""COMPUTED_VALUE"""),0.3277777777777778)</f>
        <v>0.3277777778</v>
      </c>
      <c r="H24" s="17">
        <f>IFERROR(__xludf.DUMMYFUNCTION("""COMPUTED_VALUE"""),0.35)</f>
        <v>0.35</v>
      </c>
      <c r="I24" s="17">
        <f>IFERROR(__xludf.DUMMYFUNCTION("""COMPUTED_VALUE"""),0.37430555555555556)</f>
        <v>0.3743055556</v>
      </c>
      <c r="J24" s="17">
        <f>IFERROR(__xludf.DUMMYFUNCTION("""COMPUTED_VALUE"""),0.4)</f>
        <v>0.4</v>
      </c>
      <c r="K24" s="17">
        <f>IFERROR(__xludf.DUMMYFUNCTION("""COMPUTED_VALUE"""),0.42430555555555555)</f>
        <v>0.4243055556</v>
      </c>
      <c r="L24" s="17">
        <f>IFERROR(__xludf.DUMMYFUNCTION("""COMPUTED_VALUE"""),0.46944444444444444)</f>
        <v>0.4694444444</v>
      </c>
      <c r="M24" s="17">
        <f>IFERROR(__xludf.DUMMYFUNCTION("""COMPUTED_VALUE"""),0.5270833333333333)</f>
        <v>0.5270833333</v>
      </c>
      <c r="N24" s="17">
        <f>IFERROR(__xludf.DUMMYFUNCTION("""COMPUTED_VALUE"""),0.5722222222222222)</f>
        <v>0.5722222222</v>
      </c>
      <c r="O24" s="17">
        <f>IFERROR(__xludf.DUMMYFUNCTION("""COMPUTED_VALUE"""),0.5861111111111111)</f>
        <v>0.5861111111</v>
      </c>
      <c r="P24" s="17">
        <f>IFERROR(__xludf.DUMMYFUNCTION("""COMPUTED_VALUE"""),0.6659722222222222)</f>
        <v>0.6659722222</v>
      </c>
      <c r="Q24" s="17">
        <f>IFERROR(__xludf.DUMMYFUNCTION("""COMPUTED_VALUE"""),0.6638888888888889)</f>
        <v>0.6638888889</v>
      </c>
      <c r="R24" s="17">
        <f>IFERROR(__xludf.DUMMYFUNCTION("""COMPUTED_VALUE"""),0.7215277777777778)</f>
        <v>0.7215277778</v>
      </c>
      <c r="S24" s="17">
        <f>IFERROR(__xludf.DUMMYFUNCTION("""COMPUTED_VALUE"""),0.7354166666666667)</f>
        <v>0.7354166667</v>
      </c>
      <c r="T24" s="17">
        <f>IFERROR(__xludf.DUMMYFUNCTION("""COMPUTED_VALUE"""),0.7736111111111111)</f>
        <v>0.7736111111</v>
      </c>
      <c r="U24" s="20">
        <f>IFERROR(__xludf.DUMMYFUNCTION("""COMPUTED_VALUE"""),0.7993055555555556)</f>
        <v>0.7993055556</v>
      </c>
      <c r="V24" s="20">
        <f>IFERROR(__xludf.DUMMYFUNCTION("""COMPUTED_VALUE"""),0.8361111111111111)</f>
        <v>0.8361111111</v>
      </c>
      <c r="W24" s="20">
        <f>IFERROR(__xludf.DUMMYFUNCTION("""COMPUTED_VALUE"""),0.85)</f>
        <v>0.85</v>
      </c>
    </row>
    <row r="25">
      <c r="A25" s="18" t="str">
        <f>IFERROR(__xludf.DUMMYFUNCTION("""COMPUTED_VALUE"""),"ESPLANADE")</f>
        <v>ESPLANADE</v>
      </c>
      <c r="B25" s="19" t="str">
        <f>IFERROR(__xludf.DUMMYFUNCTION("""COMPUTED_VALUE"""),"-33.923640784366874, 18.446037955514498")</f>
        <v>-33.923640784366874, 18.446037955514498</v>
      </c>
      <c r="C25" s="17">
        <f>IFERROR(__xludf.DUMMYFUNCTION("""COMPUTED_VALUE"""),0.2298611111111111)</f>
        <v>0.2298611111</v>
      </c>
      <c r="D25" s="17">
        <f>IFERROR(__xludf.DUMMYFUNCTION("""COMPUTED_VALUE"""),0.25069444444444444)</f>
        <v>0.2506944444</v>
      </c>
      <c r="E25" s="17">
        <f>IFERROR(__xludf.DUMMYFUNCTION("""COMPUTED_VALUE"""),0.2611111111111111)</f>
        <v>0.2611111111</v>
      </c>
      <c r="F25" s="17">
        <f>IFERROR(__xludf.DUMMYFUNCTION("""COMPUTED_VALUE"""),0.30416666666666664)</f>
        <v>0.3041666667</v>
      </c>
      <c r="G25" s="17">
        <f>IFERROR(__xludf.DUMMYFUNCTION("""COMPUTED_VALUE"""),0.33611111111111114)</f>
        <v>0.3361111111</v>
      </c>
      <c r="H25" s="17">
        <f>IFERROR(__xludf.DUMMYFUNCTION("""COMPUTED_VALUE"""),0.35833333333333334)</f>
        <v>0.3583333333</v>
      </c>
      <c r="I25" s="17">
        <f>IFERROR(__xludf.DUMMYFUNCTION("""COMPUTED_VALUE"""),0.38263888888888886)</f>
        <v>0.3826388889</v>
      </c>
      <c r="J25" s="17">
        <f>IFERROR(__xludf.DUMMYFUNCTION("""COMPUTED_VALUE"""),0.4083333333333333)</f>
        <v>0.4083333333</v>
      </c>
      <c r="K25" s="17">
        <f>IFERROR(__xludf.DUMMYFUNCTION("""COMPUTED_VALUE"""),0.4326388888888889)</f>
        <v>0.4326388889</v>
      </c>
      <c r="L25" s="17">
        <f>IFERROR(__xludf.DUMMYFUNCTION("""COMPUTED_VALUE"""),0.4777777777777778)</f>
        <v>0.4777777778</v>
      </c>
      <c r="M25" s="17">
        <f>IFERROR(__xludf.DUMMYFUNCTION("""COMPUTED_VALUE"""),0.5354166666666667)</f>
        <v>0.5354166667</v>
      </c>
      <c r="N25" s="17">
        <f>IFERROR(__xludf.DUMMYFUNCTION("""COMPUTED_VALUE"""),0.5805555555555556)</f>
        <v>0.5805555556</v>
      </c>
      <c r="O25" s="17">
        <f>IFERROR(__xludf.DUMMYFUNCTION("""COMPUTED_VALUE"""),0.5944444444444444)</f>
        <v>0.5944444444</v>
      </c>
      <c r="P25" s="17">
        <f>IFERROR(__xludf.DUMMYFUNCTION("""COMPUTED_VALUE"""),0.6743055555555556)</f>
        <v>0.6743055556</v>
      </c>
      <c r="Q25" s="17">
        <f>IFERROR(__xludf.DUMMYFUNCTION("""COMPUTED_VALUE"""),0.6722222222222223)</f>
        <v>0.6722222222</v>
      </c>
      <c r="R25" s="17">
        <f>IFERROR(__xludf.DUMMYFUNCTION("""COMPUTED_VALUE"""),0.7298611111111111)</f>
        <v>0.7298611111</v>
      </c>
      <c r="S25" s="17">
        <f>IFERROR(__xludf.DUMMYFUNCTION("""COMPUTED_VALUE"""),0.74375)</f>
        <v>0.74375</v>
      </c>
      <c r="T25" s="17">
        <f>IFERROR(__xludf.DUMMYFUNCTION("""COMPUTED_VALUE"""),0.7819444444444444)</f>
        <v>0.7819444444</v>
      </c>
      <c r="U25" s="20">
        <f>IFERROR(__xludf.DUMMYFUNCTION("""COMPUTED_VALUE"""),0.8076388888888889)</f>
        <v>0.8076388889</v>
      </c>
      <c r="V25" s="20">
        <f>IFERROR(__xludf.DUMMYFUNCTION("""COMPUTED_VALUE"""),0.8444444444444444)</f>
        <v>0.8444444444</v>
      </c>
      <c r="W25" s="20">
        <f>IFERROR(__xludf.DUMMYFUNCTION("""COMPUTED_VALUE"""),0.8583333333333333)</f>
        <v>0.8583333333</v>
      </c>
    </row>
    <row r="26">
      <c r="A26" s="18" t="str">
        <f>IFERROR(__xludf.DUMMYFUNCTION("""COMPUTED_VALUE"""),"PINELANDS")</f>
        <v>PINELANDS</v>
      </c>
      <c r="B26" s="19" t="str">
        <f>IFERROR(__xludf.DUMMYFUNCTION("""COMPUTED_VALUE"""),"-33.93964476336891, 18.490635019900687")</f>
        <v>-33.93964476336891, 18.490635019900687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20"/>
      <c r="V26" s="20"/>
      <c r="W26" s="20"/>
    </row>
    <row r="27">
      <c r="A27" s="18" t="str">
        <f>IFERROR(__xludf.DUMMYFUNCTION("""COMPUTED_VALUE"""),"NDABENI")</f>
        <v>NDABENI</v>
      </c>
      <c r="B27" s="19" t="str">
        <f>IFERROR(__xludf.DUMMYFUNCTION("""COMPUTED_VALUE"""),"-33.928548273196824, 18.495159894144553")</f>
        <v>-33.928548273196824, 18.495159894144553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20"/>
      <c r="V27" s="20"/>
      <c r="W27" s="20"/>
    </row>
    <row r="28">
      <c r="A28" s="18" t="str">
        <f>IFERROR(__xludf.DUMMYFUNCTION("""COMPUTED_VALUE"""),"MAITLAND")</f>
        <v>MAITLAND</v>
      </c>
      <c r="B28" s="19" t="str">
        <f>IFERROR(__xludf.DUMMYFUNCTION("""COMPUTED_VALUE"""),"-33.92465193392986, 18.487001988940953")</f>
        <v>-33.92465193392986, 18.487001988940953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20"/>
      <c r="V28" s="20"/>
      <c r="W28" s="20"/>
    </row>
    <row r="29">
      <c r="A29" s="18" t="str">
        <f>IFERROR(__xludf.DUMMYFUNCTION("""COMPUTED_VALUE"""),"KOEBERG RD")</f>
        <v>KOEBERG RD</v>
      </c>
      <c r="B29" s="19" t="str">
        <f>IFERROR(__xludf.DUMMYFUNCTION("""COMPUTED_VALUE"""),"-33.92570961024241, 18.47887742815667")</f>
        <v>-33.92570961024241, 18.47887742815667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20"/>
      <c r="V29" s="20"/>
      <c r="W29" s="20"/>
    </row>
    <row r="30">
      <c r="A30" s="18" t="str">
        <f>IFERROR(__xludf.DUMMYFUNCTION("""COMPUTED_VALUE"""),"SALT RIVER")</f>
        <v>SALT RIVER</v>
      </c>
      <c r="B30" s="19" t="str">
        <f>IFERROR(__xludf.DUMMYFUNCTION("""COMPUTED_VALUE"""),"-33.92754558428959, 18.464689555116372")</f>
        <v>-33.92754558428959, 18.464689555116372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20"/>
      <c r="V30" s="20"/>
      <c r="W30" s="20"/>
    </row>
    <row r="31">
      <c r="A31" s="18" t="str">
        <f>IFERROR(__xludf.DUMMYFUNCTION("""COMPUTED_VALUE"""),"WOODSTOCK")</f>
        <v>WOODSTOCK</v>
      </c>
      <c r="B31" s="19" t="str">
        <f>IFERROR(__xludf.DUMMYFUNCTION("""COMPUTED_VALUE"""),"-33.925058308184404, 18.44613913370814")</f>
        <v>-33.925058308184404, 18.44613913370814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20"/>
      <c r="V31" s="20"/>
      <c r="W31" s="20"/>
    </row>
    <row r="32">
      <c r="A32" s="18" t="str">
        <f>IFERROR(__xludf.DUMMYFUNCTION("""COMPUTED_VALUE"""),"CAPE TOWN")</f>
        <v>CAPE TOWN</v>
      </c>
      <c r="B32" s="19" t="str">
        <f>IFERROR(__xludf.DUMMYFUNCTION("""COMPUTED_VALUE"""),"-33.92363127060243, 18.42718648501388")</f>
        <v>-33.92363127060243, 18.42718648501388</v>
      </c>
      <c r="C32" s="19">
        <f>IFERROR(__xludf.DUMMYFUNCTION("""COMPUTED_VALUE"""),0.2361111111111111)</f>
        <v>0.2361111111</v>
      </c>
      <c r="D32" s="19">
        <f>IFERROR(__xludf.DUMMYFUNCTION("""COMPUTED_VALUE"""),0.2569444444444444)</f>
        <v>0.2569444444</v>
      </c>
      <c r="E32" s="17">
        <f>IFERROR(__xludf.DUMMYFUNCTION("""COMPUTED_VALUE"""),0.28125)</f>
        <v>0.28125</v>
      </c>
      <c r="F32" s="16"/>
      <c r="G32" s="17">
        <f>IFERROR(__xludf.DUMMYFUNCTION("""COMPUTED_VALUE"""),0.3423611111111111)</f>
        <v>0.3423611111</v>
      </c>
      <c r="H32" s="17">
        <f>IFERROR(__xludf.DUMMYFUNCTION("""COMPUTED_VALUE"""),0.3611111111111111)</f>
        <v>0.3611111111</v>
      </c>
      <c r="I32" s="17">
        <f>IFERROR(__xludf.DUMMYFUNCTION("""COMPUTED_VALUE"""),0.3888888888888889)</f>
        <v>0.3888888889</v>
      </c>
      <c r="J32" s="17">
        <f>IFERROR(__xludf.DUMMYFUNCTION("""COMPUTED_VALUE"""),0.41805555555555557)</f>
        <v>0.4180555556</v>
      </c>
      <c r="K32" s="20">
        <f>IFERROR(__xludf.DUMMYFUNCTION("""COMPUTED_VALUE"""),0.4388888888888889)</f>
        <v>0.4388888889</v>
      </c>
      <c r="L32" s="20">
        <f>IFERROR(__xludf.DUMMYFUNCTION("""COMPUTED_VALUE"""),0.4847222222222222)</f>
        <v>0.4847222222</v>
      </c>
      <c r="M32" s="20">
        <f>IFERROR(__xludf.DUMMYFUNCTION("""COMPUTED_VALUE"""),0.5416666666666666)</f>
        <v>0.5416666667</v>
      </c>
      <c r="N32" s="20">
        <f>IFERROR(__xludf.DUMMYFUNCTION("""COMPUTED_VALUE"""),0.5868055555555556)</f>
        <v>0.5868055556</v>
      </c>
      <c r="O32" s="20">
        <f>IFERROR(__xludf.DUMMYFUNCTION("""COMPUTED_VALUE"""),0.6006944444444444)</f>
        <v>0.6006944444</v>
      </c>
      <c r="P32" s="20">
        <f>IFERROR(__xludf.DUMMYFUNCTION("""COMPUTED_VALUE"""),0.6805555555555556)</f>
        <v>0.6805555556</v>
      </c>
      <c r="Q32" s="20">
        <f>IFERROR(__xludf.DUMMYFUNCTION("""COMPUTED_VALUE"""),0.6784722222222223)</f>
        <v>0.6784722222</v>
      </c>
      <c r="R32" s="20">
        <f>IFERROR(__xludf.DUMMYFUNCTION("""COMPUTED_VALUE"""),0.7361111111111112)</f>
        <v>0.7361111111</v>
      </c>
      <c r="S32" s="20">
        <f>IFERROR(__xludf.DUMMYFUNCTION("""COMPUTED_VALUE"""),0.75)</f>
        <v>0.75</v>
      </c>
      <c r="T32" s="20">
        <f>IFERROR(__xludf.DUMMYFUNCTION("""COMPUTED_VALUE"""),0.7881944444444444)</f>
        <v>0.7881944444</v>
      </c>
      <c r="U32" s="20">
        <f>IFERROR(__xludf.DUMMYFUNCTION("""COMPUTED_VALUE"""),0.8138888888888889)</f>
        <v>0.8138888889</v>
      </c>
      <c r="V32" s="20">
        <f>IFERROR(__xludf.DUMMYFUNCTION("""COMPUTED_VALUE"""),0.8506944444444444)</f>
        <v>0.8506944444</v>
      </c>
      <c r="W32" s="20">
        <f>IFERROR(__xludf.DUMMYFUNCTION("""COMPUTED_VALUE"""),0.8645833333333334)</f>
        <v>0.8645833333</v>
      </c>
    </row>
    <row r="33">
      <c r="A33" s="87"/>
      <c r="B33" s="87"/>
      <c r="C33" s="19"/>
      <c r="D33" s="19"/>
      <c r="E33" s="19"/>
      <c r="F33" s="19"/>
      <c r="G33" s="19"/>
      <c r="H33" s="19"/>
      <c r="I33" s="19"/>
      <c r="J33" s="19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</row>
    <row r="34">
      <c r="A34" s="87"/>
      <c r="B34" s="87"/>
      <c r="C34" s="19"/>
      <c r="D34" s="19"/>
      <c r="E34" s="19"/>
      <c r="F34" s="19"/>
      <c r="G34" s="19"/>
      <c r="H34" s="19"/>
      <c r="I34" s="19"/>
      <c r="J34" s="19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</row>
    <row r="35">
      <c r="A35" s="87"/>
      <c r="B35" s="87"/>
      <c r="C35" s="19"/>
      <c r="D35" s="19"/>
      <c r="E35" s="19"/>
      <c r="F35" s="19"/>
      <c r="G35" s="19"/>
      <c r="H35" s="19"/>
      <c r="I35" s="19"/>
      <c r="J35" s="19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</row>
    <row r="36">
      <c r="A36" s="87"/>
      <c r="B36" s="20"/>
      <c r="C36" s="17"/>
      <c r="D36" s="16"/>
      <c r="E36" s="16"/>
      <c r="F36" s="16"/>
      <c r="G36" s="16"/>
      <c r="H36" s="16"/>
      <c r="I36" s="16"/>
      <c r="J36" s="16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</row>
    <row r="39">
      <c r="A39" s="92"/>
      <c r="B39" s="19"/>
      <c r="C39" s="19"/>
      <c r="D39" s="19"/>
      <c r="E39" s="19"/>
      <c r="F39" s="19"/>
      <c r="G39" s="19"/>
      <c r="H39" s="19"/>
      <c r="I39" s="19"/>
      <c r="J39" s="19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</row>
    <row r="46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</row>
    <row r="47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</row>
    <row r="48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</row>
    <row r="49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</row>
    <row r="50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95" t="s">
        <v>154</v>
      </c>
      <c r="D2" s="95" t="s">
        <v>155</v>
      </c>
      <c r="E2" s="95" t="s">
        <v>156</v>
      </c>
      <c r="F2" s="95" t="s">
        <v>157</v>
      </c>
      <c r="G2" s="95" t="s">
        <v>158</v>
      </c>
      <c r="H2" s="95" t="s">
        <v>159</v>
      </c>
      <c r="I2" s="95" t="s">
        <v>160</v>
      </c>
      <c r="J2" s="95" t="s">
        <v>161</v>
      </c>
      <c r="K2" s="95" t="s">
        <v>162</v>
      </c>
      <c r="L2" s="95" t="s">
        <v>163</v>
      </c>
      <c r="M2" s="95" t="s">
        <v>164</v>
      </c>
      <c r="N2" s="95" t="s">
        <v>165</v>
      </c>
      <c r="O2" s="95" t="s">
        <v>166</v>
      </c>
      <c r="P2" s="95" t="s">
        <v>167</v>
      </c>
      <c r="Q2" s="95" t="s">
        <v>168</v>
      </c>
      <c r="R2" s="95" t="s">
        <v>169</v>
      </c>
      <c r="S2" s="95" t="s">
        <v>170</v>
      </c>
      <c r="T2" s="95" t="s">
        <v>171</v>
      </c>
      <c r="U2" s="95" t="s">
        <v>172</v>
      </c>
      <c r="V2" s="95" t="s">
        <v>173</v>
      </c>
      <c r="W2" s="95" t="s">
        <v>174</v>
      </c>
      <c r="X2" s="6"/>
      <c r="Y2" s="6"/>
      <c r="Z2" s="6"/>
      <c r="AA2" s="6"/>
    </row>
    <row r="3">
      <c r="A3" s="7" t="s">
        <v>85</v>
      </c>
      <c r="B3" s="8" t="s">
        <v>175</v>
      </c>
      <c r="C3" s="12">
        <v>0.21875</v>
      </c>
      <c r="D3" s="12">
        <v>0.24305555555555555</v>
      </c>
      <c r="E3" s="12">
        <v>0.2673611111111111</v>
      </c>
      <c r="F3" s="12">
        <v>0.2881944444444444</v>
      </c>
      <c r="G3" s="12">
        <v>0.3090277777777778</v>
      </c>
      <c r="H3" s="12">
        <v>0.3298611111111111</v>
      </c>
      <c r="I3" s="12">
        <v>0.3541666666666667</v>
      </c>
      <c r="J3" s="12">
        <v>0.3715277777777778</v>
      </c>
      <c r="K3" s="12">
        <v>0.3958333333333333</v>
      </c>
      <c r="L3" s="12">
        <v>0.4375</v>
      </c>
      <c r="M3" s="12">
        <v>0.5208333333333334</v>
      </c>
      <c r="N3" s="12">
        <v>0.5763888888888888</v>
      </c>
      <c r="O3" s="12">
        <v>0.6041666666666666</v>
      </c>
      <c r="P3" s="12">
        <v>0.6319444444444444</v>
      </c>
      <c r="Q3" s="12">
        <v>0.65625</v>
      </c>
      <c r="R3" s="12">
        <v>0.6770833333333334</v>
      </c>
      <c r="S3" s="12">
        <v>0.6979166666666666</v>
      </c>
      <c r="T3" s="12">
        <v>0.71875</v>
      </c>
      <c r="U3" s="12">
        <v>0.7395833333333334</v>
      </c>
      <c r="V3" s="12">
        <v>0.7604166666666666</v>
      </c>
      <c r="W3" s="12">
        <v>0.78125</v>
      </c>
      <c r="X3" s="10"/>
      <c r="Y3" s="10"/>
      <c r="Z3" s="10"/>
      <c r="AA3" s="10"/>
    </row>
    <row r="4">
      <c r="A4" s="1" t="s">
        <v>83</v>
      </c>
      <c r="B4" s="11" t="s">
        <v>176</v>
      </c>
      <c r="C4" s="12">
        <v>0.22083333333333333</v>
      </c>
      <c r="D4" s="12">
        <v>0.24513888888888888</v>
      </c>
      <c r="E4" s="12">
        <v>0.26944444444444443</v>
      </c>
      <c r="F4" s="12">
        <v>0.2902777777777778</v>
      </c>
      <c r="G4" s="12">
        <v>0.3111111111111111</v>
      </c>
      <c r="H4" s="12">
        <v>0.33194444444444443</v>
      </c>
      <c r="I4" s="12">
        <v>0.35625</v>
      </c>
      <c r="J4" s="12">
        <v>0.3736111111111111</v>
      </c>
      <c r="K4" s="12">
        <v>0.39791666666666664</v>
      </c>
      <c r="L4" s="12">
        <v>0.4395833333333333</v>
      </c>
      <c r="M4" s="12">
        <v>0.5229166666666667</v>
      </c>
      <c r="N4" s="12">
        <v>0.5784722222222223</v>
      </c>
      <c r="O4" s="12">
        <v>0.60625</v>
      </c>
      <c r="P4" s="12">
        <v>0.6340277777777777</v>
      </c>
      <c r="Q4" s="12">
        <v>0.6583333333333333</v>
      </c>
      <c r="R4" s="12">
        <v>0.6791666666666667</v>
      </c>
      <c r="S4" s="12">
        <v>0.7</v>
      </c>
      <c r="T4" s="12">
        <v>0.7208333333333333</v>
      </c>
      <c r="U4" s="12">
        <v>0.7416666666666667</v>
      </c>
      <c r="V4" s="12">
        <v>0.7625</v>
      </c>
      <c r="W4" s="12">
        <v>0.7833333333333333</v>
      </c>
    </row>
    <row r="5">
      <c r="A5" s="1" t="s">
        <v>81</v>
      </c>
      <c r="B5" s="11" t="s">
        <v>177</v>
      </c>
      <c r="C5" s="12">
        <v>0.22291666666666668</v>
      </c>
      <c r="D5" s="12">
        <v>0.24722222222222223</v>
      </c>
      <c r="E5" s="12">
        <v>0.27152777777777776</v>
      </c>
      <c r="F5" s="12">
        <v>0.2923611111111111</v>
      </c>
      <c r="G5" s="12">
        <v>0.31319444444444444</v>
      </c>
      <c r="H5" s="12">
        <v>0.33402777777777776</v>
      </c>
      <c r="I5" s="12">
        <v>0.35833333333333334</v>
      </c>
      <c r="J5" s="12">
        <v>0.37569444444444444</v>
      </c>
      <c r="K5" s="12">
        <v>0.4</v>
      </c>
      <c r="L5" s="12">
        <v>0.44166666666666665</v>
      </c>
      <c r="M5" s="12">
        <v>0.525</v>
      </c>
      <c r="N5" s="12">
        <v>0.5805555555555556</v>
      </c>
      <c r="O5" s="12">
        <v>0.6083333333333333</v>
      </c>
      <c r="P5" s="12">
        <v>0.6361111111111111</v>
      </c>
      <c r="Q5" s="12">
        <v>0.6604166666666667</v>
      </c>
      <c r="R5" s="12">
        <v>0.68125</v>
      </c>
      <c r="S5" s="12">
        <v>0.7020833333333333</v>
      </c>
      <c r="T5" s="12">
        <v>0.7229166666666667</v>
      </c>
      <c r="U5" s="12">
        <v>0.74375</v>
      </c>
      <c r="V5" s="12">
        <v>0.7645833333333333</v>
      </c>
      <c r="W5" s="12">
        <v>0.7854166666666667</v>
      </c>
    </row>
    <row r="6">
      <c r="A6" s="1" t="s">
        <v>79</v>
      </c>
      <c r="B6" s="11" t="s">
        <v>178</v>
      </c>
      <c r="C6" s="12">
        <v>0.22430555555555556</v>
      </c>
      <c r="D6" s="12">
        <v>0.24861111111111112</v>
      </c>
      <c r="E6" s="12">
        <v>0.27291666666666664</v>
      </c>
      <c r="F6" s="12">
        <v>0.29375</v>
      </c>
      <c r="G6" s="12">
        <v>0.3145833333333333</v>
      </c>
      <c r="H6" s="12">
        <v>0.33541666666666664</v>
      </c>
      <c r="I6" s="12">
        <v>0.3597222222222222</v>
      </c>
      <c r="J6" s="12">
        <v>0.3770833333333333</v>
      </c>
      <c r="K6" s="12">
        <v>0.4013888888888889</v>
      </c>
      <c r="L6" s="12">
        <v>0.44305555555555554</v>
      </c>
      <c r="M6" s="12">
        <v>0.5263888888888889</v>
      </c>
      <c r="N6" s="12">
        <v>0.5819444444444445</v>
      </c>
      <c r="O6" s="12">
        <v>0.6097222222222223</v>
      </c>
      <c r="P6" s="12">
        <v>0.6375</v>
      </c>
      <c r="Q6" s="12">
        <v>0.6618055555555555</v>
      </c>
      <c r="R6" s="12">
        <v>0.6826388888888889</v>
      </c>
      <c r="S6" s="12">
        <v>0.7034722222222223</v>
      </c>
      <c r="T6" s="12">
        <v>0.7243055555555555</v>
      </c>
      <c r="U6" s="12">
        <v>0.7451388888888889</v>
      </c>
      <c r="V6" s="12">
        <v>0.7659722222222223</v>
      </c>
      <c r="W6" s="12">
        <v>0.7868055555555555</v>
      </c>
    </row>
    <row r="7">
      <c r="A7" s="1" t="s">
        <v>77</v>
      </c>
      <c r="B7" s="11" t="s">
        <v>179</v>
      </c>
      <c r="C7" s="12">
        <v>0.22569444444444445</v>
      </c>
      <c r="D7" s="12">
        <v>0.25</v>
      </c>
      <c r="E7" s="12">
        <v>0.2743055555555556</v>
      </c>
      <c r="F7" s="12">
        <v>0.2951388888888889</v>
      </c>
      <c r="G7" s="12">
        <v>0.3159722222222222</v>
      </c>
      <c r="H7" s="12">
        <v>0.3368055555555556</v>
      </c>
      <c r="I7" s="12">
        <v>0.3611111111111111</v>
      </c>
      <c r="J7" s="12">
        <v>0.3784722222222222</v>
      </c>
      <c r="K7" s="12">
        <v>0.4027777777777778</v>
      </c>
      <c r="L7" s="12">
        <v>0.4444444444444444</v>
      </c>
      <c r="M7" s="12">
        <v>0.5277777777777778</v>
      </c>
      <c r="N7" s="12">
        <v>0.5833333333333334</v>
      </c>
      <c r="O7" s="12">
        <v>0.6111111111111112</v>
      </c>
      <c r="P7" s="12">
        <v>0.6388888888888888</v>
      </c>
      <c r="Q7" s="12">
        <v>0.6631944444444444</v>
      </c>
      <c r="R7" s="12">
        <v>0.6840277777777778</v>
      </c>
      <c r="S7" s="12">
        <v>0.7048611111111112</v>
      </c>
      <c r="T7" s="12">
        <v>0.7256944444444444</v>
      </c>
      <c r="U7" s="12">
        <v>0.7465277777777778</v>
      </c>
      <c r="V7" s="12">
        <v>0.7673611111111112</v>
      </c>
      <c r="W7" s="12">
        <v>0.7881944444444444</v>
      </c>
    </row>
    <row r="8">
      <c r="A8" s="1" t="s">
        <v>75</v>
      </c>
      <c r="B8" s="11" t="s">
        <v>180</v>
      </c>
      <c r="C8" s="12">
        <v>0.22777777777777777</v>
      </c>
      <c r="D8" s="12">
        <v>0.2520833333333333</v>
      </c>
      <c r="E8" s="12">
        <v>0.2763888888888889</v>
      </c>
      <c r="F8" s="12">
        <v>0.2972222222222222</v>
      </c>
      <c r="G8" s="12">
        <v>0.31805555555555554</v>
      </c>
      <c r="H8" s="12">
        <v>0.3388888888888889</v>
      </c>
      <c r="I8" s="12">
        <v>0.36319444444444443</v>
      </c>
      <c r="J8" s="12">
        <v>0.38055555555555554</v>
      </c>
      <c r="K8" s="12">
        <v>0.4048611111111111</v>
      </c>
      <c r="L8" s="12">
        <v>0.4465277777777778</v>
      </c>
      <c r="M8" s="12">
        <v>0.5298611111111111</v>
      </c>
      <c r="N8" s="12">
        <v>0.5854166666666667</v>
      </c>
      <c r="O8" s="12">
        <v>0.6131944444444445</v>
      </c>
      <c r="P8" s="12">
        <v>0.6409722222222223</v>
      </c>
      <c r="Q8" s="12">
        <v>0.6652777777777777</v>
      </c>
      <c r="R8" s="12">
        <v>0.6861111111111111</v>
      </c>
      <c r="S8" s="12">
        <v>0.7069444444444445</v>
      </c>
      <c r="T8" s="12">
        <v>0.7277777777777777</v>
      </c>
      <c r="U8" s="12">
        <v>0.7486111111111111</v>
      </c>
      <c r="V8" s="12">
        <v>0.7694444444444445</v>
      </c>
      <c r="W8" s="12">
        <v>0.7902777777777777</v>
      </c>
    </row>
    <row r="9">
      <c r="A9" s="1" t="s">
        <v>73</v>
      </c>
      <c r="B9" s="11" t="s">
        <v>181</v>
      </c>
      <c r="C9" s="12">
        <v>0.2298611111111111</v>
      </c>
      <c r="D9" s="12">
        <v>0.25416666666666665</v>
      </c>
      <c r="E9" s="12">
        <v>0.27847222222222223</v>
      </c>
      <c r="F9" s="12">
        <v>0.29930555555555555</v>
      </c>
      <c r="G9" s="12">
        <v>0.32013888888888886</v>
      </c>
      <c r="H9" s="12">
        <v>0.34097222222222223</v>
      </c>
      <c r="I9" s="12">
        <v>0.36527777777777776</v>
      </c>
      <c r="J9" s="12">
        <v>0.38263888888888886</v>
      </c>
      <c r="K9" s="12">
        <v>0.40694444444444444</v>
      </c>
      <c r="L9" s="12">
        <v>0.4486111111111111</v>
      </c>
      <c r="M9" s="12">
        <v>0.5319444444444444</v>
      </c>
      <c r="N9" s="12">
        <v>0.5875</v>
      </c>
      <c r="O9" s="12">
        <v>0.6152777777777778</v>
      </c>
      <c r="P9" s="12">
        <v>0.6430555555555556</v>
      </c>
      <c r="Q9" s="12">
        <v>0.6673611111111111</v>
      </c>
      <c r="R9" s="12">
        <v>0.6881944444444444</v>
      </c>
      <c r="S9" s="12">
        <v>0.7090277777777778</v>
      </c>
      <c r="T9" s="12">
        <v>0.7298611111111111</v>
      </c>
      <c r="U9" s="12">
        <v>0.7506944444444444</v>
      </c>
      <c r="V9" s="12">
        <v>0.7715277777777778</v>
      </c>
      <c r="W9" s="12">
        <v>0.7923611111111111</v>
      </c>
    </row>
    <row r="10">
      <c r="A10" s="1" t="s">
        <v>182</v>
      </c>
      <c r="B10" s="11" t="s">
        <v>183</v>
      </c>
      <c r="C10" s="12">
        <v>0.23125</v>
      </c>
      <c r="D10" s="12">
        <v>0.25555555555555554</v>
      </c>
      <c r="E10" s="12">
        <v>0.2798611111111111</v>
      </c>
      <c r="F10" s="12">
        <v>0.30069444444444443</v>
      </c>
      <c r="G10" s="12">
        <v>0.3215277777777778</v>
      </c>
      <c r="H10" s="12">
        <v>0.3423611111111111</v>
      </c>
      <c r="I10" s="12">
        <v>0.36666666666666664</v>
      </c>
      <c r="J10" s="12">
        <v>0.3840277777777778</v>
      </c>
      <c r="K10" s="12">
        <v>0.4083333333333333</v>
      </c>
      <c r="L10" s="12">
        <v>0.45</v>
      </c>
      <c r="M10" s="12">
        <v>0.5333333333333333</v>
      </c>
      <c r="N10" s="12">
        <v>0.5888888888888889</v>
      </c>
      <c r="O10" s="12">
        <v>0.6166666666666667</v>
      </c>
      <c r="P10" s="12">
        <v>0.6444444444444445</v>
      </c>
      <c r="Q10" s="12">
        <v>0.66875</v>
      </c>
      <c r="R10" s="12">
        <v>0.6895833333333333</v>
      </c>
      <c r="S10" s="12">
        <v>0.7104166666666667</v>
      </c>
      <c r="T10" s="12">
        <v>0.73125</v>
      </c>
      <c r="U10" s="12">
        <v>0.7520833333333333</v>
      </c>
      <c r="V10" s="12">
        <v>0.7729166666666667</v>
      </c>
      <c r="W10" s="12">
        <v>0.79375</v>
      </c>
    </row>
    <row r="11">
      <c r="A11" s="1" t="s">
        <v>184</v>
      </c>
      <c r="B11" s="11" t="s">
        <v>185</v>
      </c>
      <c r="C11" s="12">
        <v>0.23333333333333334</v>
      </c>
      <c r="D11" s="12">
        <v>0.25763888888888886</v>
      </c>
      <c r="E11" s="12">
        <v>0.28194444444444444</v>
      </c>
      <c r="F11" s="12">
        <v>0.30277777777777776</v>
      </c>
      <c r="G11" s="12">
        <v>0.3236111111111111</v>
      </c>
      <c r="H11" s="12">
        <v>0.34444444444444444</v>
      </c>
      <c r="I11" s="12">
        <v>0.36875</v>
      </c>
      <c r="J11" s="12">
        <v>0.3861111111111111</v>
      </c>
      <c r="K11" s="12">
        <v>0.41041666666666665</v>
      </c>
      <c r="L11" s="12">
        <v>0.45208333333333334</v>
      </c>
      <c r="M11" s="12">
        <v>0.5354166666666667</v>
      </c>
      <c r="N11" s="12">
        <v>0.5909722222222222</v>
      </c>
      <c r="O11" s="12">
        <v>0.61875</v>
      </c>
      <c r="P11" s="12">
        <v>0.6465277777777778</v>
      </c>
      <c r="Q11" s="12">
        <v>0.6708333333333333</v>
      </c>
      <c r="R11" s="12">
        <v>0.6916666666666667</v>
      </c>
      <c r="S11" s="12">
        <v>0.7125</v>
      </c>
      <c r="T11" s="12">
        <v>0.7333333333333333</v>
      </c>
      <c r="U11" s="12">
        <v>0.7541666666666667</v>
      </c>
      <c r="V11" s="12">
        <v>0.775</v>
      </c>
      <c r="W11" s="12">
        <v>0.7958333333333333</v>
      </c>
    </row>
    <row r="12">
      <c r="A12" s="1" t="s">
        <v>186</v>
      </c>
      <c r="B12" s="11" t="s">
        <v>187</v>
      </c>
      <c r="C12" s="12">
        <v>0.23472222222222222</v>
      </c>
      <c r="D12" s="12">
        <v>0.2590277777777778</v>
      </c>
      <c r="E12" s="12">
        <v>0.2833333333333333</v>
      </c>
      <c r="F12" s="12">
        <v>0.30416666666666664</v>
      </c>
      <c r="G12" s="12">
        <v>0.325</v>
      </c>
      <c r="H12" s="12">
        <v>0.3458333333333333</v>
      </c>
      <c r="I12" s="12">
        <v>0.3701388888888889</v>
      </c>
      <c r="J12" s="12">
        <v>0.3875</v>
      </c>
      <c r="K12" s="12">
        <v>0.41180555555555554</v>
      </c>
      <c r="L12" s="12">
        <v>0.4534722222222222</v>
      </c>
      <c r="M12" s="12">
        <v>0.5368055555555555</v>
      </c>
      <c r="N12" s="12">
        <v>0.5923611111111111</v>
      </c>
      <c r="O12" s="12">
        <v>0.6201388888888889</v>
      </c>
      <c r="P12" s="12">
        <v>0.6479166666666667</v>
      </c>
      <c r="Q12" s="12">
        <v>0.6722222222222223</v>
      </c>
      <c r="R12" s="12">
        <v>0.6930555555555555</v>
      </c>
      <c r="S12" s="12">
        <v>0.7138888888888889</v>
      </c>
      <c r="T12" s="12">
        <v>0.7347222222222223</v>
      </c>
      <c r="U12" s="12">
        <v>0.7555555555555555</v>
      </c>
      <c r="V12" s="12">
        <v>0.7763888888888889</v>
      </c>
      <c r="W12" s="12">
        <v>0.7972222222222223</v>
      </c>
    </row>
    <row r="13">
      <c r="A13" s="1" t="s">
        <v>188</v>
      </c>
      <c r="B13" s="11" t="s">
        <v>189</v>
      </c>
      <c r="C13" s="12">
        <v>0.2361111111111111</v>
      </c>
      <c r="D13" s="12">
        <v>0.2604166666666667</v>
      </c>
      <c r="E13" s="12">
        <v>0.2847222222222222</v>
      </c>
      <c r="F13" s="12">
        <v>0.3055555555555556</v>
      </c>
      <c r="G13" s="12">
        <v>0.3263888888888889</v>
      </c>
      <c r="H13" s="12">
        <v>0.3472222222222222</v>
      </c>
      <c r="I13" s="12">
        <v>0.3715277777777778</v>
      </c>
      <c r="J13" s="12">
        <v>0.3888888888888889</v>
      </c>
      <c r="K13" s="12">
        <v>0.4131944444444444</v>
      </c>
      <c r="L13" s="12">
        <v>0.4548611111111111</v>
      </c>
      <c r="M13" s="12">
        <v>0.5381944444444444</v>
      </c>
      <c r="N13" s="12">
        <v>0.59375</v>
      </c>
      <c r="O13" s="12">
        <v>0.6215277777777778</v>
      </c>
      <c r="P13" s="12">
        <v>0.6493055555555556</v>
      </c>
      <c r="Q13" s="12">
        <v>0.6736111111111112</v>
      </c>
      <c r="R13" s="12">
        <v>0.6944444444444444</v>
      </c>
      <c r="S13" s="12">
        <v>0.7152777777777778</v>
      </c>
      <c r="T13" s="12">
        <v>0.7361111111111112</v>
      </c>
      <c r="U13" s="12">
        <v>0.7569444444444444</v>
      </c>
      <c r="V13" s="12">
        <v>0.7777777777777778</v>
      </c>
      <c r="W13" s="12">
        <v>0.7986111111111112</v>
      </c>
    </row>
    <row r="14">
      <c r="A14" s="1" t="s">
        <v>190</v>
      </c>
      <c r="B14" s="11" t="s">
        <v>191</v>
      </c>
      <c r="C14" s="12">
        <v>0.23819444444444443</v>
      </c>
      <c r="D14" s="12">
        <v>0.2625</v>
      </c>
      <c r="E14" s="12">
        <v>0.28680555555555554</v>
      </c>
      <c r="F14" s="12">
        <v>0.3076388888888889</v>
      </c>
      <c r="G14" s="12">
        <v>0.3284722222222222</v>
      </c>
      <c r="H14" s="12">
        <v>0.34930555555555554</v>
      </c>
      <c r="I14" s="12">
        <v>0.3736111111111111</v>
      </c>
      <c r="J14" s="12">
        <v>0.3909722222222222</v>
      </c>
      <c r="K14" s="12">
        <v>0.4152777777777778</v>
      </c>
      <c r="L14" s="12">
        <v>0.45694444444444443</v>
      </c>
      <c r="M14" s="12">
        <v>0.5402777777777777</v>
      </c>
      <c r="N14" s="12">
        <v>0.5958333333333333</v>
      </c>
      <c r="O14" s="12">
        <v>0.6236111111111111</v>
      </c>
      <c r="P14" s="12">
        <v>0.6513888888888889</v>
      </c>
      <c r="Q14" s="12">
        <v>0.6756944444444445</v>
      </c>
      <c r="R14" s="12">
        <v>0.6965277777777777</v>
      </c>
      <c r="S14" s="12">
        <v>0.7173611111111111</v>
      </c>
      <c r="T14" s="12">
        <v>0.7381944444444445</v>
      </c>
      <c r="U14" s="12">
        <v>0.7590277777777777</v>
      </c>
      <c r="V14" s="12">
        <v>0.7798611111111111</v>
      </c>
      <c r="W14" s="12">
        <v>0.8006944444444445</v>
      </c>
    </row>
    <row r="15">
      <c r="A15" s="1" t="s">
        <v>192</v>
      </c>
      <c r="B15" s="14" t="s">
        <v>193</v>
      </c>
      <c r="C15" s="12">
        <v>0.23958333333333334</v>
      </c>
      <c r="D15" s="12">
        <v>0.2638888888888889</v>
      </c>
      <c r="E15" s="12">
        <v>0.2881944444444444</v>
      </c>
      <c r="F15" s="12">
        <v>0.3090277777777778</v>
      </c>
      <c r="G15" s="12">
        <v>0.3298611111111111</v>
      </c>
      <c r="H15" s="12">
        <v>0.3506944444444444</v>
      </c>
      <c r="I15" s="12">
        <v>0.375</v>
      </c>
      <c r="J15" s="12">
        <v>0.3923611111111111</v>
      </c>
      <c r="K15" s="12">
        <v>0.4166666666666667</v>
      </c>
      <c r="L15" s="12">
        <v>0.4583333333333333</v>
      </c>
      <c r="M15" s="12">
        <v>0.5416666666666666</v>
      </c>
      <c r="N15" s="12">
        <v>0.5972222222222222</v>
      </c>
      <c r="O15" s="12">
        <v>0.625</v>
      </c>
      <c r="P15" s="12">
        <v>0.6527777777777778</v>
      </c>
      <c r="Q15" s="12">
        <v>0.6770833333333334</v>
      </c>
      <c r="R15" s="12">
        <v>0.6979166666666666</v>
      </c>
      <c r="S15" s="12">
        <v>0.71875</v>
      </c>
      <c r="T15" s="12">
        <v>0.7395833333333334</v>
      </c>
      <c r="U15" s="12">
        <v>0.7604166666666666</v>
      </c>
      <c r="V15" s="12">
        <v>0.78125</v>
      </c>
      <c r="W15" s="12">
        <v>0.8020833333333334</v>
      </c>
    </row>
    <row r="16">
      <c r="A16" s="1" t="s">
        <v>194</v>
      </c>
      <c r="B16" s="11" t="s">
        <v>195</v>
      </c>
      <c r="C16" s="12">
        <v>0.2423611111111111</v>
      </c>
      <c r="D16" s="12">
        <v>0.26666666666666666</v>
      </c>
      <c r="E16" s="12">
        <v>0.29097222222222224</v>
      </c>
      <c r="F16" s="12">
        <v>0.31180555555555556</v>
      </c>
      <c r="G16" s="12">
        <v>0.3326388888888889</v>
      </c>
      <c r="H16" s="12">
        <v>0.35347222222222224</v>
      </c>
      <c r="I16" s="12">
        <v>0.37777777777777777</v>
      </c>
      <c r="J16" s="12">
        <v>0.3951388888888889</v>
      </c>
      <c r="K16" s="12">
        <v>0.41944444444444445</v>
      </c>
      <c r="L16" s="12">
        <v>0.46111111111111114</v>
      </c>
      <c r="M16" s="12">
        <v>0.5444444444444444</v>
      </c>
      <c r="N16" s="12">
        <v>0.6</v>
      </c>
      <c r="O16" s="12">
        <v>0.6277777777777778</v>
      </c>
      <c r="P16" s="12">
        <v>0.6555555555555556</v>
      </c>
      <c r="Q16" s="12">
        <v>0.6798611111111111</v>
      </c>
      <c r="R16" s="12">
        <v>0.7006944444444444</v>
      </c>
      <c r="S16" s="12">
        <v>0.7215277777777778</v>
      </c>
      <c r="T16" s="12">
        <v>0.7423611111111111</v>
      </c>
      <c r="U16" s="12">
        <v>0.7631944444444444</v>
      </c>
      <c r="V16" s="12">
        <v>0.7840277777777778</v>
      </c>
      <c r="W16" s="12">
        <v>0.8048611111111111</v>
      </c>
    </row>
    <row r="17">
      <c r="A17" s="1" t="s">
        <v>196</v>
      </c>
      <c r="B17" s="11" t="s">
        <v>197</v>
      </c>
      <c r="C17" s="12">
        <v>0.24513888888888888</v>
      </c>
      <c r="D17" s="12">
        <v>0.26944444444444443</v>
      </c>
      <c r="E17" s="12">
        <v>0.29375</v>
      </c>
      <c r="F17" s="12">
        <v>0.3145833333333333</v>
      </c>
      <c r="G17" s="12">
        <v>0.33541666666666664</v>
      </c>
      <c r="H17" s="12">
        <v>0.35625</v>
      </c>
      <c r="I17" s="12">
        <v>0.38055555555555554</v>
      </c>
      <c r="J17" s="12">
        <v>0.39791666666666664</v>
      </c>
      <c r="K17" s="12">
        <v>0.4222222222222222</v>
      </c>
      <c r="L17" s="12">
        <v>0.4638888888888889</v>
      </c>
      <c r="M17" s="12">
        <v>0.5472222222222223</v>
      </c>
      <c r="N17" s="12">
        <v>0.6027777777777777</v>
      </c>
      <c r="O17" s="12">
        <v>0.6305555555555555</v>
      </c>
      <c r="P17" s="12">
        <v>0.6583333333333333</v>
      </c>
      <c r="Q17" s="12">
        <v>0.6826388888888889</v>
      </c>
      <c r="R17" s="12">
        <v>0.7034722222222223</v>
      </c>
      <c r="S17" s="12">
        <v>0.7243055555555555</v>
      </c>
      <c r="T17" s="12">
        <v>0.7451388888888889</v>
      </c>
      <c r="U17" s="12">
        <v>0.7659722222222223</v>
      </c>
      <c r="V17" s="12">
        <v>0.7868055555555555</v>
      </c>
      <c r="W17" s="12">
        <v>0.8076388888888889</v>
      </c>
    </row>
    <row r="18">
      <c r="A18" s="1" t="s">
        <v>198</v>
      </c>
      <c r="B18" s="90" t="s">
        <v>199</v>
      </c>
      <c r="C18" s="12"/>
      <c r="D18" s="12">
        <v>0.2708333333333333</v>
      </c>
      <c r="E18" s="12">
        <v>0.2951388888888889</v>
      </c>
      <c r="F18" s="12">
        <v>0.3159722222222222</v>
      </c>
      <c r="G18" s="12"/>
      <c r="H18" s="12">
        <v>0.3576388888888889</v>
      </c>
      <c r="I18" s="12"/>
      <c r="J18" s="12">
        <v>0.3993055555555556</v>
      </c>
      <c r="K18" s="12">
        <v>0.4236111111111111</v>
      </c>
      <c r="L18" s="12">
        <v>0.4652777777777778</v>
      </c>
      <c r="M18" s="12">
        <v>0.5486111111111112</v>
      </c>
      <c r="N18" s="12">
        <v>0.6041666666666666</v>
      </c>
      <c r="O18" s="12">
        <v>0.6319444444444444</v>
      </c>
      <c r="P18" s="12">
        <v>0.6597222222222222</v>
      </c>
      <c r="Q18" s="12">
        <v>0.6840277777777778</v>
      </c>
      <c r="R18" s="12">
        <v>0.7048611111111112</v>
      </c>
      <c r="S18" s="12">
        <v>0.7256944444444444</v>
      </c>
      <c r="T18" s="12">
        <v>0.7465277777777778</v>
      </c>
      <c r="U18" s="12">
        <v>0.7673611111111112</v>
      </c>
      <c r="V18" s="12">
        <v>0.7881944444444444</v>
      </c>
      <c r="W18" s="12">
        <v>0.8090277777777778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95" t="s">
        <v>200</v>
      </c>
      <c r="D2" s="95" t="s">
        <v>201</v>
      </c>
      <c r="E2" s="95" t="s">
        <v>202</v>
      </c>
      <c r="F2" s="95" t="s">
        <v>203</v>
      </c>
      <c r="G2" s="95" t="s">
        <v>204</v>
      </c>
      <c r="H2" s="95" t="s">
        <v>205</v>
      </c>
      <c r="I2" s="95" t="s">
        <v>206</v>
      </c>
      <c r="J2" s="95" t="s">
        <v>207</v>
      </c>
      <c r="K2" s="95" t="s">
        <v>208</v>
      </c>
      <c r="L2" s="95" t="s">
        <v>209</v>
      </c>
      <c r="M2" s="95" t="s">
        <v>210</v>
      </c>
      <c r="N2" s="95" t="s">
        <v>211</v>
      </c>
      <c r="O2" s="95" t="s">
        <v>212</v>
      </c>
      <c r="P2" s="95" t="s">
        <v>213</v>
      </c>
      <c r="Q2" s="95" t="s">
        <v>214</v>
      </c>
      <c r="R2" s="95" t="s">
        <v>215</v>
      </c>
      <c r="S2" s="95" t="s">
        <v>216</v>
      </c>
      <c r="T2" s="95" t="s">
        <v>217</v>
      </c>
      <c r="U2" s="95" t="s">
        <v>218</v>
      </c>
      <c r="V2" s="95" t="s">
        <v>219</v>
      </c>
      <c r="W2" s="6"/>
      <c r="X2" s="6"/>
      <c r="Y2" s="6"/>
      <c r="Z2" s="6"/>
      <c r="AA2" s="6"/>
    </row>
    <row r="3">
      <c r="A3" s="7" t="s">
        <v>198</v>
      </c>
      <c r="B3" s="8" t="s">
        <v>199</v>
      </c>
      <c r="C3" s="9">
        <v>0.2152777777777778</v>
      </c>
      <c r="D3" s="9">
        <v>0.23958333333333334</v>
      </c>
      <c r="E3" s="9"/>
      <c r="F3" s="9">
        <v>0.2777777777777778</v>
      </c>
      <c r="G3" s="9">
        <v>0.3020833333333333</v>
      </c>
      <c r="H3" s="9">
        <v>0.3229166666666667</v>
      </c>
      <c r="I3" s="9"/>
      <c r="J3" s="9">
        <v>0.3645833333333333</v>
      </c>
      <c r="K3" s="9"/>
      <c r="L3" s="9">
        <v>0.4166666666666667</v>
      </c>
      <c r="M3" s="9">
        <v>0.4444444444444444</v>
      </c>
      <c r="N3" s="9">
        <v>0.4861111111111111</v>
      </c>
      <c r="O3" s="9">
        <v>0.5555555555555556</v>
      </c>
      <c r="P3" s="9">
        <v>0.6111111111111112</v>
      </c>
      <c r="Q3" s="9">
        <v>0.6527777777777778</v>
      </c>
      <c r="R3" s="9">
        <v>0.6736111111111112</v>
      </c>
      <c r="S3" s="9">
        <v>0.6944444444444444</v>
      </c>
      <c r="T3" s="9">
        <v>0.7152777777777778</v>
      </c>
      <c r="U3" s="9">
        <v>0.7361111111111112</v>
      </c>
      <c r="V3" s="9">
        <v>0.7569444444444444</v>
      </c>
      <c r="W3" s="10"/>
      <c r="X3" s="10"/>
      <c r="Y3" s="10"/>
      <c r="Z3" s="10"/>
      <c r="AA3" s="10"/>
    </row>
    <row r="4">
      <c r="A4" s="1" t="s">
        <v>196</v>
      </c>
      <c r="B4" s="11" t="s">
        <v>197</v>
      </c>
      <c r="C4" s="12">
        <v>0.21736111111111112</v>
      </c>
      <c r="D4" s="12">
        <v>0.24166666666666667</v>
      </c>
      <c r="E4" s="12">
        <v>0.2534722222222222</v>
      </c>
      <c r="F4" s="12">
        <v>0.2798611111111111</v>
      </c>
      <c r="G4" s="12">
        <v>0.30416666666666664</v>
      </c>
      <c r="H4" s="12">
        <v>0.325</v>
      </c>
      <c r="I4" s="12">
        <v>0.34375</v>
      </c>
      <c r="J4" s="12">
        <v>0.36666666666666664</v>
      </c>
      <c r="K4" s="12">
        <v>0.3888888888888889</v>
      </c>
      <c r="L4" s="12">
        <v>0.41875</v>
      </c>
      <c r="M4" s="12">
        <v>0.4465277777777778</v>
      </c>
      <c r="N4" s="12">
        <v>0.48819444444444443</v>
      </c>
      <c r="O4" s="12">
        <v>0.5576388888888889</v>
      </c>
      <c r="P4" s="12">
        <v>0.6131944444444445</v>
      </c>
      <c r="Q4" s="12">
        <v>0.6548611111111111</v>
      </c>
      <c r="R4" s="12">
        <v>0.6756944444444445</v>
      </c>
      <c r="S4" s="12">
        <v>0.6965277777777777</v>
      </c>
      <c r="T4" s="12">
        <v>0.7173611111111111</v>
      </c>
      <c r="U4" s="12">
        <v>0.7381944444444445</v>
      </c>
      <c r="V4" s="12">
        <v>0.7590277777777777</v>
      </c>
    </row>
    <row r="5">
      <c r="A5" s="1" t="s">
        <v>194</v>
      </c>
      <c r="B5" s="11" t="s">
        <v>195</v>
      </c>
      <c r="C5" s="12">
        <v>0.21944444444444444</v>
      </c>
      <c r="D5" s="12">
        <v>0.24375</v>
      </c>
      <c r="E5" s="12">
        <v>0.25555555555555554</v>
      </c>
      <c r="F5" s="12">
        <v>0.28194444444444444</v>
      </c>
      <c r="G5" s="12">
        <v>0.30625</v>
      </c>
      <c r="H5" s="12">
        <v>0.32708333333333334</v>
      </c>
      <c r="I5" s="12">
        <v>0.3458333333333333</v>
      </c>
      <c r="J5" s="12">
        <v>0.36875</v>
      </c>
      <c r="K5" s="12">
        <v>0.3909722222222222</v>
      </c>
      <c r="L5" s="12">
        <v>0.42083333333333334</v>
      </c>
      <c r="M5" s="12">
        <v>0.4486111111111111</v>
      </c>
      <c r="N5" s="12">
        <v>0.49027777777777776</v>
      </c>
      <c r="O5" s="12">
        <v>0.5597222222222222</v>
      </c>
      <c r="P5" s="12">
        <v>0.6152777777777778</v>
      </c>
      <c r="Q5" s="12">
        <v>0.6569444444444444</v>
      </c>
      <c r="R5" s="12">
        <v>0.6777777777777778</v>
      </c>
      <c r="S5" s="12">
        <v>0.6986111111111111</v>
      </c>
      <c r="T5" s="12">
        <v>0.7194444444444444</v>
      </c>
      <c r="U5" s="12">
        <v>0.7402777777777778</v>
      </c>
      <c r="V5" s="12">
        <v>0.7611111111111111</v>
      </c>
    </row>
    <row r="6">
      <c r="A6" s="1" t="s">
        <v>192</v>
      </c>
      <c r="B6" s="11" t="s">
        <v>193</v>
      </c>
      <c r="C6" s="12">
        <v>0.22152777777777777</v>
      </c>
      <c r="D6" s="12">
        <v>0.24583333333333332</v>
      </c>
      <c r="E6" s="12">
        <v>0.25763888888888886</v>
      </c>
      <c r="F6" s="12">
        <v>0.28402777777777777</v>
      </c>
      <c r="G6" s="12">
        <v>0.30833333333333335</v>
      </c>
      <c r="H6" s="12">
        <v>0.32916666666666666</v>
      </c>
      <c r="I6" s="12">
        <v>0.34791666666666665</v>
      </c>
      <c r="J6" s="12">
        <v>0.37083333333333335</v>
      </c>
      <c r="K6" s="12">
        <v>0.39305555555555555</v>
      </c>
      <c r="L6" s="12">
        <v>0.42291666666666666</v>
      </c>
      <c r="M6" s="12">
        <v>0.45069444444444445</v>
      </c>
      <c r="N6" s="12">
        <v>0.49236111111111114</v>
      </c>
      <c r="O6" s="12">
        <v>0.5618055555555556</v>
      </c>
      <c r="P6" s="12">
        <v>0.6173611111111111</v>
      </c>
      <c r="Q6" s="12">
        <v>0.6590277777777778</v>
      </c>
      <c r="R6" s="12">
        <v>0.6798611111111111</v>
      </c>
      <c r="S6" s="12">
        <v>0.7006944444444444</v>
      </c>
      <c r="T6" s="12">
        <v>0.7215277777777778</v>
      </c>
      <c r="U6" s="12">
        <v>0.7423611111111111</v>
      </c>
      <c r="V6" s="12">
        <v>0.7631944444444444</v>
      </c>
    </row>
    <row r="7">
      <c r="A7" s="1" t="s">
        <v>190</v>
      </c>
      <c r="B7" s="11" t="s">
        <v>191</v>
      </c>
      <c r="C7" s="12">
        <v>0.22361111111111112</v>
      </c>
      <c r="D7" s="12">
        <v>0.24791666666666667</v>
      </c>
      <c r="E7" s="12">
        <v>0.25972222222222224</v>
      </c>
      <c r="F7" s="12">
        <v>0.2861111111111111</v>
      </c>
      <c r="G7" s="12">
        <v>0.3104166666666667</v>
      </c>
      <c r="H7" s="12">
        <v>0.33125</v>
      </c>
      <c r="I7" s="12">
        <v>0.35</v>
      </c>
      <c r="J7" s="12">
        <v>0.3729166666666667</v>
      </c>
      <c r="K7" s="12">
        <v>0.3951388888888889</v>
      </c>
      <c r="L7" s="12">
        <v>0.425</v>
      </c>
      <c r="M7" s="12">
        <v>0.4527777777777778</v>
      </c>
      <c r="N7" s="12">
        <v>0.49444444444444446</v>
      </c>
      <c r="O7" s="12">
        <v>0.5638888888888889</v>
      </c>
      <c r="P7" s="12">
        <v>0.6194444444444445</v>
      </c>
      <c r="Q7" s="12">
        <v>0.6611111111111111</v>
      </c>
      <c r="R7" s="12">
        <v>0.6819444444444445</v>
      </c>
      <c r="S7" s="12">
        <v>0.7027777777777777</v>
      </c>
      <c r="T7" s="12">
        <v>0.7236111111111111</v>
      </c>
      <c r="U7" s="12">
        <v>0.7444444444444445</v>
      </c>
      <c r="V7" s="12">
        <v>0.7652777777777777</v>
      </c>
    </row>
    <row r="8">
      <c r="A8" s="1" t="s">
        <v>188</v>
      </c>
      <c r="B8" s="11" t="s">
        <v>189</v>
      </c>
      <c r="C8" s="12">
        <v>0.225</v>
      </c>
      <c r="D8" s="12">
        <v>0.24930555555555556</v>
      </c>
      <c r="E8" s="12">
        <v>0.2611111111111111</v>
      </c>
      <c r="F8" s="12">
        <v>0.2875</v>
      </c>
      <c r="G8" s="12">
        <v>0.31180555555555556</v>
      </c>
      <c r="H8" s="12">
        <v>0.3326388888888889</v>
      </c>
      <c r="I8" s="12">
        <v>0.35138888888888886</v>
      </c>
      <c r="J8" s="12">
        <v>0.37430555555555556</v>
      </c>
      <c r="K8" s="12">
        <v>0.39652777777777776</v>
      </c>
      <c r="L8" s="12">
        <v>0.4263888888888889</v>
      </c>
      <c r="M8" s="12">
        <v>0.45416666666666666</v>
      </c>
      <c r="N8" s="12">
        <v>0.49583333333333335</v>
      </c>
      <c r="O8" s="12">
        <v>0.5652777777777778</v>
      </c>
      <c r="P8" s="12">
        <v>0.6208333333333333</v>
      </c>
      <c r="Q8" s="12">
        <v>0.6625</v>
      </c>
      <c r="R8" s="12">
        <v>0.6833333333333333</v>
      </c>
      <c r="S8" s="12">
        <v>0.7041666666666667</v>
      </c>
      <c r="T8" s="12">
        <v>0.725</v>
      </c>
      <c r="U8" s="12">
        <v>0.7458333333333333</v>
      </c>
      <c r="V8" s="12">
        <v>0.7666666666666667</v>
      </c>
    </row>
    <row r="9">
      <c r="A9" s="1" t="s">
        <v>186</v>
      </c>
      <c r="B9" s="11" t="s">
        <v>187</v>
      </c>
      <c r="C9" s="12">
        <v>0.2263888888888889</v>
      </c>
      <c r="D9" s="12">
        <v>0.25069444444444444</v>
      </c>
      <c r="E9" s="12">
        <v>0.2625</v>
      </c>
      <c r="F9" s="12">
        <v>0.28888888888888886</v>
      </c>
      <c r="G9" s="12">
        <v>0.31319444444444444</v>
      </c>
      <c r="H9" s="12">
        <v>0.33402777777777776</v>
      </c>
      <c r="I9" s="12">
        <v>0.3527777777777778</v>
      </c>
      <c r="J9" s="12">
        <v>0.37569444444444444</v>
      </c>
      <c r="K9" s="12">
        <v>0.39791666666666664</v>
      </c>
      <c r="L9" s="12">
        <v>0.42777777777777776</v>
      </c>
      <c r="M9" s="12">
        <v>0.45555555555555555</v>
      </c>
      <c r="N9" s="12">
        <v>0.49722222222222223</v>
      </c>
      <c r="O9" s="12">
        <v>0.5666666666666667</v>
      </c>
      <c r="P9" s="12">
        <v>0.6222222222222222</v>
      </c>
      <c r="Q9" s="12">
        <v>0.6638888888888889</v>
      </c>
      <c r="R9" s="12">
        <v>0.6847222222222222</v>
      </c>
      <c r="S9" s="12">
        <v>0.7055555555555556</v>
      </c>
      <c r="T9" s="12">
        <v>0.7263888888888889</v>
      </c>
      <c r="U9" s="12">
        <v>0.7472222222222222</v>
      </c>
      <c r="V9" s="12">
        <v>0.7680555555555556</v>
      </c>
    </row>
    <row r="10">
      <c r="A10" s="1" t="s">
        <v>184</v>
      </c>
      <c r="B10" s="11" t="s">
        <v>185</v>
      </c>
      <c r="C10" s="12">
        <v>0.22847222222222222</v>
      </c>
      <c r="D10" s="12">
        <v>0.25277777777777777</v>
      </c>
      <c r="E10" s="12">
        <v>0.26458333333333334</v>
      </c>
      <c r="F10" s="12">
        <v>0.29097222222222224</v>
      </c>
      <c r="G10" s="12">
        <v>0.31527777777777777</v>
      </c>
      <c r="H10" s="12">
        <v>0.33611111111111114</v>
      </c>
      <c r="I10" s="12">
        <v>0.3548611111111111</v>
      </c>
      <c r="J10" s="12">
        <v>0.37777777777777777</v>
      </c>
      <c r="K10" s="12">
        <v>0.4</v>
      </c>
      <c r="L10" s="12">
        <v>0.42986111111111114</v>
      </c>
      <c r="M10" s="12">
        <v>0.4576388888888889</v>
      </c>
      <c r="N10" s="12">
        <v>0.49930555555555556</v>
      </c>
      <c r="O10" s="12">
        <v>0.56875</v>
      </c>
      <c r="P10" s="12">
        <v>0.6243055555555556</v>
      </c>
      <c r="Q10" s="12">
        <v>0.6659722222222222</v>
      </c>
      <c r="R10" s="12">
        <v>0.6868055555555556</v>
      </c>
      <c r="S10" s="12">
        <v>0.7076388888888889</v>
      </c>
      <c r="T10" s="12">
        <v>0.7284722222222222</v>
      </c>
      <c r="U10" s="12">
        <v>0.7493055555555556</v>
      </c>
      <c r="V10" s="12">
        <v>0.7701388888888889</v>
      </c>
    </row>
    <row r="11">
      <c r="A11" s="1" t="s">
        <v>182</v>
      </c>
      <c r="B11" s="11" t="s">
        <v>183</v>
      </c>
      <c r="C11" s="12">
        <v>0.2298611111111111</v>
      </c>
      <c r="D11" s="12">
        <v>0.25416666666666665</v>
      </c>
      <c r="E11" s="12">
        <v>0.2659722222222222</v>
      </c>
      <c r="F11" s="12">
        <v>0.2923611111111111</v>
      </c>
      <c r="G11" s="12">
        <v>0.31666666666666665</v>
      </c>
      <c r="H11" s="12">
        <v>0.3375</v>
      </c>
      <c r="I11" s="12">
        <v>0.35625</v>
      </c>
      <c r="J11" s="12">
        <v>0.37916666666666665</v>
      </c>
      <c r="K11" s="12">
        <v>0.4013888888888889</v>
      </c>
      <c r="L11" s="12">
        <v>0.43125</v>
      </c>
      <c r="M11" s="12">
        <v>0.45902777777777776</v>
      </c>
      <c r="N11" s="12">
        <v>0.5006944444444444</v>
      </c>
      <c r="O11" s="12">
        <v>0.5701388888888889</v>
      </c>
      <c r="P11" s="12">
        <v>0.6256944444444444</v>
      </c>
      <c r="Q11" s="12">
        <v>0.6673611111111111</v>
      </c>
      <c r="R11" s="12">
        <v>0.6881944444444444</v>
      </c>
      <c r="S11" s="12">
        <v>0.7090277777777778</v>
      </c>
      <c r="T11" s="12">
        <v>0.7298611111111111</v>
      </c>
      <c r="U11" s="12">
        <v>0.7506944444444444</v>
      </c>
      <c r="V11" s="12">
        <v>0.7715277777777778</v>
      </c>
    </row>
    <row r="12">
      <c r="A12" s="1" t="s">
        <v>73</v>
      </c>
      <c r="B12" s="11" t="s">
        <v>181</v>
      </c>
      <c r="C12" s="12">
        <v>0.23194444444444445</v>
      </c>
      <c r="D12" s="12">
        <v>0.25625</v>
      </c>
      <c r="E12" s="12">
        <v>0.26805555555555555</v>
      </c>
      <c r="F12" s="12">
        <v>0.29444444444444445</v>
      </c>
      <c r="G12" s="12">
        <v>0.31875</v>
      </c>
      <c r="H12" s="12">
        <v>0.33958333333333335</v>
      </c>
      <c r="I12" s="12">
        <v>0.35833333333333334</v>
      </c>
      <c r="J12" s="12">
        <v>0.38125</v>
      </c>
      <c r="K12" s="12">
        <v>0.40347222222222223</v>
      </c>
      <c r="L12" s="12">
        <v>0.43333333333333335</v>
      </c>
      <c r="M12" s="12">
        <v>0.46111111111111114</v>
      </c>
      <c r="N12" s="12">
        <v>0.5027777777777778</v>
      </c>
      <c r="O12" s="12">
        <v>0.5722222222222222</v>
      </c>
      <c r="P12" s="12">
        <v>0.6277777777777778</v>
      </c>
      <c r="Q12" s="12">
        <v>0.6694444444444444</v>
      </c>
      <c r="R12" s="12">
        <v>0.6902777777777778</v>
      </c>
      <c r="S12" s="12">
        <v>0.7111111111111111</v>
      </c>
      <c r="T12" s="12">
        <v>0.7319444444444444</v>
      </c>
      <c r="U12" s="12">
        <v>0.7527777777777778</v>
      </c>
      <c r="V12" s="12">
        <v>0.7736111111111111</v>
      </c>
    </row>
    <row r="13">
      <c r="A13" s="1" t="s">
        <v>75</v>
      </c>
      <c r="B13" s="11" t="s">
        <v>180</v>
      </c>
      <c r="C13" s="12">
        <v>0.23333333333333334</v>
      </c>
      <c r="D13" s="12">
        <v>0.25763888888888886</v>
      </c>
      <c r="E13" s="12">
        <v>0.26944444444444443</v>
      </c>
      <c r="F13" s="12">
        <v>0.29583333333333334</v>
      </c>
      <c r="G13" s="12">
        <v>0.32013888888888886</v>
      </c>
      <c r="H13" s="12">
        <v>0.34097222222222223</v>
      </c>
      <c r="I13" s="12">
        <v>0.3597222222222222</v>
      </c>
      <c r="J13" s="12">
        <v>0.38263888888888886</v>
      </c>
      <c r="K13" s="12">
        <v>0.4048611111111111</v>
      </c>
      <c r="L13" s="12">
        <v>0.43472222222222223</v>
      </c>
      <c r="M13" s="12">
        <v>0.4625</v>
      </c>
      <c r="N13" s="12">
        <v>0.5041666666666667</v>
      </c>
      <c r="O13" s="12">
        <v>0.5736111111111111</v>
      </c>
      <c r="P13" s="12">
        <v>0.6291666666666667</v>
      </c>
      <c r="Q13" s="12">
        <v>0.6708333333333333</v>
      </c>
      <c r="R13" s="12">
        <v>0.6916666666666667</v>
      </c>
      <c r="S13" s="12">
        <v>0.7125</v>
      </c>
      <c r="T13" s="12">
        <v>0.7333333333333333</v>
      </c>
      <c r="U13" s="12">
        <v>0.7541666666666667</v>
      </c>
      <c r="V13" s="12">
        <v>0.775</v>
      </c>
    </row>
    <row r="14">
      <c r="A14" s="1" t="s">
        <v>77</v>
      </c>
      <c r="B14" s="11" t="s">
        <v>179</v>
      </c>
      <c r="C14" s="12">
        <v>0.23541666666666666</v>
      </c>
      <c r="D14" s="12">
        <v>0.25972222222222224</v>
      </c>
      <c r="E14" s="12">
        <v>0.27152777777777776</v>
      </c>
      <c r="F14" s="12">
        <v>0.29791666666666666</v>
      </c>
      <c r="G14" s="12">
        <v>0.32222222222222224</v>
      </c>
      <c r="H14" s="12">
        <v>0.34305555555555556</v>
      </c>
      <c r="I14" s="12">
        <v>0.36180555555555555</v>
      </c>
      <c r="J14" s="12">
        <v>0.38472222222222224</v>
      </c>
      <c r="K14" s="12">
        <v>0.40694444444444444</v>
      </c>
      <c r="L14" s="12">
        <v>0.43680555555555556</v>
      </c>
      <c r="M14" s="12">
        <v>0.46458333333333335</v>
      </c>
      <c r="N14" s="12">
        <v>0.50625</v>
      </c>
      <c r="O14" s="12">
        <v>0.5756944444444444</v>
      </c>
      <c r="P14" s="12">
        <v>0.63125</v>
      </c>
      <c r="Q14" s="12">
        <v>0.6729166666666667</v>
      </c>
      <c r="R14" s="12">
        <v>0.69375</v>
      </c>
      <c r="S14" s="12">
        <v>0.7145833333333333</v>
      </c>
      <c r="T14" s="12">
        <v>0.7354166666666667</v>
      </c>
      <c r="U14" s="12">
        <v>0.75625</v>
      </c>
      <c r="V14" s="12">
        <v>0.7770833333333333</v>
      </c>
    </row>
    <row r="15">
      <c r="A15" s="1" t="s">
        <v>79</v>
      </c>
      <c r="B15" s="11" t="s">
        <v>178</v>
      </c>
      <c r="C15" s="12">
        <v>0.23680555555555555</v>
      </c>
      <c r="D15" s="12">
        <v>0.2611111111111111</v>
      </c>
      <c r="E15" s="12">
        <v>0.27291666666666664</v>
      </c>
      <c r="F15" s="12">
        <v>0.29930555555555555</v>
      </c>
      <c r="G15" s="12">
        <v>0.3236111111111111</v>
      </c>
      <c r="H15" s="12">
        <v>0.34444444444444444</v>
      </c>
      <c r="I15" s="12">
        <v>0.36319444444444443</v>
      </c>
      <c r="J15" s="12">
        <v>0.3861111111111111</v>
      </c>
      <c r="K15" s="12">
        <v>0.4083333333333333</v>
      </c>
      <c r="L15" s="12">
        <v>0.43819444444444444</v>
      </c>
      <c r="M15" s="12">
        <v>0.46597222222222223</v>
      </c>
      <c r="N15" s="12">
        <v>0.5076388888888889</v>
      </c>
      <c r="O15" s="12">
        <v>0.5770833333333333</v>
      </c>
      <c r="P15" s="12">
        <v>0.6326388888888889</v>
      </c>
      <c r="Q15" s="12">
        <v>0.6743055555555556</v>
      </c>
      <c r="R15" s="12">
        <v>0.6951388888888889</v>
      </c>
      <c r="S15" s="12">
        <v>0.7159722222222222</v>
      </c>
      <c r="T15" s="12">
        <v>0.7368055555555556</v>
      </c>
      <c r="U15" s="12">
        <v>0.7576388888888889</v>
      </c>
      <c r="V15" s="12">
        <v>0.7784722222222222</v>
      </c>
    </row>
    <row r="16">
      <c r="A16" s="1" t="s">
        <v>81</v>
      </c>
      <c r="B16" s="11" t="s">
        <v>177</v>
      </c>
      <c r="C16" s="12">
        <v>0.23819444444444443</v>
      </c>
      <c r="D16" s="12">
        <v>0.2625</v>
      </c>
      <c r="E16" s="12">
        <v>0.2743055555555556</v>
      </c>
      <c r="F16" s="12">
        <v>0.30069444444444443</v>
      </c>
      <c r="G16" s="12">
        <v>0.325</v>
      </c>
      <c r="H16" s="12">
        <v>0.3458333333333333</v>
      </c>
      <c r="I16" s="12">
        <v>0.3645833333333333</v>
      </c>
      <c r="J16" s="12">
        <v>0.3875</v>
      </c>
      <c r="K16" s="12">
        <v>0.4097222222222222</v>
      </c>
      <c r="L16" s="12">
        <v>0.4395833333333333</v>
      </c>
      <c r="M16" s="12">
        <v>0.4673611111111111</v>
      </c>
      <c r="N16" s="12">
        <v>0.5090277777777777</v>
      </c>
      <c r="O16" s="12">
        <v>0.5784722222222223</v>
      </c>
      <c r="P16" s="12">
        <v>0.6340277777777777</v>
      </c>
      <c r="Q16" s="12">
        <v>0.6756944444444445</v>
      </c>
      <c r="R16" s="12">
        <v>0.6965277777777777</v>
      </c>
      <c r="S16" s="12">
        <v>0.7173611111111111</v>
      </c>
      <c r="T16" s="12">
        <v>0.7381944444444445</v>
      </c>
      <c r="U16" s="12">
        <v>0.7590277777777777</v>
      </c>
      <c r="V16" s="12">
        <v>0.7798611111111111</v>
      </c>
    </row>
    <row r="17">
      <c r="A17" s="1" t="s">
        <v>83</v>
      </c>
      <c r="B17" s="11" t="s">
        <v>176</v>
      </c>
      <c r="C17" s="12">
        <v>0.24097222222222223</v>
      </c>
      <c r="D17" s="12">
        <v>0.2652777777777778</v>
      </c>
      <c r="E17" s="12">
        <v>0.27708333333333335</v>
      </c>
      <c r="F17" s="12">
        <v>0.3034722222222222</v>
      </c>
      <c r="G17" s="12">
        <v>0.3277777777777778</v>
      </c>
      <c r="H17" s="12">
        <v>0.3486111111111111</v>
      </c>
      <c r="I17" s="12">
        <v>0.36736111111111114</v>
      </c>
      <c r="J17" s="12">
        <v>0.3902777777777778</v>
      </c>
      <c r="K17" s="12">
        <v>0.4125</v>
      </c>
      <c r="L17" s="12">
        <v>0.4423611111111111</v>
      </c>
      <c r="M17" s="12">
        <v>0.4701388888888889</v>
      </c>
      <c r="N17" s="12">
        <v>0.5118055555555555</v>
      </c>
      <c r="O17" s="12">
        <v>0.58125</v>
      </c>
      <c r="P17" s="12">
        <v>0.6368055555555555</v>
      </c>
      <c r="Q17" s="12">
        <v>0.6784722222222223</v>
      </c>
      <c r="R17" s="12">
        <v>0.6993055555555555</v>
      </c>
      <c r="S17" s="12">
        <v>0.7201388888888889</v>
      </c>
      <c r="T17" s="12">
        <v>0.7409722222222223</v>
      </c>
      <c r="U17" s="12">
        <v>0.7618055555555555</v>
      </c>
      <c r="V17" s="12">
        <v>0.7826388888888889</v>
      </c>
    </row>
    <row r="18">
      <c r="A18" s="1" t="s">
        <v>85</v>
      </c>
      <c r="B18" s="11" t="s">
        <v>175</v>
      </c>
      <c r="C18" s="12">
        <v>0.24305555555555555</v>
      </c>
      <c r="D18" s="12">
        <v>0.2673611111111111</v>
      </c>
      <c r="E18" s="12">
        <v>0.2791666666666667</v>
      </c>
      <c r="F18" s="12">
        <v>0.3055555555555556</v>
      </c>
      <c r="G18" s="12">
        <v>0.3298611111111111</v>
      </c>
      <c r="H18" s="12">
        <v>0.3506944444444444</v>
      </c>
      <c r="I18" s="12">
        <v>0.36944444444444446</v>
      </c>
      <c r="J18" s="12">
        <v>0.3923611111111111</v>
      </c>
      <c r="K18" s="12">
        <v>0.4097222222222222</v>
      </c>
      <c r="L18" s="12">
        <v>0.4444444444444444</v>
      </c>
      <c r="M18" s="12">
        <v>0.4722222222222222</v>
      </c>
      <c r="N18" s="12">
        <v>0.5138888888888888</v>
      </c>
      <c r="O18" s="12">
        <v>0.5833333333333334</v>
      </c>
      <c r="P18" s="12">
        <v>0.6388888888888888</v>
      </c>
      <c r="Q18" s="12">
        <v>0.6805555555555556</v>
      </c>
      <c r="R18" s="12">
        <v>0.7013888888888888</v>
      </c>
      <c r="S18" s="12">
        <v>0.7222222222222222</v>
      </c>
      <c r="T18" s="12">
        <v>0.7430555555555556</v>
      </c>
      <c r="U18" s="12">
        <v>0.7638888888888888</v>
      </c>
      <c r="V18" s="12">
        <v>0.7847222222222222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95" t="s">
        <v>154</v>
      </c>
      <c r="D2" s="95" t="s">
        <v>155</v>
      </c>
      <c r="E2" s="95" t="s">
        <v>156</v>
      </c>
      <c r="F2" s="95" t="s">
        <v>157</v>
      </c>
      <c r="G2" s="95" t="s">
        <v>158</v>
      </c>
      <c r="H2" s="95" t="s">
        <v>159</v>
      </c>
      <c r="I2" s="95" t="s">
        <v>160</v>
      </c>
      <c r="J2" s="95" t="s">
        <v>161</v>
      </c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6"/>
      <c r="Y2" s="6"/>
      <c r="Z2" s="6"/>
      <c r="AA2" s="6"/>
    </row>
    <row r="3">
      <c r="A3" s="7" t="s">
        <v>85</v>
      </c>
      <c r="B3" s="8" t="s">
        <v>175</v>
      </c>
      <c r="C3" s="12">
        <v>0.2222222222222222</v>
      </c>
      <c r="D3" s="12">
        <v>0.2673611111111111</v>
      </c>
      <c r="E3" s="12">
        <v>0.3125</v>
      </c>
      <c r="F3" s="12">
        <v>0.3576388888888889</v>
      </c>
      <c r="G3" s="12">
        <v>0.3993055555555556</v>
      </c>
      <c r="H3" s="12">
        <v>0.4513888888888889</v>
      </c>
      <c r="I3" s="12">
        <v>0.4930555555555556</v>
      </c>
      <c r="J3" s="12">
        <v>0.5520833333333334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</row>
    <row r="4">
      <c r="A4" s="1" t="s">
        <v>83</v>
      </c>
      <c r="B4" s="11" t="s">
        <v>176</v>
      </c>
      <c r="C4" s="12">
        <v>0.22430555555555556</v>
      </c>
      <c r="D4" s="12">
        <v>0.26944444444444443</v>
      </c>
      <c r="E4" s="12">
        <v>0.3145833333333333</v>
      </c>
      <c r="F4" s="12">
        <v>0.3597222222222222</v>
      </c>
      <c r="G4" s="12">
        <v>0.4013888888888889</v>
      </c>
      <c r="H4" s="12">
        <v>0.4534722222222222</v>
      </c>
      <c r="I4" s="12">
        <v>0.4951388888888889</v>
      </c>
      <c r="J4" s="12">
        <v>0.5541666666666667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" t="s">
        <v>81</v>
      </c>
      <c r="B5" s="11" t="s">
        <v>177</v>
      </c>
      <c r="C5" s="12">
        <v>0.2263888888888889</v>
      </c>
      <c r="D5" s="12">
        <v>0.27152777777777776</v>
      </c>
      <c r="E5" s="12">
        <v>0.31666666666666665</v>
      </c>
      <c r="F5" s="12">
        <v>0.36180555555555555</v>
      </c>
      <c r="G5" s="12">
        <v>0.40347222222222223</v>
      </c>
      <c r="H5" s="12">
        <v>0.45555555555555555</v>
      </c>
      <c r="I5" s="12">
        <v>0.49722222222222223</v>
      </c>
      <c r="J5" s="12">
        <v>0.55625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" t="s">
        <v>79</v>
      </c>
      <c r="B6" s="11" t="s">
        <v>178</v>
      </c>
      <c r="C6" s="12">
        <v>0.22777777777777777</v>
      </c>
      <c r="D6" s="12">
        <v>0.27291666666666664</v>
      </c>
      <c r="E6" s="12">
        <v>0.31805555555555554</v>
      </c>
      <c r="F6" s="12">
        <v>0.36319444444444443</v>
      </c>
      <c r="G6" s="12">
        <v>0.4048611111111111</v>
      </c>
      <c r="H6" s="12">
        <v>0.45694444444444443</v>
      </c>
      <c r="I6" s="12">
        <v>0.4986111111111111</v>
      </c>
      <c r="J6" s="12">
        <v>0.5576388888888889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" t="s">
        <v>77</v>
      </c>
      <c r="B7" s="11" t="s">
        <v>179</v>
      </c>
      <c r="C7" s="12">
        <v>0.22916666666666666</v>
      </c>
      <c r="D7" s="12">
        <v>0.2743055555555556</v>
      </c>
      <c r="E7" s="12">
        <v>0.3194444444444444</v>
      </c>
      <c r="F7" s="12">
        <v>0.3645833333333333</v>
      </c>
      <c r="G7" s="12">
        <v>0.40625</v>
      </c>
      <c r="H7" s="12">
        <v>0.4583333333333333</v>
      </c>
      <c r="I7" s="12">
        <v>0.5</v>
      </c>
      <c r="J7" s="12">
        <v>0.5590277777777778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" t="s">
        <v>75</v>
      </c>
      <c r="B8" s="11" t="s">
        <v>180</v>
      </c>
      <c r="C8" s="12">
        <v>0.23125</v>
      </c>
      <c r="D8" s="12">
        <v>0.2763888888888889</v>
      </c>
      <c r="E8" s="12">
        <v>0.3215277777777778</v>
      </c>
      <c r="F8" s="12">
        <v>0.36666666666666664</v>
      </c>
      <c r="G8" s="12">
        <v>0.4083333333333333</v>
      </c>
      <c r="H8" s="12">
        <v>0.46041666666666664</v>
      </c>
      <c r="I8" s="12">
        <v>0.5020833333333333</v>
      </c>
      <c r="J8" s="12">
        <v>0.5611111111111111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" t="s">
        <v>73</v>
      </c>
      <c r="B9" s="11" t="s">
        <v>181</v>
      </c>
      <c r="C9" s="12">
        <v>0.23333333333333334</v>
      </c>
      <c r="D9" s="12">
        <v>0.27847222222222223</v>
      </c>
      <c r="E9" s="12">
        <v>0.3236111111111111</v>
      </c>
      <c r="F9" s="12">
        <v>0.36875</v>
      </c>
      <c r="G9" s="12">
        <v>0.41041666666666665</v>
      </c>
      <c r="H9" s="12">
        <v>0.4625</v>
      </c>
      <c r="I9" s="12">
        <v>0.5041666666666667</v>
      </c>
      <c r="J9" s="12">
        <v>0.5631944444444444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" t="s">
        <v>182</v>
      </c>
      <c r="B10" s="11" t="s">
        <v>183</v>
      </c>
      <c r="C10" s="12">
        <v>0.23472222222222222</v>
      </c>
      <c r="D10" s="12">
        <v>0.2798611111111111</v>
      </c>
      <c r="E10" s="12">
        <v>0.325</v>
      </c>
      <c r="F10" s="12">
        <v>0.3701388888888889</v>
      </c>
      <c r="G10" s="12">
        <v>0.41180555555555554</v>
      </c>
      <c r="H10" s="12">
        <v>0.4638888888888889</v>
      </c>
      <c r="I10" s="12">
        <v>0.5055555555555555</v>
      </c>
      <c r="J10" s="12">
        <v>0.5645833333333333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" t="s">
        <v>184</v>
      </c>
      <c r="B11" s="11" t="s">
        <v>185</v>
      </c>
      <c r="C11" s="12">
        <v>0.23680555555555555</v>
      </c>
      <c r="D11" s="12">
        <v>0.28194444444444444</v>
      </c>
      <c r="E11" s="12">
        <v>0.32708333333333334</v>
      </c>
      <c r="F11" s="12">
        <v>0.37222222222222223</v>
      </c>
      <c r="G11" s="12">
        <v>0.41388888888888886</v>
      </c>
      <c r="H11" s="12">
        <v>0.46597222222222223</v>
      </c>
      <c r="I11" s="12">
        <v>0.5076388888888889</v>
      </c>
      <c r="J11" s="12">
        <v>0.5666666666666667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" t="s">
        <v>186</v>
      </c>
      <c r="B12" s="11" t="s">
        <v>187</v>
      </c>
      <c r="C12" s="12">
        <v>0.23819444444444443</v>
      </c>
      <c r="D12" s="12">
        <v>0.2833333333333333</v>
      </c>
      <c r="E12" s="12">
        <v>0.3284722222222222</v>
      </c>
      <c r="F12" s="12">
        <v>0.3736111111111111</v>
      </c>
      <c r="G12" s="12">
        <v>0.4152777777777778</v>
      </c>
      <c r="H12" s="12">
        <v>0.4673611111111111</v>
      </c>
      <c r="I12" s="12">
        <v>0.5090277777777777</v>
      </c>
      <c r="J12" s="12">
        <v>0.5680555555555555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" t="s">
        <v>188</v>
      </c>
      <c r="B13" s="11" t="s">
        <v>189</v>
      </c>
      <c r="C13" s="12">
        <v>0.23958333333333334</v>
      </c>
      <c r="D13" s="12">
        <v>0.2847222222222222</v>
      </c>
      <c r="E13" s="12">
        <v>0.3298611111111111</v>
      </c>
      <c r="F13" s="12">
        <v>0.375</v>
      </c>
      <c r="G13" s="12">
        <v>0.4166666666666667</v>
      </c>
      <c r="H13" s="12">
        <v>0.46875</v>
      </c>
      <c r="I13" s="12">
        <v>0.5104166666666666</v>
      </c>
      <c r="J13" s="12">
        <v>0.5694444444444444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" t="s">
        <v>190</v>
      </c>
      <c r="B14" s="11" t="s">
        <v>191</v>
      </c>
      <c r="C14" s="12">
        <v>0.24166666666666667</v>
      </c>
      <c r="D14" s="12">
        <v>0.28680555555555554</v>
      </c>
      <c r="E14" s="12">
        <v>0.33194444444444443</v>
      </c>
      <c r="F14" s="12">
        <v>0.3770833333333333</v>
      </c>
      <c r="G14" s="12">
        <v>0.41875</v>
      </c>
      <c r="H14" s="12">
        <v>0.4708333333333333</v>
      </c>
      <c r="I14" s="12">
        <v>0.5125</v>
      </c>
      <c r="J14" s="12">
        <v>0.5715277777777777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" t="s">
        <v>192</v>
      </c>
      <c r="B15" s="14" t="s">
        <v>193</v>
      </c>
      <c r="C15" s="12">
        <v>0.24305555555555555</v>
      </c>
      <c r="D15" s="12">
        <v>0.2881944444444444</v>
      </c>
      <c r="E15" s="12">
        <v>0.3333333333333333</v>
      </c>
      <c r="F15" s="12">
        <v>0.3784722222222222</v>
      </c>
      <c r="G15" s="12">
        <v>0.4201388888888889</v>
      </c>
      <c r="H15" s="12">
        <v>0.4722222222222222</v>
      </c>
      <c r="I15" s="12">
        <v>0.5138888888888888</v>
      </c>
      <c r="J15" s="12">
        <v>0.5729166666666666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" t="s">
        <v>194</v>
      </c>
      <c r="B16" s="11" t="s">
        <v>195</v>
      </c>
      <c r="C16" s="12">
        <v>0.24583333333333332</v>
      </c>
      <c r="D16" s="12">
        <v>0.29097222222222224</v>
      </c>
      <c r="E16" s="12">
        <v>0.33611111111111114</v>
      </c>
      <c r="F16" s="12">
        <v>0.38125</v>
      </c>
      <c r="G16" s="12">
        <v>0.42291666666666666</v>
      </c>
      <c r="H16" s="12">
        <v>0.475</v>
      </c>
      <c r="I16" s="12">
        <v>0.5166666666666667</v>
      </c>
      <c r="J16" s="12">
        <v>0.5756944444444444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" t="s">
        <v>196</v>
      </c>
      <c r="B17" s="11" t="s">
        <v>197</v>
      </c>
      <c r="C17" s="12">
        <v>0.24861111111111112</v>
      </c>
      <c r="D17" s="12">
        <v>0.29375</v>
      </c>
      <c r="E17" s="12">
        <v>0.3388888888888889</v>
      </c>
      <c r="F17" s="12">
        <v>0.3840277777777778</v>
      </c>
      <c r="G17" s="12">
        <v>0.42569444444444443</v>
      </c>
      <c r="H17" s="12">
        <v>0.4777777777777778</v>
      </c>
      <c r="I17" s="12">
        <v>0.5194444444444445</v>
      </c>
      <c r="J17" s="12">
        <v>0.5784722222222223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" t="s">
        <v>198</v>
      </c>
      <c r="B18" s="90" t="s">
        <v>199</v>
      </c>
      <c r="C18" s="12">
        <v>0.25</v>
      </c>
      <c r="D18" s="12">
        <v>0.2951388888888889</v>
      </c>
      <c r="E18" s="12">
        <v>0.3402777777777778</v>
      </c>
      <c r="F18" s="12">
        <v>0.3854166666666667</v>
      </c>
      <c r="G18" s="12">
        <v>0.4270833333333333</v>
      </c>
      <c r="H18" s="12">
        <v>0.4791666666666667</v>
      </c>
      <c r="I18" s="12">
        <v>0.5208333333333334</v>
      </c>
      <c r="J18" s="12">
        <v>0.5798611111111112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  <c r="V21" s="19"/>
      <c r="W21" s="19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  <c r="V22" s="19"/>
      <c r="W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  <c r="V23" s="19"/>
      <c r="W23" s="19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  <c r="V24" s="19"/>
      <c r="W24" s="19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  <c r="V27" s="19"/>
      <c r="W27" s="19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  <c r="V28" s="19"/>
      <c r="W28" s="19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  <c r="V29" s="19"/>
      <c r="W29" s="19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  <c r="V30" s="19"/>
      <c r="W30" s="19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  <c r="V31" s="19"/>
      <c r="W31" s="19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95" t="s">
        <v>200</v>
      </c>
      <c r="D2" s="95" t="s">
        <v>201</v>
      </c>
      <c r="E2" s="95" t="s">
        <v>202</v>
      </c>
      <c r="F2" s="95" t="s">
        <v>203</v>
      </c>
      <c r="G2" s="95" t="s">
        <v>204</v>
      </c>
      <c r="H2" s="95" t="s">
        <v>205</v>
      </c>
      <c r="I2" s="95" t="s">
        <v>206</v>
      </c>
      <c r="J2" s="95" t="s">
        <v>207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198</v>
      </c>
      <c r="B3" s="8" t="s">
        <v>199</v>
      </c>
      <c r="C3" s="12">
        <v>0.21875</v>
      </c>
      <c r="D3" s="12">
        <v>0.2652777777777778</v>
      </c>
      <c r="E3" s="12">
        <v>0.3194444444444444</v>
      </c>
      <c r="F3" s="12">
        <v>0.3486111111111111</v>
      </c>
      <c r="G3" s="12">
        <v>0.4027777777777778</v>
      </c>
      <c r="H3" s="12">
        <v>0.4444444444444444</v>
      </c>
      <c r="I3" s="12">
        <v>0.4861111111111111</v>
      </c>
      <c r="J3" s="12">
        <v>0.5277777777777778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196</v>
      </c>
      <c r="B4" s="11" t="s">
        <v>197</v>
      </c>
      <c r="C4" s="12">
        <v>0.22083333333333333</v>
      </c>
      <c r="D4" s="12">
        <v>0.2673611111111111</v>
      </c>
      <c r="E4" s="12">
        <v>0.3215277777777778</v>
      </c>
      <c r="F4" s="12">
        <v>0.3506944444444444</v>
      </c>
      <c r="G4" s="12">
        <v>0.4048611111111111</v>
      </c>
      <c r="H4" s="12">
        <v>0.4465277777777778</v>
      </c>
      <c r="I4" s="12">
        <v>0.48819444444444443</v>
      </c>
      <c r="J4" s="12">
        <v>0.5298611111111111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194</v>
      </c>
      <c r="B5" s="11" t="s">
        <v>195</v>
      </c>
      <c r="C5" s="12">
        <v>0.22291666666666668</v>
      </c>
      <c r="D5" s="12">
        <v>0.26944444444444443</v>
      </c>
      <c r="E5" s="12">
        <v>0.3236111111111111</v>
      </c>
      <c r="F5" s="12">
        <v>0.3527777777777778</v>
      </c>
      <c r="G5" s="12">
        <v>0.40694444444444444</v>
      </c>
      <c r="H5" s="12">
        <v>0.4486111111111111</v>
      </c>
      <c r="I5" s="12">
        <v>0.49027777777777776</v>
      </c>
      <c r="J5" s="12">
        <v>0.5319444444444444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192</v>
      </c>
      <c r="B6" s="11" t="s">
        <v>193</v>
      </c>
      <c r="C6" s="12">
        <v>0.225</v>
      </c>
      <c r="D6" s="12">
        <v>0.27152777777777776</v>
      </c>
      <c r="E6" s="12">
        <v>0.32569444444444445</v>
      </c>
      <c r="F6" s="12">
        <v>0.3548611111111111</v>
      </c>
      <c r="G6" s="12">
        <v>0.40902777777777777</v>
      </c>
      <c r="H6" s="12">
        <v>0.45069444444444445</v>
      </c>
      <c r="I6" s="12">
        <v>0.49236111111111114</v>
      </c>
      <c r="J6" s="12">
        <v>0.5340277777777778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190</v>
      </c>
      <c r="B7" s="11" t="s">
        <v>191</v>
      </c>
      <c r="C7" s="12">
        <v>0.22708333333333333</v>
      </c>
      <c r="D7" s="12">
        <v>0.27361111111111114</v>
      </c>
      <c r="E7" s="12">
        <v>0.3277777777777778</v>
      </c>
      <c r="F7" s="12">
        <v>0.35694444444444445</v>
      </c>
      <c r="G7" s="12">
        <v>0.4111111111111111</v>
      </c>
      <c r="H7" s="12">
        <v>0.4527777777777778</v>
      </c>
      <c r="I7" s="12">
        <v>0.49444444444444446</v>
      </c>
      <c r="J7" s="12">
        <v>0.5361111111111111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188</v>
      </c>
      <c r="B8" s="11" t="s">
        <v>189</v>
      </c>
      <c r="C8" s="12">
        <v>0.22847222222222222</v>
      </c>
      <c r="D8" s="12">
        <v>0.275</v>
      </c>
      <c r="E8" s="12">
        <v>0.32916666666666666</v>
      </c>
      <c r="F8" s="12">
        <v>0.35833333333333334</v>
      </c>
      <c r="G8" s="12">
        <v>0.4125</v>
      </c>
      <c r="H8" s="12">
        <v>0.45416666666666666</v>
      </c>
      <c r="I8" s="12">
        <v>0.49583333333333335</v>
      </c>
      <c r="J8" s="12">
        <v>0.5375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186</v>
      </c>
      <c r="B9" s="11" t="s">
        <v>187</v>
      </c>
      <c r="C9" s="12">
        <v>0.2298611111111111</v>
      </c>
      <c r="D9" s="12">
        <v>0.2763888888888889</v>
      </c>
      <c r="E9" s="12">
        <v>0.33055555555555555</v>
      </c>
      <c r="F9" s="12">
        <v>0.3597222222222222</v>
      </c>
      <c r="G9" s="12">
        <v>0.41388888888888886</v>
      </c>
      <c r="H9" s="12">
        <v>0.45555555555555555</v>
      </c>
      <c r="I9" s="12">
        <v>0.49722222222222223</v>
      </c>
      <c r="J9" s="12">
        <v>0.5388888888888889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184</v>
      </c>
      <c r="B10" s="11" t="s">
        <v>185</v>
      </c>
      <c r="C10" s="12">
        <v>0.23194444444444445</v>
      </c>
      <c r="D10" s="12">
        <v>0.27847222222222223</v>
      </c>
      <c r="E10" s="12">
        <v>0.3326388888888889</v>
      </c>
      <c r="F10" s="12">
        <v>0.36180555555555555</v>
      </c>
      <c r="G10" s="12">
        <v>0.41597222222222224</v>
      </c>
      <c r="H10" s="12">
        <v>0.4576388888888889</v>
      </c>
      <c r="I10" s="12">
        <v>0.49930555555555556</v>
      </c>
      <c r="J10" s="12">
        <v>0.5409722222222222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182</v>
      </c>
      <c r="B11" s="11" t="s">
        <v>183</v>
      </c>
      <c r="C11" s="12">
        <v>0.23333333333333334</v>
      </c>
      <c r="D11" s="12">
        <v>0.2798611111111111</v>
      </c>
      <c r="E11" s="12">
        <v>0.33402777777777776</v>
      </c>
      <c r="F11" s="12">
        <v>0.36319444444444443</v>
      </c>
      <c r="G11" s="12">
        <v>0.4173611111111111</v>
      </c>
      <c r="H11" s="12">
        <v>0.45902777777777776</v>
      </c>
      <c r="I11" s="12">
        <v>0.5006944444444444</v>
      </c>
      <c r="J11" s="12">
        <v>0.5423611111111111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73</v>
      </c>
      <c r="B12" s="11" t="s">
        <v>181</v>
      </c>
      <c r="C12" s="12">
        <v>0.23541666666666666</v>
      </c>
      <c r="D12" s="12">
        <v>0.28194444444444444</v>
      </c>
      <c r="E12" s="12">
        <v>0.33611111111111114</v>
      </c>
      <c r="F12" s="12">
        <v>0.36527777777777776</v>
      </c>
      <c r="G12" s="12">
        <v>0.41944444444444445</v>
      </c>
      <c r="H12" s="12">
        <v>0.46111111111111114</v>
      </c>
      <c r="I12" s="12">
        <v>0.5027777777777778</v>
      </c>
      <c r="J12" s="12">
        <v>0.5444444444444444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75</v>
      </c>
      <c r="B13" s="11" t="s">
        <v>180</v>
      </c>
      <c r="C13" s="12">
        <v>0.23680555555555555</v>
      </c>
      <c r="D13" s="12">
        <v>0.2833333333333333</v>
      </c>
      <c r="E13" s="12">
        <v>0.3375</v>
      </c>
      <c r="F13" s="12">
        <v>0.36666666666666664</v>
      </c>
      <c r="G13" s="12">
        <v>0.42083333333333334</v>
      </c>
      <c r="H13" s="12">
        <v>0.4625</v>
      </c>
      <c r="I13" s="12">
        <v>0.5041666666666667</v>
      </c>
      <c r="J13" s="12">
        <v>0.5458333333333333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77</v>
      </c>
      <c r="B14" s="11" t="s">
        <v>179</v>
      </c>
      <c r="C14" s="12">
        <v>0.2388888888888889</v>
      </c>
      <c r="D14" s="12">
        <v>0.28541666666666665</v>
      </c>
      <c r="E14" s="12">
        <v>0.33958333333333335</v>
      </c>
      <c r="F14" s="12">
        <v>0.36875</v>
      </c>
      <c r="G14" s="12">
        <v>0.42291666666666666</v>
      </c>
      <c r="H14" s="12">
        <v>0.46458333333333335</v>
      </c>
      <c r="I14" s="12">
        <v>0.50625</v>
      </c>
      <c r="J14" s="12">
        <v>0.5479166666666667</v>
      </c>
      <c r="K14" s="12"/>
    </row>
    <row r="15">
      <c r="A15" s="1" t="s">
        <v>79</v>
      </c>
      <c r="B15" s="11" t="s">
        <v>178</v>
      </c>
      <c r="C15" s="12">
        <v>0.24027777777777778</v>
      </c>
      <c r="D15" s="12">
        <v>0.28680555555555554</v>
      </c>
      <c r="E15" s="12">
        <v>0.34097222222222223</v>
      </c>
      <c r="F15" s="12">
        <v>0.3701388888888889</v>
      </c>
      <c r="G15" s="12">
        <v>0.42430555555555555</v>
      </c>
      <c r="H15" s="12">
        <v>0.46597222222222223</v>
      </c>
      <c r="I15" s="12">
        <v>0.5076388888888889</v>
      </c>
      <c r="J15" s="12">
        <v>0.5493055555555556</v>
      </c>
      <c r="K15" s="12"/>
    </row>
    <row r="16">
      <c r="A16" s="1" t="s">
        <v>81</v>
      </c>
      <c r="B16" s="11" t="s">
        <v>177</v>
      </c>
      <c r="C16" s="12">
        <v>0.24166666666666667</v>
      </c>
      <c r="D16" s="12">
        <v>0.2881944444444444</v>
      </c>
      <c r="E16" s="12">
        <v>0.3423611111111111</v>
      </c>
      <c r="F16" s="12">
        <v>0.3715277777777778</v>
      </c>
      <c r="G16" s="12">
        <v>0.42569444444444443</v>
      </c>
      <c r="H16" s="12">
        <v>0.4673611111111111</v>
      </c>
      <c r="I16" s="12">
        <v>0.5090277777777777</v>
      </c>
      <c r="J16" s="12">
        <v>0.5506944444444445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83</v>
      </c>
      <c r="B17" s="11" t="s">
        <v>176</v>
      </c>
      <c r="C17" s="12">
        <v>0.24444444444444444</v>
      </c>
      <c r="D17" s="12">
        <v>0.29097222222222224</v>
      </c>
      <c r="E17" s="12">
        <v>0.3451388888888889</v>
      </c>
      <c r="F17" s="12">
        <v>0.37430555555555556</v>
      </c>
      <c r="G17" s="12">
        <v>0.4284722222222222</v>
      </c>
      <c r="H17" s="12">
        <v>0.4701388888888889</v>
      </c>
      <c r="I17" s="12">
        <v>0.5118055555555555</v>
      </c>
      <c r="J17" s="12">
        <v>0.5534722222222223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85</v>
      </c>
      <c r="B18" s="11" t="s">
        <v>175</v>
      </c>
      <c r="C18" s="12">
        <v>0.25</v>
      </c>
      <c r="D18" s="12">
        <v>0.2965277777777778</v>
      </c>
      <c r="E18" s="12">
        <v>0.3506944444444444</v>
      </c>
      <c r="F18" s="12">
        <v>0.3798611111111111</v>
      </c>
      <c r="G18" s="12">
        <v>0.4340277777777778</v>
      </c>
      <c r="H18" s="12">
        <v>0.4756944444444444</v>
      </c>
      <c r="I18" s="12">
        <v>0.5173611111111112</v>
      </c>
      <c r="J18" s="12">
        <v>0.5590277777777778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8"/>
      <c r="C20" s="19"/>
      <c r="D20" s="19"/>
      <c r="E20" s="19"/>
      <c r="F20" s="19"/>
      <c r="G20" s="19"/>
      <c r="H20" s="19"/>
      <c r="I20" s="19"/>
      <c r="J20" s="19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8"/>
      <c r="C32" s="19"/>
      <c r="D32" s="19"/>
      <c r="E32" s="19"/>
      <c r="F32" s="19"/>
      <c r="G32" s="19"/>
      <c r="H32" s="19"/>
      <c r="I32" s="19"/>
      <c r="J32" s="19"/>
    </row>
    <row r="33">
      <c r="B33" s="18"/>
      <c r="C33" s="19"/>
      <c r="D33" s="19"/>
      <c r="E33" s="19"/>
      <c r="F33" s="19"/>
      <c r="G33" s="19"/>
      <c r="H33" s="19"/>
      <c r="I33" s="19"/>
      <c r="J33" s="19"/>
    </row>
    <row r="34">
      <c r="B34" s="18"/>
      <c r="C34" s="19"/>
      <c r="D34" s="19"/>
      <c r="E34" s="19"/>
      <c r="F34" s="19"/>
      <c r="G34" s="19"/>
      <c r="H34" s="19"/>
      <c r="I34" s="19"/>
      <c r="J34" s="19"/>
    </row>
    <row r="35">
      <c r="B35" s="18"/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/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/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/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/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/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/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/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/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45590.0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2677.0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8" t="s">
        <v>220</v>
      </c>
      <c r="C3" s="9">
        <v>0.7291666666666666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221</v>
      </c>
      <c r="C4" s="12">
        <v>0.7347222222222223</v>
      </c>
      <c r="D4" s="12"/>
      <c r="E4" s="12"/>
      <c r="F4" s="12"/>
      <c r="G4" s="12"/>
      <c r="H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69</v>
      </c>
      <c r="B5" s="11" t="s">
        <v>222</v>
      </c>
      <c r="C5" s="12">
        <v>0.7368055555555556</v>
      </c>
      <c r="D5" s="12"/>
      <c r="E5" s="12"/>
      <c r="F5" s="12"/>
      <c r="G5" s="12"/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223</v>
      </c>
      <c r="B6" s="11" t="s">
        <v>224</v>
      </c>
      <c r="C6" s="12">
        <v>0.7430555555555556</v>
      </c>
      <c r="D6" s="12"/>
      <c r="E6" s="12"/>
      <c r="F6" s="12"/>
      <c r="G6" s="12"/>
      <c r="H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225</v>
      </c>
      <c r="B7" s="11" t="s">
        <v>226</v>
      </c>
      <c r="C7" s="12">
        <v>0.7458333333333333</v>
      </c>
      <c r="D7" s="12"/>
      <c r="E7" s="12"/>
      <c r="F7" s="12"/>
      <c r="G7" s="12"/>
      <c r="H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227</v>
      </c>
      <c r="B8" s="11" t="s">
        <v>228</v>
      </c>
      <c r="C8" s="12">
        <v>0.7493055555555556</v>
      </c>
      <c r="D8" s="12"/>
      <c r="E8" s="12"/>
      <c r="F8" s="12"/>
      <c r="G8" s="12"/>
      <c r="H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229</v>
      </c>
      <c r="B9" s="11" t="s">
        <v>230</v>
      </c>
      <c r="C9" s="12">
        <v>0.7513888888888889</v>
      </c>
      <c r="D9" s="12"/>
      <c r="E9" s="12"/>
      <c r="F9" s="12"/>
      <c r="G9" s="12"/>
      <c r="H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27</v>
      </c>
      <c r="B10" s="11" t="s">
        <v>231</v>
      </c>
      <c r="C10" s="12">
        <v>0.7548611111111111</v>
      </c>
      <c r="D10" s="12"/>
      <c r="E10" s="12"/>
      <c r="F10" s="12"/>
      <c r="G10" s="12"/>
      <c r="H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232</v>
      </c>
      <c r="B11" s="11" t="s">
        <v>233</v>
      </c>
      <c r="C11" s="12">
        <v>0.7618055555555555</v>
      </c>
      <c r="D11" s="12"/>
      <c r="E11" s="12"/>
      <c r="F11" s="12"/>
      <c r="G11" s="12"/>
      <c r="H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234</v>
      </c>
      <c r="B12" s="11" t="s">
        <v>235</v>
      </c>
      <c r="C12" s="12">
        <v>0.7666666666666667</v>
      </c>
      <c r="D12" s="12"/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236</v>
      </c>
      <c r="B13" s="11" t="s">
        <v>237</v>
      </c>
      <c r="C13" s="12">
        <v>0.7701388888888889</v>
      </c>
      <c r="D13" s="12"/>
      <c r="E13" s="12"/>
      <c r="F13" s="12"/>
      <c r="G13" s="12"/>
      <c r="H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238</v>
      </c>
      <c r="B14" s="11" t="s">
        <v>239</v>
      </c>
      <c r="C14" s="12">
        <v>0.7777777777777778</v>
      </c>
      <c r="D14" s="12"/>
      <c r="E14" s="12"/>
      <c r="F14" s="12"/>
      <c r="G14" s="12"/>
      <c r="H14" s="12"/>
      <c r="J14" s="12"/>
      <c r="K14" s="12"/>
    </row>
    <row r="15">
      <c r="A15" s="1" t="s">
        <v>240</v>
      </c>
      <c r="B15" s="11" t="s">
        <v>241</v>
      </c>
      <c r="C15" s="12">
        <v>0.7847222222222222</v>
      </c>
      <c r="D15" s="12"/>
      <c r="E15" s="12"/>
      <c r="F15" s="12"/>
      <c r="G15" s="12"/>
      <c r="H15" s="12"/>
      <c r="J15" s="12"/>
      <c r="K15" s="12"/>
    </row>
    <row r="16">
      <c r="A16" s="1" t="s">
        <v>242</v>
      </c>
      <c r="B16" s="11" t="s">
        <v>243</v>
      </c>
      <c r="C16" s="12">
        <v>0.7881944444444444</v>
      </c>
      <c r="D16" s="12"/>
      <c r="E16" s="12"/>
      <c r="F16" s="12"/>
      <c r="G16" s="12"/>
      <c r="H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244</v>
      </c>
      <c r="B17" s="11" t="s">
        <v>245</v>
      </c>
      <c r="C17" s="12">
        <v>0.7923611111111111</v>
      </c>
      <c r="D17" s="12"/>
      <c r="E17" s="12"/>
      <c r="F17" s="12"/>
      <c r="G17" s="12"/>
      <c r="H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246</v>
      </c>
      <c r="B18" s="11" t="s">
        <v>247</v>
      </c>
      <c r="C18" s="12">
        <v>0.7965277777777777</v>
      </c>
      <c r="D18" s="12"/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248</v>
      </c>
      <c r="B19" s="11" t="s">
        <v>249</v>
      </c>
      <c r="C19" s="12">
        <v>0.8055555555555556</v>
      </c>
      <c r="D19" s="12"/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250</v>
      </c>
      <c r="B20" s="16" t="s">
        <v>251</v>
      </c>
      <c r="C20" s="17">
        <v>0.8118055555555556</v>
      </c>
      <c r="D20" s="17"/>
      <c r="E20" s="16"/>
      <c r="F20" s="16"/>
      <c r="G20" s="16"/>
      <c r="H20" s="16"/>
      <c r="I20" s="16"/>
      <c r="J20" s="12"/>
      <c r="K20" s="12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252</v>
      </c>
      <c r="B21" s="16" t="s">
        <v>253</v>
      </c>
      <c r="C21" s="17">
        <v>0.8208333333333333</v>
      </c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254</v>
      </c>
      <c r="B22" s="16" t="s">
        <v>255</v>
      </c>
      <c r="C22" s="17">
        <v>0.8263888888888888</v>
      </c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254</v>
      </c>
      <c r="B3" s="8" t="s">
        <v>255</v>
      </c>
      <c r="C3" s="9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252</v>
      </c>
      <c r="B4" s="90" t="s">
        <v>253</v>
      </c>
      <c r="C4" s="9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250</v>
      </c>
      <c r="B5" s="90" t="s">
        <v>251</v>
      </c>
      <c r="C5" s="9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256</v>
      </c>
      <c r="B6" s="90" t="s">
        <v>249</v>
      </c>
      <c r="C6" s="9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246</v>
      </c>
      <c r="B7" s="90" t="s">
        <v>247</v>
      </c>
      <c r="C7" s="9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244</v>
      </c>
      <c r="B8" s="90" t="s">
        <v>245</v>
      </c>
      <c r="C8" s="9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242</v>
      </c>
      <c r="B9" s="90" t="s">
        <v>243</v>
      </c>
      <c r="C9" s="9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240</v>
      </c>
      <c r="B10" s="13" t="s">
        <v>241</v>
      </c>
      <c r="C10" s="9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238</v>
      </c>
      <c r="B11" s="13" t="s">
        <v>239</v>
      </c>
      <c r="C11" s="9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236</v>
      </c>
      <c r="B12" s="13" t="s">
        <v>237</v>
      </c>
      <c r="C12" s="9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234</v>
      </c>
      <c r="B13" s="14" t="s">
        <v>235</v>
      </c>
      <c r="C13" s="9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232</v>
      </c>
      <c r="B14" s="11" t="s">
        <v>233</v>
      </c>
      <c r="C14" s="9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27</v>
      </c>
      <c r="B15" s="11" t="s">
        <v>231</v>
      </c>
      <c r="C15" s="9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229</v>
      </c>
      <c r="B16" s="90" t="s">
        <v>230</v>
      </c>
      <c r="C16" s="9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227</v>
      </c>
      <c r="B17" s="90" t="s">
        <v>228</v>
      </c>
      <c r="C17" s="9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225</v>
      </c>
      <c r="B18" s="11" t="s">
        <v>226</v>
      </c>
      <c r="C18" s="9">
        <v>0.30972222222222223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223</v>
      </c>
      <c r="B19" s="11" t="s">
        <v>224</v>
      </c>
      <c r="C19" s="9">
        <v>0.31527777777777777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6" t="s">
        <v>69</v>
      </c>
      <c r="B20" s="19" t="s">
        <v>222</v>
      </c>
      <c r="C20" s="9">
        <v>0.32013888888888886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71</v>
      </c>
      <c r="B21" s="16" t="s">
        <v>221</v>
      </c>
      <c r="C21" s="9">
        <v>0.32430555555555557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85</v>
      </c>
      <c r="B22" s="19" t="s">
        <v>220</v>
      </c>
      <c r="C22" s="9">
        <v>0.3263888888888889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92"/>
      <c r="B23" s="19"/>
      <c r="C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G32" s="16"/>
      <c r="H32" s="16"/>
      <c r="I32" s="16"/>
      <c r="J32" s="16"/>
    </row>
    <row r="33">
      <c r="C33" s="19"/>
      <c r="G33" s="19"/>
      <c r="H33" s="19"/>
      <c r="I33" s="19"/>
      <c r="J33" s="19"/>
    </row>
    <row r="34">
      <c r="C34" s="19"/>
      <c r="G34" s="19"/>
      <c r="H34" s="19"/>
      <c r="I34" s="19"/>
      <c r="J34" s="19"/>
    </row>
    <row r="35">
      <c r="C35" s="19"/>
      <c r="G35" s="19"/>
      <c r="H35" s="19"/>
      <c r="I35" s="19"/>
      <c r="J35" s="19"/>
    </row>
    <row r="36">
      <c r="B36" s="20"/>
      <c r="C36" s="16"/>
      <c r="G36" s="16"/>
      <c r="H36" s="16"/>
      <c r="I36" s="16"/>
      <c r="J36" s="16"/>
    </row>
    <row r="37">
      <c r="A37" s="18"/>
      <c r="B37" s="16"/>
      <c r="C37" s="16"/>
      <c r="G37" s="16"/>
      <c r="H37" s="16"/>
      <c r="I37" s="16"/>
      <c r="J37" s="16"/>
    </row>
    <row r="38">
      <c r="A38" s="18"/>
      <c r="B38" s="16"/>
      <c r="C38" s="16"/>
      <c r="G38" s="16"/>
      <c r="H38" s="16"/>
      <c r="I38" s="16"/>
      <c r="J38" s="16"/>
    </row>
    <row r="39">
      <c r="A39" s="18"/>
      <c r="B39" s="19"/>
      <c r="C39" s="19"/>
      <c r="G39" s="19"/>
      <c r="H39" s="19"/>
      <c r="I39" s="19"/>
      <c r="J39" s="19"/>
    </row>
    <row r="40">
      <c r="A40" s="18"/>
      <c r="B40" s="19"/>
      <c r="C40" s="19"/>
      <c r="G40" s="19"/>
      <c r="H40" s="19"/>
      <c r="I40" s="19"/>
      <c r="J40" s="19"/>
    </row>
    <row r="41">
      <c r="A41" s="18"/>
      <c r="B41" s="16"/>
      <c r="C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2661.0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85</v>
      </c>
      <c r="B3" s="8" t="s">
        <v>220</v>
      </c>
      <c r="C3" s="9">
        <v>0.5763888888888888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71</v>
      </c>
      <c r="B4" s="11" t="s">
        <v>221</v>
      </c>
      <c r="C4" s="12">
        <v>0.5784722222222223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69</v>
      </c>
      <c r="B5" s="11" t="s">
        <v>222</v>
      </c>
      <c r="C5" s="12">
        <v>0.5819444444444445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223</v>
      </c>
      <c r="B6" s="11" t="s">
        <v>224</v>
      </c>
      <c r="C6" s="12">
        <v>0.5875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225</v>
      </c>
      <c r="B7" s="11" t="s">
        <v>226</v>
      </c>
      <c r="C7" s="12">
        <v>0.5923611111111111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227</v>
      </c>
      <c r="B8" s="11" t="s">
        <v>228</v>
      </c>
      <c r="C8" s="12">
        <v>0.5972222222222222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229</v>
      </c>
      <c r="B9" s="11" t="s">
        <v>230</v>
      </c>
      <c r="C9" s="12">
        <v>0.5993055555555555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27</v>
      </c>
      <c r="B10" s="11" t="s">
        <v>231</v>
      </c>
      <c r="C10" s="12">
        <v>0.6048611111111111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232</v>
      </c>
      <c r="B11" s="11" t="s">
        <v>233</v>
      </c>
      <c r="C11" s="12">
        <v>0.6118055555555556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234</v>
      </c>
      <c r="B12" s="11" t="s">
        <v>235</v>
      </c>
      <c r="C12" s="12">
        <v>0.6166666666666667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236</v>
      </c>
      <c r="B13" s="11" t="s">
        <v>237</v>
      </c>
      <c r="C13" s="12">
        <v>0.6201388888888889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238</v>
      </c>
      <c r="B14" s="11" t="s">
        <v>239</v>
      </c>
      <c r="C14" s="12">
        <v>0.625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240</v>
      </c>
      <c r="B15" s="11" t="s">
        <v>241</v>
      </c>
      <c r="C15" s="12">
        <v>0.6319444444444444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242</v>
      </c>
      <c r="B16" s="11" t="s">
        <v>243</v>
      </c>
      <c r="C16" s="12">
        <v>0.6354166666666666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244</v>
      </c>
      <c r="B17" s="11" t="s">
        <v>245</v>
      </c>
      <c r="C17" s="12">
        <v>0.6395833333333333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246</v>
      </c>
      <c r="B18" s="11" t="s">
        <v>247</v>
      </c>
      <c r="C18" s="12">
        <v>0.64375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248</v>
      </c>
      <c r="B19" s="11" t="s">
        <v>249</v>
      </c>
      <c r="C19" s="12">
        <v>0.6527777777777778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6" t="s">
        <v>250</v>
      </c>
      <c r="B20" s="16" t="s">
        <v>251</v>
      </c>
      <c r="C20" s="17">
        <v>0.6590277777777778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252</v>
      </c>
      <c r="B21" s="16" t="s">
        <v>253</v>
      </c>
      <c r="C21" s="17">
        <v>0.6680555555555555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254</v>
      </c>
      <c r="B22" s="16" t="s">
        <v>255</v>
      </c>
      <c r="C22" s="17">
        <v>0.6736111111111112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1" t="s">
        <v>1</v>
      </c>
      <c r="D1" s="8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2632.0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254</v>
      </c>
      <c r="B3" s="8" t="s">
        <v>255</v>
      </c>
      <c r="C3" s="12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252</v>
      </c>
      <c r="B4" s="90" t="s">
        <v>253</v>
      </c>
      <c r="C4" s="12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250</v>
      </c>
      <c r="B5" s="90" t="s">
        <v>251</v>
      </c>
      <c r="C5" s="12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256</v>
      </c>
      <c r="B6" s="90" t="s">
        <v>249</v>
      </c>
      <c r="C6" s="12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246</v>
      </c>
      <c r="B7" s="90" t="s">
        <v>247</v>
      </c>
      <c r="C7" s="12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244</v>
      </c>
      <c r="B8" s="90" t="s">
        <v>245</v>
      </c>
      <c r="C8" s="12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242</v>
      </c>
      <c r="B9" s="90" t="s">
        <v>243</v>
      </c>
      <c r="C9" s="12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240</v>
      </c>
      <c r="B10" s="13" t="s">
        <v>241</v>
      </c>
      <c r="C10" s="12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238</v>
      </c>
      <c r="B11" s="13" t="s">
        <v>239</v>
      </c>
      <c r="C11" s="12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236</v>
      </c>
      <c r="B12" s="13" t="s">
        <v>237</v>
      </c>
      <c r="C12" s="12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234</v>
      </c>
      <c r="B13" s="14" t="s">
        <v>235</v>
      </c>
      <c r="C13" s="12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232</v>
      </c>
      <c r="B14" s="11" t="s">
        <v>233</v>
      </c>
      <c r="C14" s="12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27</v>
      </c>
      <c r="B15" s="11" t="s">
        <v>231</v>
      </c>
      <c r="C15" s="12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229</v>
      </c>
      <c r="B16" s="90" t="s">
        <v>230</v>
      </c>
      <c r="C16" s="12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227</v>
      </c>
      <c r="B17" s="90" t="s">
        <v>228</v>
      </c>
      <c r="C17" s="12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225</v>
      </c>
      <c r="B18" s="11" t="s">
        <v>226</v>
      </c>
      <c r="C18" s="12">
        <v>0.30972222222222223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223</v>
      </c>
      <c r="B19" s="11" t="s">
        <v>224</v>
      </c>
      <c r="C19" s="12">
        <v>0.31527777777777777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86" t="s">
        <v>69</v>
      </c>
      <c r="B20" s="19" t="s">
        <v>222</v>
      </c>
      <c r="C20" s="12">
        <v>0.32013888888888886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71</v>
      </c>
      <c r="B21" s="16" t="s">
        <v>221</v>
      </c>
      <c r="C21" s="12">
        <v>0.32430555555555557</v>
      </c>
      <c r="D21" s="16"/>
      <c r="E21" s="17"/>
      <c r="F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85</v>
      </c>
      <c r="B22" s="19" t="s">
        <v>220</v>
      </c>
      <c r="C22" s="12">
        <v>0.3263888888888889</v>
      </c>
      <c r="D22" s="17"/>
      <c r="E22" s="17"/>
      <c r="F22" s="17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6"/>
      <c r="H23" s="19"/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7"/>
      <c r="I32" s="17"/>
      <c r="J32" s="16"/>
    </row>
    <row r="33">
      <c r="C33" s="19"/>
      <c r="D33" s="19"/>
      <c r="E33" s="19"/>
      <c r="F33" s="19"/>
      <c r="G33" s="16"/>
      <c r="H33" s="17"/>
      <c r="I33" s="17"/>
      <c r="J33" s="19"/>
    </row>
    <row r="34">
      <c r="C34" s="19"/>
      <c r="D34" s="19"/>
      <c r="E34" s="19"/>
      <c r="F34" s="19"/>
      <c r="G34" s="16"/>
      <c r="H34" s="17"/>
      <c r="I34" s="17"/>
      <c r="J34" s="19"/>
    </row>
    <row r="35">
      <c r="C35" s="19"/>
      <c r="D35" s="19"/>
      <c r="E35" s="19"/>
      <c r="F35" s="19"/>
      <c r="G35" s="16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9"/>
      <c r="I36" s="19"/>
      <c r="J36" s="16"/>
    </row>
    <row r="37">
      <c r="A37" s="18"/>
      <c r="B37" s="16"/>
      <c r="C37" s="16"/>
      <c r="D37" s="16"/>
      <c r="E37" s="16"/>
      <c r="F37" s="16"/>
      <c r="G37" s="16"/>
      <c r="H37" s="19"/>
      <c r="I37" s="19"/>
      <c r="J37" s="16"/>
    </row>
    <row r="38">
      <c r="A38" s="18"/>
      <c r="B38" s="16"/>
      <c r="C38" s="16"/>
      <c r="D38" s="16"/>
      <c r="E38" s="16"/>
      <c r="F38" s="16"/>
      <c r="G38" s="16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6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6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9"/>
      <c r="I41" s="19"/>
      <c r="J41" s="16"/>
    </row>
    <row r="42">
      <c r="A42" s="18"/>
      <c r="B42" s="16"/>
      <c r="C42" s="16"/>
      <c r="D42" s="16"/>
      <c r="E42" s="16"/>
      <c r="F42" s="16"/>
      <c r="G42" s="19"/>
      <c r="H42" s="19"/>
      <c r="I42" s="19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