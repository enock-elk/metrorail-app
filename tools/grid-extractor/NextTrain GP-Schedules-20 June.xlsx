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<sst xmlns="http://schemas.openxmlformats.org/spreadsheetml/2006/main" count="2936" uniqueCount="598">
  <si>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</si>
  <si>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</si>
  <si>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</si>
  <si>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</si>
  <si>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</si>
  <si>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</si>
  <si>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</si>
  <si>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</si>
  <si>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</si>
  <si>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</si>
  <si>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</si>
  <si>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</si>
  <si>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</si>
  <si>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</si>
  <si>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</si>
  <si>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</si>
  <si>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</si>
  <si>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</si>
  <si>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</si>
  <si>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</si>
  <si>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</si>
  <si>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</si>
  <si>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</si>
  <si>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</si>
  <si>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</si>
  <si>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</si>
  <si>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</si>
  <si>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</si>
  <si>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</si>
  <si>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</si>
  <si>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</si>
  <si>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</si>
  <si>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</si>
  <si>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</si>
  <si>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</si>
  <si>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</si>
  <si>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</si>
  <si>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</si>
  <si>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</si>
  <si>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</si>
  <si>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</si>
  <si>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</si>
  <si>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</si>
  <si>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</si>
  <si>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</si>
  <si>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</si>
  <si>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</si>
  <si>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</si>
  <si>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</si>
  <si>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</si>
  <si>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</si>
  <si>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</si>
  <si>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</si>
  <si>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</si>
  <si>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</si>
  <si>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</si>
  <si>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</si>
  <si>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</si>
  <si>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</si>
  <si>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</si>
  <si>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</si>
  <si>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</si>
  <si>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</si>
  <si>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</si>
  <si>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</si>
  <si>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</si>
  <si>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</si>
  <si>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</si>
  <si>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</si>
  <si>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</si>
  <si>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</si>
  <si>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</si>
  <si>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</si>
  <si>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</si>
  <si>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</si>
  <si>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</si>
  <si>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</si>
  <si>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</si>
  <si>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</si>
  <si>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</si>
  <si>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</si>
  <si>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</si>
  <si>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</si>
  <si>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</si>
  <si>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</si>
  <si>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</si>
  <si>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</si>
  <si>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</si>
  <si>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</si>
  <si>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</si>
  <si>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</si>
  <si>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</si>
  <si>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</si>
  <si>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</si>
  <si>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</si>
  <si>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</si>
  <si>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</si>
  <si>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</si>
  <si>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</si>
  <si>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</si>
  <si>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</si>
  <si>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</si>
  <si>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</si>
  <si>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</si>
  <si>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</si>
  <si>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</si>
  <si>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</si>
  <si>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</si>
  <si>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</si>
  <si>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</si>
  <si>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</si>
  <si>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</si>
  <si>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</si>
  <si>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</si>
  <si>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</si>
  <si>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</si>
  <si>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</si>
  <si>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</si>
  <si>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</si>
  <si>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</si>
  <si>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</si>
  <si>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</si>
  <si>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</si>
  <si>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</si>
  <si>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</si>
  <si>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</si>
  <si>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</si>
  <si>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</si>
  <si>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</si>
  <si>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</si>
  <si>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</si>
  <si>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</si>
  <si>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</si>
  <si>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</si>
  <si>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</si>
  <si>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</si>
  <si>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</si>
  <si>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</si>
  <si>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</si>
  <si>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</si>
  <si>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</si>
  <si>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</si>
  <si>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</si>
  <si>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</si>
  <si>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</si>
  <si>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</si>
  <si>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</si>
  <si>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</si>
  <si>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</si>
  <si>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</si>
  <si>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</si>
  <si>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</si>
  <si>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</si>
  <si>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</si>
  <si>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</si>
  <si>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SAULSVILLE</t>
  </si>
  <si>
    <t>ATTERIDGEVILLE</t>
  </si>
  <si>
    <t>KALAFONG</t>
  </si>
  <si>
    <t>COR DELFOS</t>
  </si>
  <si>
    <t>ELECTRO</t>
  </si>
  <si>
    <t>REBECCA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</si>
  <si>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</si>
  <si>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</si>
  <si>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</si>
  <si>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</si>
  <si>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</si>
  <si>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</si>
  <si>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</si>
  <si>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</si>
  <si>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</si>
  <si>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</si>
  <si>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</si>
  <si>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</si>
  <si>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</si>
  <si>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</si>
  <si>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</si>
  <si>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</si>
  <si>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</si>
  <si>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</si>
  <si>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</si>
  <si>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</si>
  <si>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</si>
  <si>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</si>
  <si>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</si>
  <si>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</si>
  <si>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</si>
  <si>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</si>
  <si>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</si>
  <si>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</si>
  <si>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</si>
  <si>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</si>
  <si>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</si>
  <si>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</si>
  <si>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</si>
  <si>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</si>
  <si>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</si>
  <si>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</si>
  <si>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</si>
  <si>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</si>
  <si>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</si>
  <si>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</si>
  <si>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</si>
  <si>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</si>
  <si>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</si>
  <si>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</si>
  <si>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</si>
  <si>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</si>
  <si>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</si>
  <si>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</si>
  <si>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</si>
  <si>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</si>
  <si>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</si>
  <si>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</si>
  <si>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</si>
  <si>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</si>
  <si>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</si>
  <si>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</si>
  <si>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</si>
  <si>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</si>
  <si>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</si>
  <si>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</si>
  <si>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</si>
  <si>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</si>
  <si>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</si>
  <si>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</si>
  <si>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</si>
  <si>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</si>
  <si>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</si>
  <si>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</si>
  <si>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</si>
  <si>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</si>
  <si>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</si>
  <si>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</si>
  <si>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</si>
  <si>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9121b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</si>
  <si>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</si>
  <si>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</si>
  <si>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</si>
  <si>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</si>
  <si>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</si>
  <si>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</si>
  <si>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</si>
  <si>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</si>
  <si>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</si>
  <si>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</si>
  <si>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</si>
  <si>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</si>
  <si>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</si>
  <si>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</si>
  <si>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</si>
  <si>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</si>
  <si>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</si>
  <si>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</si>
  <si>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</si>
  <si>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</si>
  <si>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</si>
  <si>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</si>
  <si>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</si>
  <si>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</si>
  <si>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</si>
  <si>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</si>
  <si>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</si>
  <si>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</si>
  <si>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</si>
  <si>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</si>
  <si>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</si>
  <si>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</si>
  <si>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</si>
  <si>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</si>
  <si>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</si>
  <si>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</si>
  <si>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</si>
  <si>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</si>
  <si>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</si>
  <si>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</si>
  <si>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</si>
  <si>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</si>
  <si>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</si>
  <si>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</si>
  <si>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</si>
  <si>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</si>
  <si>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</si>
  <si>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</si>
  <si>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</si>
  <si>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</si>
  <si>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</si>
  <si>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</si>
  <si>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</si>
  <si>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</si>
  <si>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</si>
  <si>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</si>
  <si>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</si>
  <si>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</si>
  <si>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</si>
  <si>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</si>
  <si>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</si>
  <si>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</si>
  <si>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</si>
  <si>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</si>
  <si>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</si>
  <si>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</si>
  <si>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</si>
  <si>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</si>
  <si>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</si>
  <si>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</si>
  <si>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</si>
  <si>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</si>
  <si>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</si>
  <si>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</si>
  <si>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</si>
  <si>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</si>
  <si>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</si>
  <si>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</si>
  <si>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</si>
  <si>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</si>
  <si>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</si>
  <si>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</si>
  <si>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</si>
  <si>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</si>
  <si>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</si>
  <si>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</si>
  <si>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</si>
  <si>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</si>
  <si>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</si>
  <si>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</si>
  <si>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</si>
  <si>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</si>
  <si>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</si>
  <si>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</si>
  <si>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</si>
  <si>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</si>
  <si>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</si>
  <si>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</si>
  <si>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</si>
  <si>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</si>
  <si>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</si>
  <si>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</si>
  <si>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</si>
  <si>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</si>
  <si>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</si>
  <si>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</si>
  <si>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</si>
  <si>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</si>
  <si>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</si>
  <si>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</si>
  <si>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</si>
  <si>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</si>
  <si>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</si>
  <si>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</si>
  <si>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</si>
  <si>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</si>
  <si>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</si>
  <si>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</si>
  <si>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</si>
  <si>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</si>
  <si>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</si>
  <si>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</si>
  <si>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</si>
  <si>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</si>
  <si>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</si>
  <si>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</si>
  <si>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</si>
  <si>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</si>
  <si>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</si>
  <si>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</si>
  <si>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</si>
  <si>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</si>
  <si>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</si>
  <si>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</si>
  <si>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</si>
  <si>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</si>
  <si>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</si>
  <si>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</si>
  <si>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</si>
  <si>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</si>
  <si>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-25.758140068440945, 28.153531689466263</t>
  </si>
  <si>
    <t>-25.761019788942832, 28.14543245780906</t>
  </si>
  <si>
    <t>-25.766926398225326, 28.132950724454595</t>
  </si>
  <si>
    <t>-25.760158250653994, 28.088193742988445</t>
  </si>
  <si>
    <t>-25.76284784698717, 28.07501926678321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</si>
  <si>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</si>
  <si>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</si>
  <si>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</si>
  <si>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</si>
  <si>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</si>
  <si>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</si>
  <si>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</si>
  <si>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</si>
  <si>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</si>
  <si>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</si>
  <si>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</si>
  <si>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</si>
  <si>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</si>
  <si>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</si>
  <si>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</si>
  <si>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</si>
  <si>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</si>
  <si>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</si>
  <si>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</si>
  <si>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</si>
  <si>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</si>
  <si>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</si>
  <si>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</si>
  <si>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</si>
  <si>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</si>
  <si>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</si>
  <si>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</si>
  <si>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</si>
  <si>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</si>
  <si>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</si>
  <si>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</si>
  <si>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</si>
  <si>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</si>
  <si>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</si>
  <si>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</si>
  <si>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</si>
  <si>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</si>
  <si>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</si>
  <si>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</si>
  <si>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</si>
  <si>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</si>
  <si>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</si>
  <si>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</si>
  <si>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</si>
  <si>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</si>
  <si>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</si>
  <si>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</si>
  <si>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</si>
  <si>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</si>
  <si>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</si>
  <si>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</si>
  <si>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</si>
  <si>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</si>
  <si>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</si>
  <si>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</si>
  <si>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</si>
  <si>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</si>
  <si>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</si>
  <si>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</si>
  <si>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</si>
  <si>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</si>
  <si>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</si>
  <si>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</si>
  <si>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</si>
  <si>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</si>
  <si>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</si>
  <si>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</si>
  <si>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</si>
  <si>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</si>
  <si>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</si>
  <si>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</si>
  <si>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</si>
  <si>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</si>
  <si>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</si>
  <si>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</si>
  <si>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</si>
  <si>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</si>
  <si>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</si>
  <si>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</si>
  <si>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</si>
  <si>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</si>
  <si>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</si>
  <si>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</si>
  <si>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</si>
  <si>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</si>
  <si>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</si>
  <si>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</si>
  <si>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</si>
  <si>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</si>
  <si>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</si>
  <si>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</si>
  <si>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</si>
  <si>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</si>
  <si>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</si>
  <si>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</si>
  <si>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</si>
  <si>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</si>
  <si>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</si>
  <si>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</si>
  <si>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</si>
  <si>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</si>
  <si>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</si>
  <si>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</si>
  <si>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</si>
  <si>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</si>
  <si>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</si>
  <si>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</si>
  <si>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</si>
  <si>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</si>
  <si>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</si>
  <si>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</si>
  <si>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</si>
  <si>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</si>
  <si>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</si>
  <si>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</si>
  <si>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</si>
  <si>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</si>
  <si>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</si>
  <si>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</si>
  <si>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</si>
  <si>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</si>
  <si>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</si>
  <si>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</si>
  <si>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</si>
  <si>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</si>
  <si>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</si>
  <si>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</si>
  <si>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</si>
  <si>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</si>
  <si>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</si>
  <si>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</si>
  <si>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</si>
  <si>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</si>
  <si>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</si>
  <si>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</si>
  <si>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</si>
  <si>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</si>
  <si>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</si>
  <si>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</si>
  <si>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</si>
  <si>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</si>
  <si>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</si>
  <si>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</si>
  <si>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</si>
  <si>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</si>
  <si>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</si>
  <si>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</si>
  <si>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</si>
  <si>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</si>
  <si>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</si>
  <si>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</si>
  <si>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</si>
  <si>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</si>
  <si>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</si>
  <si>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</si>
  <si>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</si>
  <si>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</si>
  <si>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</si>
  <si>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</si>
  <si>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</si>
  <si>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</si>
  <si>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</si>
  <si>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</si>
  <si>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</si>
  <si>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</si>
  <si>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</si>
  <si>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</si>
  <si>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</si>
  <si>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</si>
  <si>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</si>
  <si>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</si>
  <si>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</si>
  <si>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</si>
  <si>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</si>
  <si>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</si>
  <si>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</si>
  <si>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</si>
  <si>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</si>
  <si>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</si>
  <si>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</si>
  <si>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</si>
  <si>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</si>
  <si>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</si>
  <si>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</si>
  <si>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</si>
  <si>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</si>
  <si>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</si>
  <si>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</si>
  <si>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</si>
  <si>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</si>
  <si>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</si>
  <si>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</si>
  <si>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</si>
  <si>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</si>
  <si>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</si>
  <si>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</si>
  <si>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</si>
  <si>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</si>
  <si>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</si>
  <si>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</si>
  <si>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</si>
  <si>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</si>
  <si>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</si>
  <si>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</si>
  <si>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</si>
  <si>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LENZ</t>
  </si>
  <si>
    <t>-26.319519733948702, 27.82296719973482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</si>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</sst>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  <font>
      <color rgb="FF1F1F1F"/>
      <name val="Google Sans"/>
    </font>
    <font>
      <sz val="11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9" fillId="0" fontId="12" numFmtId="0" xfId="0" applyAlignment="1" applyBorder="1" applyFont="1">
      <alignment horizontal="right" vertical="bottom"/>
    </xf>
    <xf borderId="0" fillId="2" fontId="8" numFmtId="165" xfId="0" applyAlignment="1" applyFont="1" applyNumberFormat="1">
      <alignment horizontal="right" vertical="bottom"/>
    </xf>
    <xf borderId="0" fillId="2" fontId="8" numFmtId="165" xfId="0" applyAlignment="1" applyFont="1" applyNumberFormat="1">
      <alignment vertical="bottom"/>
    </xf>
    <xf borderId="0" fillId="2" fontId="8" numFmtId="21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5" xfId="0" applyAlignment="1" applyFont="1" applyNumberFormat="1">
      <alignment vertical="bottom"/>
    </xf>
    <xf borderId="0" fillId="0" fontId="19" numFmtId="164" xfId="0" applyAlignment="1" applyFont="1" applyNumberFormat="1">
      <alignment horizontal="left" readingOrder="0"/>
    </xf>
    <xf borderId="0" fillId="5" fontId="2" numFmtId="0" xfId="0" applyAlignment="1" applyFont="1">
      <alignment readingOrder="0"/>
    </xf>
    <xf borderId="0" fillId="7" fontId="2" numFmtId="0" xfId="0" applyFont="1"/>
    <xf borderId="0" fillId="10" fontId="8" numFmtId="21" xfId="0" applyAlignment="1" applyFont="1" applyNumberFormat="1">
      <alignment horizontal="right" vertical="bottom"/>
    </xf>
    <xf borderId="0" fillId="10" fontId="8" numFmtId="0" xfId="0" applyAlignment="1" applyFont="1">
      <alignment horizontal="right" readingOrder="0" vertical="bottom"/>
    </xf>
    <xf borderId="0" fillId="10" fontId="8" numFmtId="20" xfId="0" applyAlignment="1" applyFont="1" applyNumberFormat="1">
      <alignment horizontal="right" readingOrder="0" vertical="bottom"/>
    </xf>
    <xf borderId="0" fillId="10" fontId="8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0" fontId="12" numFmtId="0" xfId="0" applyAlignment="1" applyFont="1">
      <alignment horizontal="right" vertical="bottom"/>
    </xf>
    <xf borderId="0" fillId="2" fontId="8" numFmtId="20" xfId="0" applyAlignment="1" applyFont="1" applyNumberFormat="1">
      <alignment vertical="bottom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3" numFmtId="0" xfId="0" applyFont="1"/>
    <xf borderId="0" fillId="0" fontId="3" numFmtId="21" xfId="0" applyFont="1" applyNumberFormat="1"/>
    <xf borderId="0" fillId="0" fontId="20" numFmtId="21" xfId="0" applyAlignment="1" applyFont="1" applyNumberFormat="1">
      <alignment horizontal="right" vertical="bottom"/>
    </xf>
    <xf borderId="0" fillId="0" fontId="8" numFmtId="20" xfId="0" applyAlignment="1" applyFont="1" applyNumberFormat="1">
      <alignment vertical="bottom"/>
    </xf>
    <xf borderId="0" fillId="0" fontId="2" numFmtId="0" xfId="0" applyFont="1"/>
    <xf borderId="0" fillId="7" fontId="2" numFmtId="21" xfId="0" applyFont="1" applyNumberFormat="1"/>
    <xf borderId="0" fillId="7" fontId="2" numFmtId="21" xfId="0" applyAlignment="1" applyFont="1" applyNumberFormat="1">
      <alignment readingOrder="0"/>
    </xf>
    <xf borderId="0" fillId="13" fontId="1" numFmtId="0" xfId="0" applyAlignment="1" applyFill="1" applyFont="1">
      <alignment readingOrder="0"/>
    </xf>
    <xf borderId="0" fillId="13" fontId="2" numFmtId="21" xfId="0" applyFont="1" applyNumberFormat="1"/>
    <xf borderId="0" fillId="13" fontId="2" numFmtId="0" xfId="0" applyFont="1"/>
    <xf borderId="0" fillId="2" fontId="8" numFmtId="0" xfId="0" applyAlignment="1" applyFont="1">
      <alignment readingOrder="0" vertical="bottom"/>
    </xf>
    <xf borderId="0" fillId="2" fontId="8" numFmtId="0" xfId="0" applyAlignment="1" applyFont="1">
      <alignment horizontal="right" readingOrder="0" vertical="bottom"/>
    </xf>
    <xf borderId="0" fillId="13" fontId="2" numFmtId="0" xfId="0" applyAlignment="1" applyFont="1">
      <alignment readingOrder="0"/>
    </xf>
    <xf borderId="0" fillId="13" fontId="2" numFmtId="21" xfId="0" applyAlignment="1" applyFont="1" applyNumberFormat="1">
      <alignment readingOrder="0"/>
    </xf>
    <xf borderId="0" fillId="2" fontId="21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borderId="0" fillId="0" fontId="1" numFmtId="20" xfId="0" applyFont="1" applyNumberFormat="1"/>
    <xf borderId="0" fillId="0" fontId="12" numFmtId="21" xfId="0" applyAlignment="1" applyFont="1" applyNumberFormat="1">
      <alignment vertical="bottom"/>
    </xf>
    <xf quotePrefix="1"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" numFmtId="166" xfId="0" applyAlignment="1" applyFont="1" applyNumberFormat="1">
      <alignment horizontal="left" readingOrder="0"/>
    </xf>
    <xf borderId="0" fillId="14" fontId="2" numFmtId="21" xfId="0" applyAlignment="1" applyFill="1" applyFont="1" applyNumberFormat="1">
      <alignment readingOrder="0"/>
    </xf>
    <xf borderId="0" fillId="15" fontId="2" numFmtId="0" xfId="0" applyAlignment="1" applyFill="1" applyFont="1">
      <alignment readingOrder="0"/>
    </xf>
    <xf borderId="0" fillId="15" fontId="2" numFmtId="21" xfId="0" applyAlignment="1" applyFont="1" applyNumberFormat="1">
      <alignment readingOrder="0"/>
    </xf>
    <xf borderId="0" fillId="15" fontId="2" numFmtId="0" xfId="0" applyFont="1"/>
    <xf borderId="0" fillId="16" fontId="4" numFmtId="0" xfId="0" applyAlignment="1" applyFill="1" applyFont="1">
      <alignment readingOrder="0"/>
    </xf>
    <xf borderId="0" fillId="16" fontId="3" numFmtId="20" xfId="0" applyAlignment="1" applyFont="1" applyNumberFormat="1">
      <alignment readingOrder="0"/>
    </xf>
    <xf borderId="0" fillId="16" fontId="3" numFmtId="21" xfId="0" applyAlignment="1" applyFont="1" applyNumberFormat="1">
      <alignment readingOrder="0"/>
    </xf>
    <xf borderId="0" fillId="16" fontId="2" numFmtId="0" xfId="0" applyFont="1"/>
    <xf borderId="11" fillId="0" fontId="1" numFmtId="0" xfId="0" applyAlignment="1" applyBorder="1" applyFont="1">
      <alignment readingOrder="0"/>
    </xf>
    <xf borderId="0" fillId="0" fontId="4" numFmtId="0" xfId="0" applyFont="1"/>
    <xf borderId="0" fillId="2" fontId="2" numFmtId="0" xfId="0" applyFont="1"/>
    <xf borderId="0" fillId="17" fontId="1" numFmtId="0" xfId="0" applyAlignment="1" applyFill="1" applyFont="1">
      <alignment readingOrder="0"/>
    </xf>
    <xf borderId="0" fillId="17" fontId="1" numFmtId="0" xfId="0" applyFont="1"/>
    <xf borderId="0" fillId="18" fontId="1" numFmtId="0" xfId="0" applyAlignment="1" applyFill="1" applyFont="1">
      <alignment readingOrder="0"/>
    </xf>
    <xf borderId="0" fillId="18" fontId="2" numFmtId="0" xfId="0" applyAlignment="1" applyFont="1">
      <alignment readingOrder="0"/>
    </xf>
    <xf borderId="0" fillId="18" fontId="2" numFmtId="21" xfId="0" applyAlignment="1" applyFont="1" applyNumberFormat="1">
      <alignment readingOrder="0"/>
    </xf>
    <xf borderId="0" fillId="18" fontId="2" numFmtId="0" xfId="0" applyFont="1"/>
    <xf borderId="0" fillId="19" fontId="1" numFmtId="0" xfId="0" applyAlignment="1" applyFill="1" applyFont="1">
      <alignment readingOrder="0"/>
    </xf>
    <xf borderId="0" fillId="19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7" t="s">
        <v>53</v>
      </c>
    </row>
    <row r="4" hidden="1"/>
    <row r="5" hidden="1"/>
    <row r="6" hidden="1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 hidden="1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 hidden="1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 hidden="1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 hidden="1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 hidden="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 hidden="1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 hidden="1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 hidden="1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 hidden="1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 hidden="1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 hidden="1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 hidden="1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 hidden="1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 hidden="1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 hidden="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 hidden="1">
      <c r="AM22" s="7">
        <v>9.0</v>
      </c>
      <c r="AN22" s="7">
        <v>9.0</v>
      </c>
    </row>
    <row r="23" hidden="1">
      <c r="A23" s="7" t="s">
        <v>84</v>
      </c>
    </row>
    <row r="24" hidden="1"/>
    <row r="25" hidden="1"/>
    <row r="26" hidden="1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 hidden="1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 hidden="1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 hidden="1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 hidden="1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 hidden="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 hidden="1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 hidden="1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 hidden="1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 hidden="1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 hidden="1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 hidden="1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 hidden="1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 hidden="1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 hidden="1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 hidden="1">
      <c r="AM41" s="7">
        <v>9.0</v>
      </c>
      <c r="AN41" s="7">
        <v>9.0</v>
      </c>
    </row>
    <row r="42" hidden="1"/>
    <row r="43" hidden="1"/>
    <row r="44" hidden="1">
      <c r="A44" s="7" t="s">
        <v>88</v>
      </c>
    </row>
    <row r="45" hidden="1"/>
    <row r="46" hidden="1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 hidden="1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 hidden="1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 hidden="1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 hidden="1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 hidden="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 hidden="1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 hidden="1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 hidden="1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 hidden="1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 hidden="1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 hidden="1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 hidden="1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59" hidden="1"/>
    <row r="60" hidden="1"/>
    <row r="61" hidden="1">
      <c r="A61" s="7" t="s">
        <v>89</v>
      </c>
    </row>
    <row r="62" hidden="1"/>
    <row r="63" hidden="1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 hidden="1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 hidden="1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 hidden="1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 hidden="1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 hidden="1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 hidden="1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 hidden="1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 hidden="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 hidden="1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 hidden="1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 hidden="1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5" hidden="1"/>
    <row r="76" hidden="1"/>
    <row r="77" hidden="1">
      <c r="A77" s="7" t="s">
        <v>90</v>
      </c>
      <c r="B77" s="7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 hidden="1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 hidden="1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 hidden="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idden="1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idden="1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 hidden="1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idden="1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idden="1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idden="1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idden="1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 hidden="1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idden="1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 hidden="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idden="1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 hidden="1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 hidden="1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 hidden="1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 hidden="1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 hidden="1">
      <c r="A97" s="7" t="s">
        <v>111</v>
      </c>
      <c r="B97" s="7" t="s">
        <v>112</v>
      </c>
    </row>
    <row r="98" hidden="1">
      <c r="A98" s="7" t="s">
        <v>113</v>
      </c>
      <c r="B98" s="7" t="s">
        <v>114</v>
      </c>
    </row>
    <row r="99" hidden="1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0" hidden="1"/>
    <row r="101" hidden="1"/>
    <row r="102" hidden="1">
      <c r="A102" s="7" t="s">
        <v>117</v>
      </c>
    </row>
    <row r="103" hidden="1"/>
    <row r="104" hidden="1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 hidden="1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 hidden="1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idden="1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idden="1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 hidden="1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 hidden="1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 hidden="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 hidden="1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 hidden="1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idden="1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 hidden="1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idden="1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 hidden="1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idden="1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idden="1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idden="1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idden="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 hidden="1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idden="1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idden="1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5" hidden="1"/>
    <row r="126" hidden="1">
      <c r="A126" s="4" t="s">
        <v>118</v>
      </c>
    </row>
    <row r="127" hidden="1"/>
    <row r="128" hidden="1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 hidden="1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 hidden="1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 hidden="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hidden="1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hidden="1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 hidden="1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 hidden="1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6" hidden="1"/>
    <row r="137" hidden="1"/>
    <row r="138" hidden="1">
      <c r="A138" s="4" t="s">
        <v>124</v>
      </c>
      <c r="B138" s="7"/>
    </row>
    <row r="139" hidden="1"/>
    <row r="140" hidden="1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 hidden="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 hidden="1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 hidden="1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 hidden="1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 hidden="1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 hidden="1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 hidden="1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48" hidden="1"/>
    <row r="149" hidden="1"/>
    <row r="150" hidden="1"/>
    <row r="151" hidden="1"/>
    <row r="152" hidden="1">
      <c r="A152" s="13" t="s">
        <v>50</v>
      </c>
      <c r="B152" s="11" t="s">
        <v>43</v>
      </c>
    </row>
    <row r="153" hidden="1"/>
    <row r="154" hidden="1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 hidden="1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 hidden="1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 hidden="1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 hidden="1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 hidden="1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 hidden="1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 hidden="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 hidden="1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 hidden="1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 hidden="1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 hidden="1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 hidden="1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67" hidden="1"/>
    <row r="168" hidden="1"/>
    <row r="169" hidden="1"/>
    <row r="170" hidden="1">
      <c r="A170" s="11" t="s">
        <v>51</v>
      </c>
      <c r="B170" s="11" t="s">
        <v>52</v>
      </c>
      <c r="C170" s="13" t="s">
        <v>24</v>
      </c>
    </row>
    <row r="171" hidden="1"/>
    <row r="172" hidden="1"/>
    <row r="173" hidden="1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 hidden="1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 hidden="1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 hidden="1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 hidden="1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 hidden="1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 hidden="1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 hidden="1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 hidden="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 hidden="1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 hidden="1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 hidden="1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 hidden="1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 hidden="1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93">
        <v>0.2986111111111111</v>
      </c>
      <c r="I208" s="93">
        <v>0.4340277777777778</v>
      </c>
      <c r="J208" s="93">
        <v>0.7083333333333334</v>
      </c>
    </row>
    <row r="209" hidden="1"/>
    <row r="210" hidden="1"/>
    <row r="211" hidden="1"/>
    <row r="212" hidden="1">
      <c r="J212" s="93">
        <f>C212-C212</f>
        <v>0</v>
      </c>
    </row>
    <row r="213" hidden="1">
      <c r="J213" s="94"/>
    </row>
    <row r="214" hidden="1">
      <c r="J214" s="94"/>
    </row>
    <row r="215" hidden="1">
      <c r="J215" s="94"/>
    </row>
    <row r="216" hidden="1">
      <c r="J216" s="95">
        <f>C216-C212</f>
        <v>0</v>
      </c>
    </row>
    <row r="217" hidden="1">
      <c r="J217" s="95">
        <f>C217-C216</f>
        <v>0</v>
      </c>
    </row>
    <row r="218" hidden="1">
      <c r="J218" s="94"/>
    </row>
    <row r="219" hidden="1">
      <c r="J219" s="95">
        <f>C219-C217</f>
        <v>0</v>
      </c>
    </row>
    <row r="220" hidden="1">
      <c r="J220" s="95">
        <f t="shared" ref="J220:J221" si="120">C220-C219</f>
        <v>0</v>
      </c>
    </row>
    <row r="221" hidden="1">
      <c r="J221" s="95">
        <f t="shared" si="120"/>
        <v>0</v>
      </c>
    </row>
    <row r="222" hidden="1">
      <c r="J222" s="94"/>
    </row>
    <row r="223" hidden="1">
      <c r="J223" s="94"/>
    </row>
    <row r="224" hidden="1">
      <c r="J224" s="95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7" t="s">
        <v>125</v>
      </c>
    </row>
    <row r="234" hidden="1"/>
    <row r="235" hidden="1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idden="1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 hidden="1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 hidden="1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 hidden="1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 hidden="1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 hidden="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 hidden="1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 hidden="1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 hidden="1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 hidden="1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 hidden="1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 hidden="1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 hidden="1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 hidden="1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 hidden="1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 hidden="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 hidden="1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 hidden="1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 hidden="1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 hidden="1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 hidden="1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 hidden="1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58" hidden="1"/>
    <row r="259" hidden="1"/>
    <row r="260" hidden="1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 hidden="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 hidden="1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 hidden="1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 hidden="1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 hidden="1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 hidden="1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 hidden="1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 hidden="1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 hidden="1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 hidden="1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 hidden="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 hidden="1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 hidden="1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 hidden="1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 hidden="1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 hidden="1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 hidden="1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 hidden="1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 hidden="1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 hidden="1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 hidden="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2" hidden="1"/>
    <row r="283" hidden="1"/>
    <row r="284" hidden="1"/>
    <row r="285" hidden="1">
      <c r="A285" s="7" t="s">
        <v>131</v>
      </c>
    </row>
    <row r="286" hidden="1"/>
    <row r="287" hidden="1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idden="1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idden="1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idden="1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idden="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idden="1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idden="1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idden="1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idden="1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idden="1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idden="1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idden="1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idden="1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idden="1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hidden="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 hidden="1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idden="1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idden="1"/>
    <row r="305" hidden="1"/>
    <row r="306" hidden="1">
      <c r="A306" s="1" t="s">
        <v>0</v>
      </c>
      <c r="B306" s="2" t="str">
        <f>'PTA-to-KEMP_Weekday'!B1258</f>
        <v/>
      </c>
      <c r="C306" s="1" t="str">
        <f>'PTA-to-KEMP_Weekday'!C1258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 hidden="1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 hidden="1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idden="1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 hidden="1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 hidden="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idden="1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idden="1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idden="1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idden="1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idden="1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idden="1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idden="1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idden="1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idden="1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idden="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hidden="1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  <row r="323" hidden="1"/>
    <row r="324" hidden="1"/>
    <row r="325" hidden="1"/>
    <row r="326" hidden="1"/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1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1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1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1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1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1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1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1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1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1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5">
      <c r="A355" s="3" t="str">
        <f>B358</f>
        <v>PRETORIA</v>
      </c>
      <c r="B355" s="3" t="str">
        <f>B377</f>
        <v>MABOPANE</v>
      </c>
    </row>
    <row r="357">
      <c r="B357" s="11" t="s">
        <v>27</v>
      </c>
      <c r="C357" s="11">
        <v>1801.0</v>
      </c>
      <c r="D357" s="11">
        <v>1803.0</v>
      </c>
      <c r="E357" s="11">
        <v>1805.0</v>
      </c>
      <c r="F357" s="11">
        <v>1807.0</v>
      </c>
      <c r="G357" s="11">
        <v>1809.0</v>
      </c>
      <c r="H357" s="11">
        <v>1811.0</v>
      </c>
      <c r="I357" s="11">
        <v>1813.0</v>
      </c>
      <c r="J357" s="11">
        <v>1815.0</v>
      </c>
      <c r="K357" s="11">
        <v>1817.0</v>
      </c>
      <c r="L357" s="11">
        <v>1819.0</v>
      </c>
      <c r="M357" s="11">
        <v>1827.0</v>
      </c>
      <c r="N357" s="11">
        <v>1829.0</v>
      </c>
      <c r="O357" s="11">
        <v>1837.0</v>
      </c>
      <c r="P357" s="11">
        <v>1831.0</v>
      </c>
      <c r="Q357" s="11">
        <v>1833.0</v>
      </c>
      <c r="R357" s="11">
        <v>1839.0</v>
      </c>
      <c r="S357" s="11">
        <v>1835.0</v>
      </c>
      <c r="T357" s="11">
        <v>1845.0</v>
      </c>
      <c r="U357" s="11">
        <v>1847.0</v>
      </c>
      <c r="V357" s="11">
        <v>1849.0</v>
      </c>
      <c r="W357" s="11">
        <v>1851.0</v>
      </c>
      <c r="X357" s="11">
        <v>1853.0</v>
      </c>
      <c r="Y357" s="11">
        <v>1855.0</v>
      </c>
      <c r="Z357" s="11">
        <v>1857.0</v>
      </c>
      <c r="AA357" s="11">
        <v>1859.0</v>
      </c>
      <c r="AB357" s="11">
        <v>1861.0</v>
      </c>
      <c r="AC357" s="11">
        <v>1863.0</v>
      </c>
      <c r="AD357" s="11">
        <v>1865.0</v>
      </c>
    </row>
    <row r="358">
      <c r="B358" s="11" t="s">
        <v>24</v>
      </c>
      <c r="C358" s="14">
        <v>0.21666666666666667</v>
      </c>
      <c r="D358" s="14">
        <v>0.2326388888888889</v>
      </c>
      <c r="E358" s="14">
        <v>0.24930555555555556</v>
      </c>
      <c r="F358" s="14">
        <v>0.2652777777777778</v>
      </c>
      <c r="G358" s="14">
        <v>0.28194444444444444</v>
      </c>
      <c r="H358" s="14">
        <v>0.29791666666666666</v>
      </c>
      <c r="I358" s="14">
        <v>0.3145833333333333</v>
      </c>
      <c r="J358" s="14">
        <v>0.33055555555555555</v>
      </c>
      <c r="K358" s="14">
        <v>0.3472222222222222</v>
      </c>
      <c r="L358" s="14">
        <v>0.36319444444444443</v>
      </c>
      <c r="M358" s="14">
        <v>0.3958333333333333</v>
      </c>
      <c r="N358" s="14">
        <v>0.4444444444444444</v>
      </c>
      <c r="O358" s="14">
        <v>0.4701388888888889</v>
      </c>
      <c r="P358" s="14">
        <v>0.4930555555555556</v>
      </c>
      <c r="Q358" s="14">
        <v>0.5416666666666666</v>
      </c>
      <c r="R358" s="14">
        <v>0.5673611111111111</v>
      </c>
      <c r="S358" s="14">
        <v>0.5902777777777778</v>
      </c>
      <c r="T358" s="14">
        <v>0.6402777777777777</v>
      </c>
      <c r="U358" s="14">
        <v>0.6569444444444444</v>
      </c>
      <c r="V358" s="14">
        <v>0.6729166666666667</v>
      </c>
      <c r="W358" s="14">
        <v>0.6895833333333333</v>
      </c>
      <c r="X358" s="14">
        <v>0.7055555555555556</v>
      </c>
      <c r="Y358" s="14">
        <v>0.7222222222222222</v>
      </c>
      <c r="Z358" s="14">
        <v>0.7381944444444445</v>
      </c>
      <c r="AA358" s="14">
        <v>0.7548611111111111</v>
      </c>
      <c r="AB358" s="14">
        <v>0.7701388888888889</v>
      </c>
      <c r="AC358" s="14">
        <v>0.7875</v>
      </c>
      <c r="AD358" s="14">
        <v>0.8125</v>
      </c>
    </row>
    <row r="359">
      <c r="B359" s="11" t="s">
        <v>91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B360" s="11" t="s">
        <v>93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B361" s="11" t="s">
        <v>22</v>
      </c>
      <c r="C361" s="14">
        <v>0.22152777777777777</v>
      </c>
      <c r="D361" s="14">
        <v>0.23680555555555555</v>
      </c>
      <c r="E361" s="14">
        <v>0.25416666666666665</v>
      </c>
      <c r="F361" s="14">
        <v>0.26944444444444443</v>
      </c>
      <c r="G361" s="14">
        <v>0.28680555555555554</v>
      </c>
      <c r="H361" s="14">
        <v>0.3020833333333333</v>
      </c>
      <c r="I361" s="14">
        <v>0.31875</v>
      </c>
      <c r="J361" s="14">
        <v>0.3347222222222222</v>
      </c>
      <c r="K361" s="14">
        <v>0.35208333333333336</v>
      </c>
      <c r="L361" s="14">
        <v>0.36736111111111114</v>
      </c>
      <c r="M361" s="14">
        <v>0.4</v>
      </c>
      <c r="N361" s="14">
        <v>0.4486111111111111</v>
      </c>
      <c r="O361" s="14">
        <v>0.47430555555555554</v>
      </c>
      <c r="P361" s="14">
        <v>0.49722222222222223</v>
      </c>
      <c r="Q361" s="14">
        <v>0.5458333333333333</v>
      </c>
      <c r="R361" s="14">
        <v>0.5715277777777777</v>
      </c>
      <c r="S361" s="14">
        <v>0.5944444444444444</v>
      </c>
      <c r="T361" s="14">
        <v>0.6451388888888889</v>
      </c>
      <c r="U361" s="14">
        <v>0.6611111111111111</v>
      </c>
      <c r="V361" s="14">
        <v>0.6777777777777778</v>
      </c>
      <c r="W361" s="14">
        <v>0.69375</v>
      </c>
      <c r="X361" s="14">
        <v>0.7104166666666667</v>
      </c>
      <c r="Y361" s="14">
        <v>0.7263888888888889</v>
      </c>
      <c r="Z361" s="14">
        <v>0.7430555555555556</v>
      </c>
      <c r="AA361" s="14">
        <v>0.7590277777777777</v>
      </c>
      <c r="AB361" s="14">
        <v>0.775</v>
      </c>
      <c r="AC361" s="14">
        <v>0.7916666666666666</v>
      </c>
      <c r="AD361" s="14">
        <v>0.8166666666666667</v>
      </c>
    </row>
    <row r="362">
      <c r="B362" s="11" t="s">
        <v>95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B363" s="11" t="s">
        <v>97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B364" s="11" t="s">
        <v>99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B365" s="11" t="s">
        <v>101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B366" s="11" t="s">
        <v>20</v>
      </c>
      <c r="C366" s="14">
        <v>0.2263888888888889</v>
      </c>
      <c r="D366" s="14">
        <v>0.2423611111111111</v>
      </c>
      <c r="E366" s="14">
        <v>0.2590277777777778</v>
      </c>
      <c r="F366" s="14">
        <v>0.275</v>
      </c>
      <c r="G366" s="14">
        <v>0.2916666666666667</v>
      </c>
      <c r="H366" s="14">
        <v>0.3076388888888889</v>
      </c>
      <c r="I366" s="14">
        <v>0.32430555555555557</v>
      </c>
      <c r="J366" s="14">
        <v>0.3402777777777778</v>
      </c>
      <c r="K366" s="14">
        <v>0.35694444444444445</v>
      </c>
      <c r="L366" s="14">
        <v>0.3729166666666667</v>
      </c>
      <c r="M366" s="14">
        <v>0.40555555555555556</v>
      </c>
      <c r="N366" s="14">
        <v>0.45416666666666666</v>
      </c>
      <c r="O366" s="14">
        <v>0.4798611111111111</v>
      </c>
      <c r="P366" s="14">
        <v>0.5027777777777778</v>
      </c>
      <c r="Q366" s="14">
        <v>0.5513888888888889</v>
      </c>
      <c r="R366" s="14">
        <v>0.5770833333333333</v>
      </c>
      <c r="S366" s="14">
        <v>0.6</v>
      </c>
      <c r="T366" s="14">
        <v>0.65</v>
      </c>
      <c r="U366" s="14">
        <v>0.6666666666666666</v>
      </c>
      <c r="V366" s="14">
        <v>0.6826388888888889</v>
      </c>
      <c r="W366" s="14">
        <v>0.6993055555555555</v>
      </c>
      <c r="X366" s="14">
        <v>0.7152777777777778</v>
      </c>
      <c r="Y366" s="14">
        <v>0.7319444444444444</v>
      </c>
      <c r="Z366" s="14">
        <v>0.7479166666666667</v>
      </c>
      <c r="AA366" s="14">
        <v>0.7645833333333333</v>
      </c>
      <c r="AB366" s="14">
        <v>0.7798611111111111</v>
      </c>
      <c r="AC366" s="14">
        <v>0.7972222222222223</v>
      </c>
      <c r="AD366" s="14">
        <v>0.8222222222222222</v>
      </c>
    </row>
    <row r="367">
      <c r="B367" s="11" t="s">
        <v>103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B368" s="11" t="s">
        <v>18</v>
      </c>
      <c r="C368" s="14">
        <v>0.23055555555555557</v>
      </c>
      <c r="D368" s="14">
        <v>0.24583333333333332</v>
      </c>
      <c r="E368" s="14">
        <v>0.26319444444444445</v>
      </c>
      <c r="F368" s="14">
        <v>0.27847222222222223</v>
      </c>
      <c r="G368" s="14">
        <v>0.29583333333333334</v>
      </c>
      <c r="H368" s="14">
        <v>0.3111111111111111</v>
      </c>
      <c r="I368" s="14">
        <v>0.3277777777777778</v>
      </c>
      <c r="J368" s="14">
        <v>0.34375</v>
      </c>
      <c r="K368" s="14">
        <v>0.3611111111111111</v>
      </c>
      <c r="L368" s="14">
        <v>0.3763888888888889</v>
      </c>
      <c r="M368" s="14">
        <v>0.40902777777777777</v>
      </c>
      <c r="N368" s="14">
        <v>0.4576388888888889</v>
      </c>
      <c r="O368" s="14">
        <v>0.48333333333333334</v>
      </c>
      <c r="P368" s="14">
        <v>0.50625</v>
      </c>
      <c r="Q368" s="14">
        <v>0.5548611111111111</v>
      </c>
      <c r="R368" s="14">
        <v>0.5805555555555556</v>
      </c>
      <c r="S368" s="14">
        <v>0.6034722222222222</v>
      </c>
      <c r="T368" s="14">
        <v>0.6541666666666667</v>
      </c>
      <c r="U368" s="14">
        <v>0.6701388888888888</v>
      </c>
      <c r="V368" s="14">
        <v>0.6868055555555556</v>
      </c>
      <c r="W368" s="14">
        <v>0.7027777777777777</v>
      </c>
      <c r="X368" s="14">
        <v>0.7194444444444444</v>
      </c>
      <c r="Y368" s="14">
        <v>0.7354166666666667</v>
      </c>
      <c r="Z368" s="14">
        <v>0.7520833333333333</v>
      </c>
      <c r="AA368" s="14">
        <v>0.7680555555555556</v>
      </c>
      <c r="AB368" s="14">
        <v>0.7840277777777778</v>
      </c>
      <c r="AC368" s="14">
        <v>0.8006944444444445</v>
      </c>
      <c r="AD368" s="14">
        <v>0.8256944444444444</v>
      </c>
    </row>
    <row r="369">
      <c r="B369" s="11" t="s">
        <v>105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B370" s="11" t="s">
        <v>16</v>
      </c>
      <c r="C370" s="14">
        <v>0.23472222222222222</v>
      </c>
      <c r="D370" s="14">
        <v>0.25069444444444444</v>
      </c>
      <c r="E370" s="14">
        <v>0.2673611111111111</v>
      </c>
      <c r="F370" s="14">
        <v>0.2833333333333333</v>
      </c>
      <c r="G370" s="14">
        <v>0.3</v>
      </c>
      <c r="H370" s="14">
        <v>0.3159722222222222</v>
      </c>
      <c r="I370" s="14">
        <v>0.3326388888888889</v>
      </c>
      <c r="J370" s="14">
        <v>0.3486111111111111</v>
      </c>
      <c r="K370" s="14">
        <v>0.36527777777777776</v>
      </c>
      <c r="L370" s="14">
        <v>0.38125</v>
      </c>
      <c r="M370" s="14">
        <v>0.41388888888888886</v>
      </c>
      <c r="N370" s="14">
        <v>0.4625</v>
      </c>
      <c r="O370" s="14">
        <v>0.48819444444444443</v>
      </c>
      <c r="P370" s="14">
        <v>0.5111111111111111</v>
      </c>
      <c r="Q370" s="14">
        <v>0.5597222222222222</v>
      </c>
      <c r="R370" s="14">
        <v>0.5854166666666667</v>
      </c>
      <c r="S370" s="14">
        <v>0.6083333333333333</v>
      </c>
      <c r="T370" s="14">
        <v>0.6583333333333333</v>
      </c>
      <c r="U370" s="14">
        <v>0.675</v>
      </c>
      <c r="V370" s="14">
        <v>0.6909722222222222</v>
      </c>
      <c r="W370" s="14">
        <v>0.7076388888888889</v>
      </c>
      <c r="X370" s="14">
        <v>0.7236111111111111</v>
      </c>
      <c r="Y370" s="14">
        <v>0.7402777777777778</v>
      </c>
      <c r="Z370" s="14">
        <v>0.75625</v>
      </c>
      <c r="AA370" s="14">
        <v>0.7729166666666667</v>
      </c>
      <c r="AB370" s="14">
        <v>0.7881944444444444</v>
      </c>
      <c r="AC370" s="14">
        <v>0.8055555555555556</v>
      </c>
      <c r="AD370" s="14">
        <v>0.8305555555555556</v>
      </c>
    </row>
    <row r="371">
      <c r="B371" s="11" t="s">
        <v>14</v>
      </c>
      <c r="C371" s="14">
        <v>0.23819444444444443</v>
      </c>
      <c r="D371" s="14">
        <v>0.2534722222222222</v>
      </c>
      <c r="E371" s="14">
        <v>0.2708333333333333</v>
      </c>
      <c r="F371" s="14">
        <v>0.2861111111111111</v>
      </c>
      <c r="G371" s="14">
        <v>0.3034722222222222</v>
      </c>
      <c r="H371" s="14">
        <v>0.31875</v>
      </c>
      <c r="I371" s="14">
        <v>0.33541666666666664</v>
      </c>
      <c r="J371" s="14">
        <v>0.35138888888888886</v>
      </c>
      <c r="K371" s="14">
        <v>0.36875</v>
      </c>
      <c r="L371" s="14">
        <v>0.3840277777777778</v>
      </c>
      <c r="M371" s="14">
        <v>0.4166666666666667</v>
      </c>
      <c r="N371" s="14">
        <v>0.4652777777777778</v>
      </c>
      <c r="O371" s="14">
        <v>0.4909722222222222</v>
      </c>
      <c r="P371" s="14">
        <v>0.5138888888888888</v>
      </c>
      <c r="Q371" s="14">
        <v>0.5625</v>
      </c>
      <c r="R371" s="14">
        <v>0.5881944444444445</v>
      </c>
      <c r="S371" s="14">
        <v>0.6111111111111112</v>
      </c>
      <c r="T371" s="14">
        <v>0.6618055555555555</v>
      </c>
      <c r="U371" s="14">
        <v>0.6777777777777778</v>
      </c>
      <c r="V371" s="14">
        <v>0.6944444444444444</v>
      </c>
      <c r="W371" s="14">
        <v>0.7104166666666667</v>
      </c>
      <c r="X371" s="14">
        <v>0.7270833333333333</v>
      </c>
      <c r="Y371" s="14">
        <v>0.7430555555555556</v>
      </c>
      <c r="Z371" s="14">
        <v>0.7597222222222222</v>
      </c>
      <c r="AA371" s="14">
        <v>0.7756944444444445</v>
      </c>
      <c r="AB371" s="14">
        <v>0.7916666666666666</v>
      </c>
      <c r="AC371" s="14">
        <v>0.8083333333333333</v>
      </c>
      <c r="AD371" s="14">
        <v>0.8333333333333334</v>
      </c>
    </row>
    <row r="372">
      <c r="B372" s="11" t="s">
        <v>12</v>
      </c>
      <c r="C372" s="14">
        <v>0.24166666666666667</v>
      </c>
      <c r="D372" s="14">
        <v>0.2569444444444444</v>
      </c>
      <c r="E372" s="14">
        <v>0.2743055555555556</v>
      </c>
      <c r="F372" s="14">
        <v>0.28958333333333336</v>
      </c>
      <c r="G372" s="14">
        <v>0.30694444444444446</v>
      </c>
      <c r="H372" s="14">
        <v>0.32222222222222224</v>
      </c>
      <c r="I372" s="14">
        <v>0.3388888888888889</v>
      </c>
      <c r="J372" s="14">
        <v>0.3548611111111111</v>
      </c>
      <c r="K372" s="14">
        <v>0.37222222222222223</v>
      </c>
      <c r="L372" s="14">
        <v>0.3875</v>
      </c>
      <c r="M372" s="14">
        <v>0.4201388888888889</v>
      </c>
      <c r="N372" s="14">
        <v>0.46875</v>
      </c>
      <c r="O372" s="14">
        <v>0.49444444444444446</v>
      </c>
      <c r="P372" s="14">
        <v>0.5173611111111112</v>
      </c>
      <c r="Q372" s="14">
        <v>0.5659722222222222</v>
      </c>
      <c r="R372" s="14">
        <v>0.5916666666666667</v>
      </c>
      <c r="S372" s="14">
        <v>0.6145833333333334</v>
      </c>
      <c r="T372" s="14">
        <v>0.6652777777777777</v>
      </c>
      <c r="U372" s="14">
        <v>0.68125</v>
      </c>
      <c r="V372" s="14">
        <v>0.6979166666666666</v>
      </c>
      <c r="W372" s="14">
        <v>0.7138888888888889</v>
      </c>
      <c r="X372" s="14">
        <v>0.7305555555555555</v>
      </c>
      <c r="Y372" s="14">
        <v>0.7465277777777778</v>
      </c>
      <c r="Z372" s="14">
        <v>0.7631944444444444</v>
      </c>
      <c r="AA372" s="14">
        <v>0.7791666666666667</v>
      </c>
      <c r="AB372" s="14">
        <v>0.7951388888888888</v>
      </c>
      <c r="AC372" s="14">
        <v>0.8118055555555556</v>
      </c>
      <c r="AD372" s="14">
        <v>0.8368055555555556</v>
      </c>
    </row>
    <row r="373">
      <c r="B373" s="11" t="s">
        <v>107</v>
      </c>
      <c r="C373" s="14">
        <v>0.24583333333333332</v>
      </c>
      <c r="D373" s="14">
        <v>0.26180555555555557</v>
      </c>
      <c r="E373" s="14">
        <v>0.27847222222222223</v>
      </c>
      <c r="F373" s="14">
        <v>0.29444444444444445</v>
      </c>
      <c r="G373" s="14">
        <v>0.3111111111111111</v>
      </c>
      <c r="H373" s="14">
        <v>0.32708333333333334</v>
      </c>
      <c r="I373" s="14">
        <v>0.34375</v>
      </c>
      <c r="J373" s="14">
        <v>0.3597222222222222</v>
      </c>
      <c r="K373" s="14">
        <v>0.3763888888888889</v>
      </c>
      <c r="L373" s="14">
        <v>0.3923611111111111</v>
      </c>
      <c r="M373" s="14">
        <v>0.425</v>
      </c>
      <c r="N373" s="14">
        <v>0.4736111111111111</v>
      </c>
      <c r="O373" s="14">
        <v>0.49930555555555556</v>
      </c>
      <c r="P373" s="14">
        <v>0.5222222222222223</v>
      </c>
      <c r="Q373" s="14">
        <v>0.5708333333333333</v>
      </c>
      <c r="R373" s="14">
        <v>0.5965277777777778</v>
      </c>
      <c r="S373" s="14">
        <v>0.6194444444444445</v>
      </c>
      <c r="T373" s="14">
        <v>0.6694444444444444</v>
      </c>
      <c r="U373" s="14">
        <v>0.6861111111111111</v>
      </c>
      <c r="V373" s="14">
        <v>0.7020833333333333</v>
      </c>
      <c r="W373" s="14">
        <v>0.71875</v>
      </c>
      <c r="X373" s="14">
        <v>0.7347222222222223</v>
      </c>
      <c r="Y373" s="14">
        <v>0.7513888888888889</v>
      </c>
      <c r="Z373" s="14">
        <v>0.7673611111111112</v>
      </c>
      <c r="AA373" s="14">
        <v>0.7840277777777778</v>
      </c>
      <c r="AB373" s="14">
        <v>0.7993055555555556</v>
      </c>
      <c r="AC373" s="14">
        <v>0.8166666666666667</v>
      </c>
      <c r="AD373" s="14">
        <v>0.8416666666666667</v>
      </c>
    </row>
    <row r="374">
      <c r="B374" s="11" t="s">
        <v>109</v>
      </c>
      <c r="C374" s="14">
        <v>0.25</v>
      </c>
      <c r="D374" s="14">
        <v>0.2652777777777778</v>
      </c>
      <c r="E374" s="14">
        <v>0.2826388888888889</v>
      </c>
      <c r="F374" s="14">
        <v>0.29791666666666666</v>
      </c>
      <c r="G374" s="14">
        <v>0.31527777777777777</v>
      </c>
      <c r="H374" s="14">
        <v>0.33055555555555555</v>
      </c>
      <c r="I374" s="14">
        <v>0.3472222222222222</v>
      </c>
      <c r="J374" s="14">
        <v>0.36319444444444443</v>
      </c>
      <c r="K374" s="14">
        <v>0.38055555555555554</v>
      </c>
      <c r="L374" s="14">
        <v>0.3958333333333333</v>
      </c>
      <c r="M374" s="14">
        <v>0.4284722222222222</v>
      </c>
      <c r="N374" s="14">
        <v>0.47708333333333336</v>
      </c>
      <c r="O374" s="14">
        <v>0.5027777777777778</v>
      </c>
      <c r="P374" s="14">
        <v>0.5256944444444445</v>
      </c>
      <c r="Q374" s="14">
        <v>0.5743055555555555</v>
      </c>
      <c r="R374" s="14">
        <v>0.6</v>
      </c>
      <c r="S374" s="14">
        <v>0.6229166666666667</v>
      </c>
      <c r="T374" s="14">
        <v>0.6736111111111112</v>
      </c>
      <c r="U374" s="14">
        <v>0.6895833333333333</v>
      </c>
      <c r="V374" s="14">
        <v>0.70625</v>
      </c>
      <c r="W374" s="14">
        <v>0.7222222222222222</v>
      </c>
      <c r="X374" s="14">
        <v>0.7388888888888889</v>
      </c>
      <c r="Y374" s="14">
        <v>0.7548611111111111</v>
      </c>
      <c r="Z374" s="14">
        <v>0.7715277777777778</v>
      </c>
      <c r="AA374" s="14">
        <v>0.7875</v>
      </c>
      <c r="AB374" s="14">
        <v>0.8034722222222223</v>
      </c>
      <c r="AC374" s="14">
        <v>0.8201388888888889</v>
      </c>
      <c r="AD374" s="14">
        <v>0.8451388888888889</v>
      </c>
    </row>
    <row r="375">
      <c r="B375" s="11" t="s">
        <v>111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B376" s="11" t="s">
        <v>113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B377" s="11" t="s">
        <v>115</v>
      </c>
      <c r="C377" s="14">
        <v>0.25833333333333336</v>
      </c>
      <c r="D377" s="14">
        <v>0.2743055555555556</v>
      </c>
      <c r="E377" s="14">
        <v>0.29097222222222224</v>
      </c>
      <c r="F377" s="14">
        <v>0.30694444444444446</v>
      </c>
      <c r="G377" s="14">
        <v>0.3236111111111111</v>
      </c>
      <c r="H377" s="14">
        <v>0.33958333333333335</v>
      </c>
      <c r="I377" s="14">
        <v>0.35625</v>
      </c>
      <c r="J377" s="14">
        <v>0.37222222222222223</v>
      </c>
      <c r="K377" s="14">
        <v>0.3888888888888889</v>
      </c>
      <c r="L377" s="14">
        <v>0.4048611111111111</v>
      </c>
      <c r="M377" s="14">
        <v>0.4375</v>
      </c>
      <c r="N377" s="14">
        <v>0.4861111111111111</v>
      </c>
      <c r="O377" s="14">
        <v>0.5118055555555555</v>
      </c>
      <c r="P377" s="14">
        <v>0.5347222222222222</v>
      </c>
      <c r="Q377" s="14">
        <v>0.5833333333333334</v>
      </c>
      <c r="R377" s="14">
        <v>0.6090277777777777</v>
      </c>
      <c r="S377" s="14">
        <v>0.6319444444444444</v>
      </c>
      <c r="T377" s="14">
        <v>0.6819444444444445</v>
      </c>
      <c r="U377" s="14">
        <v>0.6986111111111111</v>
      </c>
      <c r="V377" s="14">
        <v>0.7145833333333333</v>
      </c>
      <c r="W377" s="14">
        <v>0.73125</v>
      </c>
      <c r="X377" s="14">
        <v>0.7472222222222222</v>
      </c>
      <c r="Y377" s="14">
        <v>0.7638888888888888</v>
      </c>
      <c r="Z377" s="14">
        <v>0.7798611111111111</v>
      </c>
      <c r="AA377" s="14">
        <v>0.7965277777777777</v>
      </c>
      <c r="AB377" s="14">
        <v>0.8118055555555556</v>
      </c>
      <c r="AC377" s="14">
        <v>0.8291666666666667</v>
      </c>
      <c r="AD377" s="14">
        <v>0.8541666666666666</v>
      </c>
    </row>
    <row r="379">
      <c r="A379" s="3" t="str">
        <f>B382</f>
        <v>MABOPANE</v>
      </c>
      <c r="B379" s="3" t="str">
        <f>B401</f>
        <v>PRETORIA</v>
      </c>
    </row>
    <row r="381">
      <c r="B381" s="11" t="s">
        <v>27</v>
      </c>
      <c r="C381" s="11">
        <v>1800.0</v>
      </c>
      <c r="D381" s="11">
        <v>1802.0</v>
      </c>
      <c r="E381" s="11">
        <v>1804.0</v>
      </c>
      <c r="F381" s="11">
        <v>1806.0</v>
      </c>
      <c r="G381" s="11">
        <v>1808.0</v>
      </c>
      <c r="H381" s="11">
        <v>1810.0</v>
      </c>
      <c r="I381" s="11">
        <v>1812.0</v>
      </c>
      <c r="J381" s="11">
        <v>1814.0</v>
      </c>
      <c r="K381" s="11">
        <v>1816.0</v>
      </c>
      <c r="L381" s="11">
        <v>1818.0</v>
      </c>
      <c r="M381" s="11">
        <v>1820.0</v>
      </c>
      <c r="N381" s="11">
        <v>1822.0</v>
      </c>
      <c r="O381" s="11">
        <v>1824.0</v>
      </c>
      <c r="P381" s="11">
        <v>1826.0</v>
      </c>
      <c r="Q381" s="11">
        <v>1836.0</v>
      </c>
      <c r="R381" s="11">
        <v>1828.0</v>
      </c>
      <c r="S381" s="11">
        <v>1830.0</v>
      </c>
      <c r="T381" s="11">
        <v>1838.0</v>
      </c>
      <c r="U381" s="11">
        <v>1832.0</v>
      </c>
      <c r="V381" s="11">
        <v>1834.0</v>
      </c>
      <c r="W381" s="11">
        <v>1840.0</v>
      </c>
      <c r="X381" s="11">
        <v>1850.0</v>
      </c>
      <c r="Y381" s="11">
        <v>1852.0</v>
      </c>
      <c r="Z381" s="11">
        <v>1854.0</v>
      </c>
      <c r="AA381" s="11">
        <v>1856.0</v>
      </c>
      <c r="AB381" s="11">
        <v>1858.0</v>
      </c>
      <c r="AC381" s="11">
        <v>1860.0</v>
      </c>
      <c r="AD381" s="11">
        <v>1862.0</v>
      </c>
      <c r="AE381" s="11">
        <v>1864.0</v>
      </c>
    </row>
    <row r="382">
      <c r="B382" s="11" t="s">
        <v>115</v>
      </c>
      <c r="C382" s="14">
        <v>0.16805555555555557</v>
      </c>
      <c r="D382" s="14">
        <v>0.1840277777777778</v>
      </c>
      <c r="E382" s="14">
        <v>0.20069444444444445</v>
      </c>
      <c r="F382" s="14">
        <v>0.21666666666666667</v>
      </c>
      <c r="G382" s="14">
        <v>0.23333333333333334</v>
      </c>
      <c r="H382" s="14">
        <v>0.24930555555555556</v>
      </c>
      <c r="I382" s="14">
        <v>0.2659722222222222</v>
      </c>
      <c r="J382" s="14">
        <v>0.28194444444444444</v>
      </c>
      <c r="K382" s="14">
        <v>0.2986111111111111</v>
      </c>
      <c r="L382" s="14">
        <v>0.3145833333333333</v>
      </c>
      <c r="M382" s="14">
        <v>0.33125</v>
      </c>
      <c r="N382" s="14">
        <v>0.3472222222222222</v>
      </c>
      <c r="O382" s="14">
        <v>0.3638888888888889</v>
      </c>
      <c r="P382" s="14">
        <v>0.3958333333333333</v>
      </c>
      <c r="Q382" s="14">
        <v>0.4215277777777778</v>
      </c>
      <c r="R382" s="14">
        <v>0.4444444444444444</v>
      </c>
      <c r="S382" s="14">
        <v>0.4930555555555556</v>
      </c>
      <c r="T382" s="14">
        <v>0.51875</v>
      </c>
      <c r="U382" s="14">
        <v>0.5416666666666666</v>
      </c>
      <c r="V382" s="14">
        <v>0.5902777777777778</v>
      </c>
      <c r="W382" s="14">
        <v>0.6215277777777778</v>
      </c>
      <c r="X382" s="14">
        <v>0.6402777777777777</v>
      </c>
      <c r="Y382" s="14">
        <v>0.6576388888888889</v>
      </c>
      <c r="Z382" s="14">
        <v>0.6729166666666667</v>
      </c>
      <c r="AA382" s="14">
        <v>0.6895833333333333</v>
      </c>
      <c r="AB382" s="14">
        <v>0.7055555555555556</v>
      </c>
      <c r="AC382" s="14">
        <v>0.7222222222222222</v>
      </c>
      <c r="AD382" s="14">
        <v>0.7381944444444445</v>
      </c>
      <c r="AE382" s="14">
        <v>0.7548611111111111</v>
      </c>
    </row>
    <row r="383">
      <c r="B383" s="11" t="s">
        <v>113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B384" s="11" t="s">
        <v>111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B385" s="11" t="s">
        <v>109</v>
      </c>
      <c r="C385" s="14">
        <v>0.1763888888888889</v>
      </c>
      <c r="D385" s="14">
        <v>0.19236111111111112</v>
      </c>
      <c r="E385" s="14">
        <v>0.20902777777777778</v>
      </c>
      <c r="F385" s="14">
        <v>0.225</v>
      </c>
      <c r="G385" s="14">
        <v>0.24166666666666667</v>
      </c>
      <c r="H385" s="14">
        <v>0.25763888888888886</v>
      </c>
      <c r="I385" s="14">
        <v>0.2743055555555556</v>
      </c>
      <c r="J385" s="14">
        <v>0.2902777777777778</v>
      </c>
      <c r="K385" s="14">
        <v>0.30694444444444446</v>
      </c>
      <c r="L385" s="14">
        <v>0.3229166666666667</v>
      </c>
      <c r="M385" s="14">
        <v>0.33958333333333335</v>
      </c>
      <c r="N385" s="14">
        <v>0.35555555555555557</v>
      </c>
      <c r="O385" s="14">
        <v>0.37222222222222223</v>
      </c>
      <c r="P385" s="14">
        <v>0.4041666666666667</v>
      </c>
      <c r="Q385" s="14">
        <v>0.42986111111111114</v>
      </c>
      <c r="R385" s="14">
        <v>0.4527777777777778</v>
      </c>
      <c r="S385" s="14">
        <v>0.5013888888888889</v>
      </c>
      <c r="T385" s="14">
        <v>0.5270833333333333</v>
      </c>
      <c r="U385" s="14">
        <v>0.55</v>
      </c>
      <c r="V385" s="14">
        <v>0.5986111111111111</v>
      </c>
      <c r="W385" s="14">
        <v>0.6298611111111111</v>
      </c>
      <c r="X385" s="14">
        <v>0.6486111111111111</v>
      </c>
      <c r="Y385" s="14">
        <v>0.6659722222222222</v>
      </c>
      <c r="Z385" s="14">
        <v>0.68125</v>
      </c>
      <c r="AA385" s="14">
        <v>0.6979166666666666</v>
      </c>
      <c r="AB385" s="14">
        <v>0.7138888888888889</v>
      </c>
      <c r="AC385" s="14">
        <v>0.7305555555555555</v>
      </c>
      <c r="AD385" s="14">
        <v>0.7465277777777778</v>
      </c>
      <c r="AE385" s="14">
        <v>0.7631944444444444</v>
      </c>
    </row>
    <row r="386">
      <c r="B386" s="11" t="s">
        <v>107</v>
      </c>
      <c r="C386" s="14">
        <v>0.18055555555555555</v>
      </c>
      <c r="D386" s="14">
        <v>0.19722222222222222</v>
      </c>
      <c r="E386" s="14">
        <v>0.21319444444444444</v>
      </c>
      <c r="F386" s="14">
        <v>0.2298611111111111</v>
      </c>
      <c r="G386" s="14">
        <v>0.24583333333333332</v>
      </c>
      <c r="H386" s="14">
        <v>0.2625</v>
      </c>
      <c r="I386" s="14">
        <v>0.27847222222222223</v>
      </c>
      <c r="J386" s="14">
        <v>0.2951388888888889</v>
      </c>
      <c r="K386" s="14">
        <v>0.3111111111111111</v>
      </c>
      <c r="L386" s="14">
        <v>0.3277777777777778</v>
      </c>
      <c r="M386" s="14">
        <v>0.34375</v>
      </c>
      <c r="N386" s="14">
        <v>0.36041666666666666</v>
      </c>
      <c r="O386" s="14">
        <v>0.3763888888888889</v>
      </c>
      <c r="P386" s="14">
        <v>0.4083333333333333</v>
      </c>
      <c r="Q386" s="14">
        <v>0.4340277777777778</v>
      </c>
      <c r="R386" s="14">
        <v>0.45694444444444443</v>
      </c>
      <c r="S386" s="14">
        <v>0.5055555555555555</v>
      </c>
      <c r="T386" s="14">
        <v>0.53125</v>
      </c>
      <c r="U386" s="14">
        <v>0.5541666666666667</v>
      </c>
      <c r="V386" s="14">
        <v>0.6027777777777777</v>
      </c>
      <c r="W386" s="14">
        <v>0.6340277777777777</v>
      </c>
      <c r="X386" s="14">
        <v>0.6534722222222222</v>
      </c>
      <c r="Y386" s="14">
        <v>0.6701388888888888</v>
      </c>
      <c r="Z386" s="14">
        <v>0.6861111111111111</v>
      </c>
      <c r="AA386" s="14">
        <v>0.7020833333333333</v>
      </c>
      <c r="AB386" s="14">
        <v>0.71875</v>
      </c>
      <c r="AC386" s="14">
        <v>0.7347222222222223</v>
      </c>
      <c r="AD386" s="14">
        <v>0.7513888888888889</v>
      </c>
      <c r="AE386" s="14">
        <v>0.7673611111111112</v>
      </c>
    </row>
    <row r="387">
      <c r="B387" s="11" t="s">
        <v>12</v>
      </c>
      <c r="C387" s="14">
        <v>0.18541666666666667</v>
      </c>
      <c r="D387" s="14">
        <v>0.20208333333333334</v>
      </c>
      <c r="E387" s="14">
        <v>0.21805555555555556</v>
      </c>
      <c r="F387" s="14">
        <v>0.23472222222222222</v>
      </c>
      <c r="G387" s="14">
        <v>0.25069444444444444</v>
      </c>
      <c r="H387" s="14">
        <v>0.2673611111111111</v>
      </c>
      <c r="I387" s="14">
        <v>0.2833333333333333</v>
      </c>
      <c r="J387" s="14">
        <v>0.3</v>
      </c>
      <c r="K387" s="14">
        <v>0.3159722222222222</v>
      </c>
      <c r="L387" s="14">
        <v>0.3326388888888889</v>
      </c>
      <c r="M387" s="14">
        <v>0.3486111111111111</v>
      </c>
      <c r="N387" s="14">
        <v>0.36527777777777776</v>
      </c>
      <c r="O387" s="14">
        <v>0.38125</v>
      </c>
      <c r="P387" s="14">
        <v>0.4131944444444444</v>
      </c>
      <c r="Q387" s="14">
        <v>0.4388888888888889</v>
      </c>
      <c r="R387" s="14">
        <v>0.4618055555555556</v>
      </c>
      <c r="S387" s="14">
        <v>0.5104166666666666</v>
      </c>
      <c r="T387" s="14">
        <v>0.5361111111111111</v>
      </c>
      <c r="U387" s="14">
        <v>0.5590277777777778</v>
      </c>
      <c r="V387" s="14">
        <v>0.6076388888888888</v>
      </c>
      <c r="W387" s="14">
        <v>0.6388888888888888</v>
      </c>
      <c r="X387" s="14">
        <v>0.6583333333333333</v>
      </c>
      <c r="Y387" s="14">
        <v>0.675</v>
      </c>
      <c r="Z387" s="14">
        <v>0.6909722222222222</v>
      </c>
      <c r="AA387" s="14">
        <v>0.7069444444444445</v>
      </c>
      <c r="AB387" s="14">
        <v>0.7236111111111111</v>
      </c>
      <c r="AC387" s="14">
        <v>0.7395833333333334</v>
      </c>
      <c r="AD387" s="14">
        <v>0.75625</v>
      </c>
      <c r="AE387" s="14">
        <v>0.7722222222222223</v>
      </c>
    </row>
    <row r="388">
      <c r="B388" s="11" t="s">
        <v>14</v>
      </c>
      <c r="C388" s="14">
        <v>0.18958333333333333</v>
      </c>
      <c r="D388" s="14">
        <v>0.20555555555555555</v>
      </c>
      <c r="E388" s="14">
        <v>0.2222222222222222</v>
      </c>
      <c r="F388" s="14">
        <v>0.23819444444444443</v>
      </c>
      <c r="G388" s="14">
        <v>0.2548611111111111</v>
      </c>
      <c r="H388" s="14">
        <v>0.2708333333333333</v>
      </c>
      <c r="I388" s="14">
        <v>0.2875</v>
      </c>
      <c r="J388" s="14">
        <v>0.3034722222222222</v>
      </c>
      <c r="K388" s="14">
        <v>0.32013888888888886</v>
      </c>
      <c r="L388" s="14">
        <v>0.33611111111111114</v>
      </c>
      <c r="M388" s="14">
        <v>0.3527777777777778</v>
      </c>
      <c r="N388" s="14">
        <v>0.36875</v>
      </c>
      <c r="O388" s="14">
        <v>0.3854166666666667</v>
      </c>
      <c r="P388" s="14">
        <v>0.4173611111111111</v>
      </c>
      <c r="Q388" s="14">
        <v>0.44305555555555554</v>
      </c>
      <c r="R388" s="14">
        <v>0.46597222222222223</v>
      </c>
      <c r="S388" s="14">
        <v>0.5145833333333333</v>
      </c>
      <c r="T388" s="14">
        <v>0.5402777777777777</v>
      </c>
      <c r="U388" s="14">
        <v>0.5631944444444444</v>
      </c>
      <c r="V388" s="14">
        <v>0.6118055555555556</v>
      </c>
      <c r="W388" s="14">
        <v>0.6430555555555556</v>
      </c>
      <c r="X388" s="14">
        <v>0.6618055555555555</v>
      </c>
      <c r="Y388" s="14">
        <v>0.6791666666666667</v>
      </c>
      <c r="Z388" s="14">
        <v>0.6944444444444444</v>
      </c>
      <c r="AA388" s="14">
        <v>0.7111111111111111</v>
      </c>
      <c r="AB388" s="14">
        <v>0.7270833333333333</v>
      </c>
      <c r="AC388" s="14">
        <v>0.74375</v>
      </c>
      <c r="AD388" s="14">
        <v>0.7597222222222222</v>
      </c>
      <c r="AE388" s="14">
        <v>0.7763888888888889</v>
      </c>
    </row>
    <row r="389">
      <c r="B389" s="11" t="s">
        <v>16</v>
      </c>
      <c r="C389" s="14">
        <v>0.19236111111111112</v>
      </c>
      <c r="D389" s="14">
        <v>0.20902777777777778</v>
      </c>
      <c r="E389" s="14">
        <v>0.225</v>
      </c>
      <c r="F389" s="14">
        <v>0.24166666666666667</v>
      </c>
      <c r="G389" s="14">
        <v>0.25763888888888886</v>
      </c>
      <c r="H389" s="14">
        <v>0.2743055555555556</v>
      </c>
      <c r="I389" s="14">
        <v>0.2902777777777778</v>
      </c>
      <c r="J389" s="14">
        <v>0.30694444444444446</v>
      </c>
      <c r="K389" s="14">
        <v>0.3229166666666667</v>
      </c>
      <c r="L389" s="14">
        <v>0.33958333333333335</v>
      </c>
      <c r="M389" s="14">
        <v>0.35555555555555557</v>
      </c>
      <c r="N389" s="14">
        <v>0.37222222222222223</v>
      </c>
      <c r="O389" s="14">
        <v>0.38819444444444445</v>
      </c>
      <c r="P389" s="14">
        <v>0.4201388888888889</v>
      </c>
      <c r="Q389" s="14">
        <v>0.44583333333333336</v>
      </c>
      <c r="R389" s="14">
        <v>0.46875</v>
      </c>
      <c r="S389" s="14">
        <v>0.5173611111111112</v>
      </c>
      <c r="T389" s="14">
        <v>0.5430555555555555</v>
      </c>
      <c r="U389" s="14">
        <v>0.5659722222222222</v>
      </c>
      <c r="V389" s="14">
        <v>0.6145833333333334</v>
      </c>
      <c r="W389" s="14">
        <v>0.6458333333333334</v>
      </c>
      <c r="X389" s="14">
        <v>0.6652777777777777</v>
      </c>
      <c r="Y389" s="14">
        <v>0.6819444444444445</v>
      </c>
      <c r="Z389" s="14">
        <v>0.6979166666666666</v>
      </c>
      <c r="AA389" s="14">
        <v>0.7138888888888889</v>
      </c>
      <c r="AB389" s="14">
        <v>0.7305555555555555</v>
      </c>
      <c r="AC389" s="14">
        <v>0.7465277777777778</v>
      </c>
      <c r="AD389" s="14">
        <v>0.7631944444444444</v>
      </c>
      <c r="AE389" s="14">
        <v>0.7791666666666667</v>
      </c>
    </row>
    <row r="390">
      <c r="B390" s="11" t="s">
        <v>105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B391" s="11" t="s">
        <v>18</v>
      </c>
      <c r="C391" s="14">
        <v>0.19722222222222222</v>
      </c>
      <c r="D391" s="14">
        <v>0.21388888888888888</v>
      </c>
      <c r="E391" s="14">
        <v>0.2298611111111111</v>
      </c>
      <c r="F391" s="14">
        <v>0.2465277777777778</v>
      </c>
      <c r="G391" s="14">
        <v>0.2625</v>
      </c>
      <c r="H391" s="14">
        <v>0.2791666666666667</v>
      </c>
      <c r="I391" s="14">
        <v>0.2951388888888889</v>
      </c>
      <c r="J391" s="14">
        <v>0.31180555555555556</v>
      </c>
      <c r="K391" s="14">
        <v>0.3277777777777778</v>
      </c>
      <c r="L391" s="14">
        <v>0.34444444444444444</v>
      </c>
      <c r="M391" s="14">
        <v>0.36041666666666666</v>
      </c>
      <c r="N391" s="14">
        <v>0.3770833333333333</v>
      </c>
      <c r="O391" s="14">
        <v>0.39305555555555555</v>
      </c>
      <c r="P391" s="14">
        <v>0.425</v>
      </c>
      <c r="Q391" s="14">
        <v>0.45069444444444445</v>
      </c>
      <c r="R391" s="14">
        <v>0.4736111111111111</v>
      </c>
      <c r="S391" s="14">
        <v>0.5222222222222223</v>
      </c>
      <c r="T391" s="14">
        <v>0.5479166666666667</v>
      </c>
      <c r="U391" s="14">
        <v>0.5708333333333333</v>
      </c>
      <c r="V391" s="14">
        <v>0.6194444444444445</v>
      </c>
      <c r="W391" s="14">
        <v>0.6506944444444445</v>
      </c>
      <c r="X391" s="14">
        <v>0.6701388888888888</v>
      </c>
      <c r="Y391" s="14">
        <v>0.6868055555555556</v>
      </c>
      <c r="Z391" s="14">
        <v>0.7027777777777777</v>
      </c>
      <c r="AA391" s="14">
        <v>0.71875</v>
      </c>
      <c r="AB391" s="14">
        <v>0.7354166666666667</v>
      </c>
      <c r="AC391" s="14">
        <v>0.7513888888888889</v>
      </c>
      <c r="AD391" s="14">
        <v>0.7680555555555556</v>
      </c>
      <c r="AE391" s="14">
        <v>0.7840277777777778</v>
      </c>
    </row>
    <row r="392">
      <c r="B392" s="11" t="s">
        <v>103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B393" s="11" t="s">
        <v>20</v>
      </c>
      <c r="C393" s="14">
        <v>0.20069444444444445</v>
      </c>
      <c r="D393" s="14">
        <v>0.21666666666666667</v>
      </c>
      <c r="E393" s="14">
        <v>0.23333333333333334</v>
      </c>
      <c r="F393" s="14">
        <v>0.24930555555555556</v>
      </c>
      <c r="G393" s="14">
        <v>0.2659722222222222</v>
      </c>
      <c r="H393" s="14">
        <v>0.28194444444444444</v>
      </c>
      <c r="I393" s="14">
        <v>0.2986111111111111</v>
      </c>
      <c r="J393" s="14">
        <v>0.3145833333333333</v>
      </c>
      <c r="K393" s="14">
        <v>0.33125</v>
      </c>
      <c r="L393" s="14">
        <v>0.3472222222222222</v>
      </c>
      <c r="M393" s="14">
        <v>0.3638888888888889</v>
      </c>
      <c r="N393" s="14">
        <v>0.3798611111111111</v>
      </c>
      <c r="O393" s="14">
        <v>0.39652777777777776</v>
      </c>
      <c r="P393" s="14">
        <v>0.4284722222222222</v>
      </c>
      <c r="Q393" s="14">
        <v>0.45416666666666666</v>
      </c>
      <c r="R393" s="14">
        <v>0.47708333333333336</v>
      </c>
      <c r="S393" s="14">
        <v>0.5256944444444445</v>
      </c>
      <c r="T393" s="14">
        <v>0.5513888888888889</v>
      </c>
      <c r="U393" s="14">
        <v>0.5743055555555555</v>
      </c>
      <c r="V393" s="14">
        <v>0.6229166666666667</v>
      </c>
      <c r="W393" s="14">
        <v>0.6541666666666667</v>
      </c>
      <c r="X393" s="14">
        <v>0.6729166666666667</v>
      </c>
      <c r="Y393" s="14">
        <v>0.6902777777777778</v>
      </c>
      <c r="Z393" s="14">
        <v>0.7055555555555556</v>
      </c>
      <c r="AA393" s="14">
        <v>0.7222222222222222</v>
      </c>
      <c r="AB393" s="14">
        <v>0.7381944444444445</v>
      </c>
      <c r="AC393" s="14">
        <v>0.7548611111111111</v>
      </c>
      <c r="AD393" s="14">
        <v>0.7708333333333334</v>
      </c>
      <c r="AE393" s="14">
        <v>0.7875</v>
      </c>
    </row>
    <row r="394">
      <c r="B394" s="11" t="s">
        <v>101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B395" s="11" t="s">
        <v>99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B396" s="11" t="s">
        <v>97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B397" s="11" t="s">
        <v>95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B398" s="11" t="s">
        <v>22</v>
      </c>
      <c r="C398" s="14">
        <v>0.20555555555555555</v>
      </c>
      <c r="D398" s="14">
        <v>0.2222222222222222</v>
      </c>
      <c r="E398" s="14">
        <v>0.23819444444444443</v>
      </c>
      <c r="F398" s="14">
        <v>0.2548611111111111</v>
      </c>
      <c r="G398" s="14">
        <v>0.2708333333333333</v>
      </c>
      <c r="H398" s="14">
        <v>0.2875</v>
      </c>
      <c r="I398" s="14">
        <v>0.3034722222222222</v>
      </c>
      <c r="J398" s="14">
        <v>0.32013888888888886</v>
      </c>
      <c r="K398" s="14">
        <v>0.33611111111111114</v>
      </c>
      <c r="L398" s="14">
        <v>0.3527777777777778</v>
      </c>
      <c r="M398" s="14">
        <v>0.36875</v>
      </c>
      <c r="N398" s="14">
        <v>0.3854166666666667</v>
      </c>
      <c r="O398" s="14">
        <v>0.4013888888888889</v>
      </c>
      <c r="P398" s="14">
        <v>0.43333333333333335</v>
      </c>
      <c r="Q398" s="14">
        <v>0.45902777777777776</v>
      </c>
      <c r="R398" s="14">
        <v>0.48194444444444445</v>
      </c>
      <c r="S398" s="14">
        <v>0.5305555555555556</v>
      </c>
      <c r="T398" s="14">
        <v>0.55625</v>
      </c>
      <c r="U398" s="14">
        <v>0.5791666666666667</v>
      </c>
      <c r="V398" s="14">
        <v>0.6277777777777778</v>
      </c>
      <c r="W398" s="14">
        <v>0.6590277777777778</v>
      </c>
      <c r="X398" s="14">
        <v>0.6784722222222223</v>
      </c>
      <c r="Y398" s="14">
        <v>0.6951388888888889</v>
      </c>
      <c r="Z398" s="14">
        <v>0.7111111111111111</v>
      </c>
      <c r="AA398" s="14">
        <v>0.7270833333333333</v>
      </c>
      <c r="AB398" s="14">
        <v>0.74375</v>
      </c>
      <c r="AC398" s="14">
        <v>0.7597222222222222</v>
      </c>
      <c r="AD398" s="14">
        <v>0.7763888888888889</v>
      </c>
      <c r="AE398" s="14">
        <v>0.7923611111111111</v>
      </c>
    </row>
    <row r="399">
      <c r="B399" s="11" t="s">
        <v>93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B400" s="11" t="s">
        <v>91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B401" s="11" t="s">
        <v>24</v>
      </c>
      <c r="C401" s="14">
        <v>0.20972222222222223</v>
      </c>
      <c r="D401" s="14">
        <v>0.22569444444444445</v>
      </c>
      <c r="E401" s="14">
        <v>0.2423611111111111</v>
      </c>
      <c r="F401" s="14">
        <v>0.25833333333333336</v>
      </c>
      <c r="G401" s="14">
        <v>0.275</v>
      </c>
      <c r="H401" s="14">
        <v>0.29097222222222224</v>
      </c>
      <c r="I401" s="14">
        <v>0.3076388888888889</v>
      </c>
      <c r="J401" s="14">
        <v>0.3236111111111111</v>
      </c>
      <c r="K401" s="14">
        <v>0.3402777777777778</v>
      </c>
      <c r="L401" s="14">
        <v>0.35625</v>
      </c>
      <c r="M401" s="14">
        <v>0.3729166666666667</v>
      </c>
      <c r="N401" s="14">
        <v>0.3888888888888889</v>
      </c>
      <c r="O401" s="14">
        <v>0.40555555555555556</v>
      </c>
      <c r="P401" s="14">
        <v>0.4375</v>
      </c>
      <c r="Q401" s="14">
        <v>0.46319444444444446</v>
      </c>
      <c r="R401" s="14">
        <v>0.4861111111111111</v>
      </c>
      <c r="S401" s="14">
        <v>0.5347222222222222</v>
      </c>
      <c r="T401" s="14">
        <v>0.5604166666666667</v>
      </c>
      <c r="U401" s="14">
        <v>0.5833333333333334</v>
      </c>
      <c r="V401" s="14">
        <v>0.6319444444444444</v>
      </c>
      <c r="W401" s="14">
        <v>0.6631944444444444</v>
      </c>
      <c r="X401" s="14">
        <v>0.6819444444444445</v>
      </c>
      <c r="Y401" s="14">
        <v>0.6993055555555555</v>
      </c>
      <c r="Z401" s="14">
        <v>0.7145833333333333</v>
      </c>
      <c r="AA401" s="14">
        <v>0.73125</v>
      </c>
      <c r="AB401" s="14">
        <v>0.7472222222222222</v>
      </c>
      <c r="AC401" s="14">
        <v>0.7638888888888888</v>
      </c>
      <c r="AD401" s="14">
        <v>0.7798611111111111</v>
      </c>
      <c r="AE401" s="14">
        <v>0.7965277777777777</v>
      </c>
    </row>
    <row r="404">
      <c r="A404" s="3" t="str">
        <f>B407</f>
        <v>SAULSVILLE</v>
      </c>
      <c r="B404" s="3" t="str">
        <f>B417</f>
        <v>PRETORIA</v>
      </c>
    </row>
    <row r="406">
      <c r="B406" s="11" t="s">
        <v>27</v>
      </c>
      <c r="C406" s="11">
        <v>2.0</v>
      </c>
      <c r="D406" s="11">
        <v>4.0</v>
      </c>
      <c r="E406" s="11">
        <v>6.0</v>
      </c>
      <c r="F406" s="11">
        <v>8.0</v>
      </c>
      <c r="G406" s="11">
        <v>10.0</v>
      </c>
      <c r="H406" s="11">
        <v>12.0</v>
      </c>
      <c r="I406" s="11">
        <v>14.0</v>
      </c>
      <c r="J406" s="11">
        <v>16.0</v>
      </c>
      <c r="K406" s="11">
        <v>18.0</v>
      </c>
      <c r="L406" s="11">
        <v>20.0</v>
      </c>
      <c r="M406" s="11">
        <v>22.0</v>
      </c>
      <c r="N406" s="11">
        <v>24.0</v>
      </c>
      <c r="O406" s="11">
        <v>26.0</v>
      </c>
      <c r="P406" s="11">
        <v>28.0</v>
      </c>
      <c r="Q406" s="11">
        <v>30.0</v>
      </c>
      <c r="R406" s="11">
        <v>32.0</v>
      </c>
      <c r="S406" s="11">
        <v>34.0</v>
      </c>
      <c r="T406" s="11">
        <v>36.0</v>
      </c>
      <c r="U406" s="11">
        <v>38.0</v>
      </c>
      <c r="V406" s="11">
        <v>40.0</v>
      </c>
      <c r="W406" s="11">
        <v>42.0</v>
      </c>
      <c r="X406" s="11">
        <v>44.0</v>
      </c>
      <c r="Y406" s="11">
        <v>46.0</v>
      </c>
      <c r="Z406" s="11">
        <v>48.0</v>
      </c>
      <c r="AA406" s="11">
        <v>50.0</v>
      </c>
    </row>
    <row r="407">
      <c r="B407" s="11" t="s">
        <v>155</v>
      </c>
      <c r="C407" s="14">
        <v>0.19444444444444445</v>
      </c>
      <c r="D407" s="14">
        <v>0.21875</v>
      </c>
      <c r="E407" s="14">
        <v>0.24305555555555555</v>
      </c>
      <c r="F407" s="14">
        <v>0.2673611111111111</v>
      </c>
      <c r="G407" s="14">
        <v>0.2916666666666667</v>
      </c>
      <c r="H407" s="14">
        <v>0.3159722222222222</v>
      </c>
      <c r="I407" s="14">
        <v>0.3402777777777778</v>
      </c>
      <c r="J407" s="14">
        <v>0.3645833333333333</v>
      </c>
      <c r="K407" s="14">
        <v>0.3888888888888889</v>
      </c>
      <c r="L407" s="14">
        <v>0.4131944444444444</v>
      </c>
      <c r="M407" s="14">
        <v>0.4375</v>
      </c>
      <c r="N407" s="14">
        <v>0.4618055555555556</v>
      </c>
      <c r="O407" s="14">
        <v>0.4861111111111111</v>
      </c>
      <c r="P407" s="14">
        <v>0.5104166666666666</v>
      </c>
      <c r="Q407" s="14">
        <v>0.5347222222222222</v>
      </c>
      <c r="R407" s="14">
        <v>0.5590277777777778</v>
      </c>
      <c r="S407" s="14">
        <v>0.5833333333333334</v>
      </c>
      <c r="T407" s="14">
        <v>0.6076388888888888</v>
      </c>
      <c r="U407" s="14">
        <v>0.6319444444444444</v>
      </c>
      <c r="V407" s="14">
        <v>0.65625</v>
      </c>
      <c r="W407" s="14">
        <v>0.6805555555555556</v>
      </c>
      <c r="X407" s="14">
        <v>0.7048611111111112</v>
      </c>
      <c r="Y407" s="14">
        <v>0.7291666666666666</v>
      </c>
      <c r="Z407" s="14">
        <v>0.7534722222222222</v>
      </c>
      <c r="AA407" s="14">
        <v>0.7777777777777778</v>
      </c>
    </row>
    <row r="408">
      <c r="B408" s="11" t="s">
        <v>156</v>
      </c>
      <c r="C408" s="14">
        <v>0.19652777777777777</v>
      </c>
      <c r="D408" s="14">
        <v>0.22083333333333333</v>
      </c>
      <c r="E408" s="14">
        <v>0.24513888888888888</v>
      </c>
      <c r="F408" s="14">
        <v>0.26944444444444443</v>
      </c>
      <c r="G408" s="14">
        <v>0.29375</v>
      </c>
      <c r="H408" s="14">
        <v>0.31805555555555554</v>
      </c>
      <c r="I408" s="14">
        <v>0.3423611111111111</v>
      </c>
      <c r="J408" s="14">
        <v>0.36666666666666664</v>
      </c>
      <c r="K408" s="14">
        <v>0.3909722222222222</v>
      </c>
      <c r="L408" s="14">
        <v>0.4152777777777778</v>
      </c>
      <c r="M408" s="14">
        <v>0.4395833333333333</v>
      </c>
      <c r="N408" s="14">
        <v>0.4638888888888889</v>
      </c>
      <c r="O408" s="14">
        <v>0.48819444444444443</v>
      </c>
      <c r="P408" s="14">
        <v>0.5125</v>
      </c>
      <c r="Q408" s="14">
        <v>0.5368055555555555</v>
      </c>
      <c r="R408" s="14">
        <v>0.5611111111111111</v>
      </c>
      <c r="S408" s="14">
        <v>0.5854166666666667</v>
      </c>
      <c r="T408" s="14">
        <v>0.6097222222222223</v>
      </c>
      <c r="U408" s="14">
        <v>0.6340277777777777</v>
      </c>
      <c r="V408" s="14">
        <v>0.6583333333333333</v>
      </c>
      <c r="W408" s="14">
        <v>0.6826388888888889</v>
      </c>
      <c r="X408" s="14">
        <v>0.7069444444444445</v>
      </c>
      <c r="Y408" s="14">
        <v>0.73125</v>
      </c>
      <c r="Z408" s="14">
        <v>0.7555555555555555</v>
      </c>
      <c r="AA408" s="14">
        <v>0.7798611111111111</v>
      </c>
    </row>
    <row r="409">
      <c r="B409" s="11" t="s">
        <v>157</v>
      </c>
      <c r="C409" s="14">
        <v>0.19791666666666666</v>
      </c>
      <c r="D409" s="14">
        <v>0.2222222222222222</v>
      </c>
      <c r="E409" s="14">
        <v>0.2465277777777778</v>
      </c>
      <c r="F409" s="14">
        <v>0.2708333333333333</v>
      </c>
      <c r="G409" s="14">
        <v>0.2951388888888889</v>
      </c>
      <c r="H409" s="14">
        <v>0.3194444444444444</v>
      </c>
      <c r="I409" s="14">
        <v>0.34375</v>
      </c>
      <c r="J409" s="14">
        <v>0.3680555555555556</v>
      </c>
      <c r="K409" s="14">
        <v>0.3923611111111111</v>
      </c>
      <c r="L409" s="14">
        <v>0.4166666666666667</v>
      </c>
      <c r="M409" s="14">
        <v>0.4409722222222222</v>
      </c>
      <c r="N409" s="14">
        <v>0.4652777777777778</v>
      </c>
      <c r="O409" s="14">
        <v>0.4895833333333333</v>
      </c>
      <c r="P409" s="14">
        <v>0.5138888888888888</v>
      </c>
      <c r="Q409" s="14">
        <v>0.5381944444444444</v>
      </c>
      <c r="R409" s="14">
        <v>0.5625</v>
      </c>
      <c r="S409" s="14">
        <v>0.5868055555555556</v>
      </c>
      <c r="T409" s="14">
        <v>0.6111111111111112</v>
      </c>
      <c r="U409" s="14">
        <v>0.6354166666666666</v>
      </c>
      <c r="V409" s="14">
        <v>0.6597222222222222</v>
      </c>
      <c r="W409" s="14">
        <v>0.6840277777777778</v>
      </c>
      <c r="X409" s="14">
        <v>0.7083333333333334</v>
      </c>
      <c r="Y409" s="14">
        <v>0.7326388888888888</v>
      </c>
      <c r="Z409" s="14">
        <v>0.7569444444444444</v>
      </c>
      <c r="AA409" s="14">
        <v>0.78125</v>
      </c>
    </row>
    <row r="410">
      <c r="B410" s="11" t="s">
        <v>158</v>
      </c>
      <c r="C410" s="14">
        <v>0.20277777777777778</v>
      </c>
      <c r="D410" s="14">
        <v>0.22708333333333333</v>
      </c>
      <c r="E410" s="14">
        <v>0.2513888888888889</v>
      </c>
      <c r="F410" s="14">
        <v>0.27569444444444446</v>
      </c>
      <c r="G410" s="14">
        <v>0.3</v>
      </c>
      <c r="H410" s="14">
        <v>0.32430555555555557</v>
      </c>
      <c r="I410" s="14">
        <v>0.3486111111111111</v>
      </c>
      <c r="J410" s="14">
        <v>0.3729166666666667</v>
      </c>
      <c r="K410" s="14">
        <v>0.3972222222222222</v>
      </c>
      <c r="L410" s="14">
        <v>0.4215277777777778</v>
      </c>
      <c r="M410" s="14">
        <v>0.44583333333333336</v>
      </c>
      <c r="N410" s="14">
        <v>0.4701388888888889</v>
      </c>
      <c r="O410" s="14">
        <v>0.49444444444444446</v>
      </c>
      <c r="P410" s="14">
        <v>0.51875</v>
      </c>
      <c r="Q410" s="14">
        <v>0.5430555555555555</v>
      </c>
      <c r="R410" s="14">
        <v>0.5673611111111111</v>
      </c>
      <c r="S410" s="14">
        <v>0.5916666666666667</v>
      </c>
      <c r="T410" s="14">
        <v>0.6159722222222223</v>
      </c>
      <c r="U410" s="14">
        <v>0.6402777777777777</v>
      </c>
      <c r="V410" s="14">
        <v>0.6645833333333333</v>
      </c>
      <c r="W410" s="14">
        <v>0.6888888888888889</v>
      </c>
      <c r="X410" s="14">
        <v>0.7131944444444445</v>
      </c>
      <c r="Y410" s="14">
        <v>0.7375</v>
      </c>
      <c r="Z410" s="14">
        <v>0.7618055555555555</v>
      </c>
      <c r="AA410" s="14">
        <v>0.7861111111111111</v>
      </c>
    </row>
    <row r="411">
      <c r="B411" s="11" t="s">
        <v>159</v>
      </c>
      <c r="C411" s="14">
        <v>0.20416666666666666</v>
      </c>
      <c r="D411" s="14">
        <v>0.22847222222222222</v>
      </c>
      <c r="E411" s="14">
        <v>0.25277777777777777</v>
      </c>
      <c r="F411" s="14">
        <v>0.27708333333333335</v>
      </c>
      <c r="G411" s="14">
        <v>0.3013888888888889</v>
      </c>
      <c r="H411" s="14">
        <v>0.32569444444444445</v>
      </c>
      <c r="I411" s="14">
        <v>0.35</v>
      </c>
      <c r="J411" s="14">
        <v>0.37430555555555556</v>
      </c>
      <c r="K411" s="14">
        <v>0.39861111111111114</v>
      </c>
      <c r="L411" s="14">
        <v>0.42291666666666666</v>
      </c>
      <c r="M411" s="14">
        <v>0.44722222222222224</v>
      </c>
      <c r="N411" s="14">
        <v>0.47152777777777777</v>
      </c>
      <c r="O411" s="14">
        <v>0.49583333333333335</v>
      </c>
      <c r="P411" s="14">
        <v>0.5201388888888889</v>
      </c>
      <c r="Q411" s="14">
        <v>0.5444444444444444</v>
      </c>
      <c r="R411" s="14">
        <v>0.56875</v>
      </c>
      <c r="S411" s="14">
        <v>0.5930555555555556</v>
      </c>
      <c r="T411" s="14">
        <v>0.6173611111111111</v>
      </c>
      <c r="U411" s="14">
        <v>0.6416666666666667</v>
      </c>
      <c r="V411" s="14">
        <v>0.6659722222222222</v>
      </c>
      <c r="W411" s="14">
        <v>0.6902777777777778</v>
      </c>
      <c r="X411" s="14">
        <v>0.7145833333333333</v>
      </c>
      <c r="Y411" s="14">
        <v>0.7388888888888889</v>
      </c>
      <c r="Z411" s="14">
        <v>0.7631944444444444</v>
      </c>
      <c r="AA411" s="14">
        <v>0.7875</v>
      </c>
    </row>
    <row r="412">
      <c r="B412" s="11" t="s">
        <v>160</v>
      </c>
      <c r="C412" s="14">
        <v>0.20555555555555555</v>
      </c>
      <c r="D412" s="14">
        <v>0.2298611111111111</v>
      </c>
      <c r="E412" s="14">
        <v>0.25416666666666665</v>
      </c>
      <c r="F412" s="14">
        <v>0.27847222222222223</v>
      </c>
      <c r="G412" s="14">
        <v>0.30277777777777776</v>
      </c>
      <c r="H412" s="14">
        <v>0.32708333333333334</v>
      </c>
      <c r="I412" s="14">
        <v>0.35138888888888886</v>
      </c>
      <c r="J412" s="14">
        <v>0.37569444444444444</v>
      </c>
      <c r="K412" s="14">
        <v>0.4</v>
      </c>
      <c r="L412" s="14">
        <v>0.42430555555555555</v>
      </c>
      <c r="M412" s="14">
        <v>0.4486111111111111</v>
      </c>
      <c r="N412" s="14">
        <v>0.47291666666666665</v>
      </c>
      <c r="O412" s="14">
        <v>0.49722222222222223</v>
      </c>
      <c r="P412" s="14">
        <v>0.5215277777777778</v>
      </c>
      <c r="Q412" s="14">
        <v>0.5458333333333333</v>
      </c>
      <c r="R412" s="14">
        <v>0.5701388888888889</v>
      </c>
      <c r="S412" s="14">
        <v>0.5944444444444444</v>
      </c>
      <c r="T412" s="14">
        <v>0.61875</v>
      </c>
      <c r="U412" s="14">
        <v>0.6430555555555556</v>
      </c>
      <c r="V412" s="14">
        <v>0.6673611111111111</v>
      </c>
      <c r="W412" s="14">
        <v>0.6916666666666667</v>
      </c>
      <c r="X412" s="14">
        <v>0.7159722222222222</v>
      </c>
      <c r="Y412" s="14">
        <v>0.7402777777777778</v>
      </c>
      <c r="Z412" s="14">
        <v>0.7645833333333333</v>
      </c>
      <c r="AA412" s="14">
        <v>0.7888888888888889</v>
      </c>
    </row>
    <row r="413">
      <c r="B413" s="11" t="s">
        <v>95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B414" s="11" t="s">
        <v>22</v>
      </c>
      <c r="C414" s="14">
        <v>0.20833333333333334</v>
      </c>
      <c r="D414" s="14">
        <v>0.2326388888888889</v>
      </c>
      <c r="E414" s="14">
        <v>0.2569444444444444</v>
      </c>
      <c r="F414" s="14">
        <v>0.28125</v>
      </c>
      <c r="G414" s="14">
        <v>0.3055555555555556</v>
      </c>
      <c r="H414" s="14">
        <v>0.3298611111111111</v>
      </c>
      <c r="I414" s="14">
        <v>0.3541666666666667</v>
      </c>
      <c r="J414" s="14">
        <v>0.3784722222222222</v>
      </c>
      <c r="K414" s="14">
        <v>0.4027777777777778</v>
      </c>
      <c r="L414" s="14">
        <v>0.4270833333333333</v>
      </c>
      <c r="M414" s="14">
        <v>0.4513888888888889</v>
      </c>
      <c r="N414" s="14">
        <v>0.4756944444444444</v>
      </c>
      <c r="O414" s="14">
        <v>0.5</v>
      </c>
      <c r="P414" s="14">
        <v>0.5243055555555556</v>
      </c>
      <c r="Q414" s="14">
        <v>0.5486111111111112</v>
      </c>
      <c r="R414" s="14">
        <v>0.5729166666666666</v>
      </c>
      <c r="S414" s="14">
        <v>0.5972222222222222</v>
      </c>
      <c r="T414" s="14">
        <v>0.6215277777777778</v>
      </c>
      <c r="U414" s="14">
        <v>0.6458333333333334</v>
      </c>
      <c r="V414" s="14">
        <v>0.6701388888888888</v>
      </c>
      <c r="W414" s="14">
        <v>0.6944444444444444</v>
      </c>
      <c r="X414" s="14">
        <v>0.71875</v>
      </c>
      <c r="Y414" s="14">
        <v>0.7430555555555556</v>
      </c>
      <c r="Z414" s="14">
        <v>0.7673611111111112</v>
      </c>
      <c r="AA414" s="14">
        <v>0.7916666666666666</v>
      </c>
    </row>
    <row r="415">
      <c r="B415" s="11" t="s">
        <v>93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B416" s="11" t="s">
        <v>91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B417" s="11" t="s">
        <v>24</v>
      </c>
      <c r="C417" s="14">
        <v>0.21180555555555555</v>
      </c>
      <c r="D417" s="14">
        <v>0.2361111111111111</v>
      </c>
      <c r="E417" s="14">
        <v>0.2604166666666667</v>
      </c>
      <c r="F417" s="14">
        <v>0.2847222222222222</v>
      </c>
      <c r="G417" s="14">
        <v>0.3090277777777778</v>
      </c>
      <c r="H417" s="14">
        <v>0.3333333333333333</v>
      </c>
      <c r="I417" s="14">
        <v>0.3576388888888889</v>
      </c>
      <c r="J417" s="14">
        <v>0.3819444444444444</v>
      </c>
      <c r="K417" s="14">
        <v>0.40625</v>
      </c>
      <c r="L417" s="14">
        <v>0.4305555555555556</v>
      </c>
      <c r="M417" s="14">
        <v>0.4548611111111111</v>
      </c>
      <c r="N417" s="14">
        <v>0.4791666666666667</v>
      </c>
      <c r="O417" s="14">
        <v>0.5034722222222222</v>
      </c>
      <c r="P417" s="14">
        <v>0.5277777777777778</v>
      </c>
      <c r="Q417" s="14">
        <v>0.5520833333333334</v>
      </c>
      <c r="R417" s="14">
        <v>0.5763888888888888</v>
      </c>
      <c r="S417" s="14">
        <v>0.6006944444444444</v>
      </c>
      <c r="T417" s="14">
        <v>0.625</v>
      </c>
      <c r="U417" s="14">
        <v>0.6493055555555556</v>
      </c>
      <c r="V417" s="14">
        <v>0.6736111111111112</v>
      </c>
      <c r="W417" s="14">
        <v>0.6979166666666666</v>
      </c>
      <c r="X417" s="14">
        <v>0.7222222222222222</v>
      </c>
      <c r="Y417" s="14">
        <v>0.7465277777777778</v>
      </c>
      <c r="Z417" s="14">
        <v>0.7708333333333334</v>
      </c>
      <c r="AA417" s="14">
        <v>0.7951388888888888</v>
      </c>
    </row>
    <row r="419">
      <c r="A419" s="3" t="str">
        <f>B422</f>
        <v>PRETORIA</v>
      </c>
      <c r="B419" s="3" t="str">
        <f>B432</f>
        <v>SAULSVILLE</v>
      </c>
    </row>
    <row r="421">
      <c r="B421" s="11" t="s">
        <v>27</v>
      </c>
      <c r="C421" s="11">
        <v>3.0</v>
      </c>
      <c r="D421" s="11">
        <v>5.0</v>
      </c>
      <c r="E421" s="11">
        <v>7.0</v>
      </c>
      <c r="F421" s="11">
        <v>9.0</v>
      </c>
      <c r="G421" s="11">
        <v>11.0</v>
      </c>
      <c r="H421" s="11">
        <v>13.0</v>
      </c>
      <c r="I421" s="11">
        <v>15.0</v>
      </c>
      <c r="J421" s="11">
        <v>17.0</v>
      </c>
      <c r="K421" s="11">
        <v>19.0</v>
      </c>
      <c r="L421" s="11">
        <v>21.0</v>
      </c>
      <c r="M421" s="11">
        <v>23.0</v>
      </c>
      <c r="N421" s="11">
        <v>25.0</v>
      </c>
      <c r="O421" s="11">
        <v>27.0</v>
      </c>
      <c r="P421" s="11">
        <v>29.0</v>
      </c>
      <c r="Q421" s="11">
        <v>31.0</v>
      </c>
      <c r="R421" s="11">
        <v>33.0</v>
      </c>
      <c r="S421" s="11">
        <v>35.0</v>
      </c>
      <c r="T421" s="11">
        <v>37.0</v>
      </c>
      <c r="U421" s="11">
        <v>39.0</v>
      </c>
      <c r="V421" s="11">
        <v>41.0</v>
      </c>
      <c r="W421" s="11">
        <v>43.0</v>
      </c>
      <c r="X421" s="11">
        <v>45.0</v>
      </c>
      <c r="Y421" s="11">
        <v>47.0</v>
      </c>
      <c r="Z421" s="11">
        <v>49.0</v>
      </c>
      <c r="AA421" s="11">
        <v>51.0</v>
      </c>
    </row>
    <row r="422">
      <c r="B422" s="11" t="s">
        <v>24</v>
      </c>
      <c r="C422" s="14">
        <v>0.21875</v>
      </c>
      <c r="D422" s="14">
        <v>0.24305555555555555</v>
      </c>
      <c r="E422" s="14">
        <v>0.2673611111111111</v>
      </c>
      <c r="F422" s="14">
        <v>0.2916666666666667</v>
      </c>
      <c r="G422" s="14">
        <v>0.3159722222222222</v>
      </c>
      <c r="H422" s="14">
        <v>0.3402777777777778</v>
      </c>
      <c r="I422" s="14">
        <v>0.3645833333333333</v>
      </c>
      <c r="J422" s="14">
        <v>0.3888888888888889</v>
      </c>
      <c r="K422" s="14">
        <v>0.4131944444444444</v>
      </c>
      <c r="L422" s="14">
        <v>0.4375</v>
      </c>
      <c r="M422" s="14">
        <v>0.4618055555555556</v>
      </c>
      <c r="N422" s="14">
        <v>0.4861111111111111</v>
      </c>
      <c r="O422" s="14">
        <v>0.5104166666666666</v>
      </c>
      <c r="P422" s="14">
        <v>0.5347222222222222</v>
      </c>
      <c r="Q422" s="14">
        <v>0.5590277777777778</v>
      </c>
      <c r="R422" s="14">
        <v>0.5833333333333334</v>
      </c>
      <c r="S422" s="14">
        <v>0.6076388888888888</v>
      </c>
      <c r="T422" s="14">
        <v>0.6319444444444444</v>
      </c>
      <c r="U422" s="14">
        <v>0.65625</v>
      </c>
      <c r="V422" s="14">
        <v>0.6805555555555556</v>
      </c>
      <c r="W422" s="14">
        <v>0.7048611111111112</v>
      </c>
      <c r="X422" s="14">
        <v>0.7291666666666666</v>
      </c>
      <c r="Y422" s="14">
        <v>0.7534722222222222</v>
      </c>
      <c r="Z422" s="14">
        <v>0.7777777777777778</v>
      </c>
      <c r="AA422" s="14">
        <v>0.8055555555555556</v>
      </c>
    </row>
    <row r="423">
      <c r="B423" s="11" t="s">
        <v>91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B424" s="11" t="s">
        <v>93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B425" s="11" t="s">
        <v>22</v>
      </c>
      <c r="C425" s="14">
        <v>0.2222222222222222</v>
      </c>
      <c r="D425" s="14">
        <v>0.2465277777777778</v>
      </c>
      <c r="E425" s="14">
        <v>0.2708333333333333</v>
      </c>
      <c r="F425" s="14">
        <v>0.2951388888888889</v>
      </c>
      <c r="G425" s="14">
        <v>0.3194444444444444</v>
      </c>
      <c r="H425" s="14">
        <v>0.34375</v>
      </c>
      <c r="I425" s="14">
        <v>0.3680555555555556</v>
      </c>
      <c r="J425" s="14">
        <v>0.3923611111111111</v>
      </c>
      <c r="K425" s="14">
        <v>0.4166666666666667</v>
      </c>
      <c r="L425" s="14">
        <v>0.4409722222222222</v>
      </c>
      <c r="M425" s="14">
        <v>0.4652777777777778</v>
      </c>
      <c r="N425" s="14">
        <v>0.4895833333333333</v>
      </c>
      <c r="O425" s="14">
        <v>0.5138888888888888</v>
      </c>
      <c r="P425" s="14">
        <v>0.5381944444444444</v>
      </c>
      <c r="Q425" s="14">
        <v>0.5625</v>
      </c>
      <c r="R425" s="14">
        <v>0.5868055555555556</v>
      </c>
      <c r="S425" s="14">
        <v>0.6111111111111112</v>
      </c>
      <c r="T425" s="14">
        <v>0.6354166666666666</v>
      </c>
      <c r="U425" s="14">
        <v>0.6597222222222222</v>
      </c>
      <c r="V425" s="14">
        <v>0.6840277777777778</v>
      </c>
      <c r="W425" s="14">
        <v>0.7083333333333334</v>
      </c>
      <c r="X425" s="14">
        <v>0.7326388888888888</v>
      </c>
      <c r="Y425" s="14">
        <v>0.7569444444444444</v>
      </c>
      <c r="Z425" s="14">
        <v>0.78125</v>
      </c>
      <c r="AA425" s="14">
        <v>0.8090277777777778</v>
      </c>
    </row>
    <row r="426">
      <c r="B426" s="11" t="s">
        <v>95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B427" s="11" t="s">
        <v>160</v>
      </c>
      <c r="C427" s="14">
        <v>0.225</v>
      </c>
      <c r="D427" s="14">
        <v>0.24930555555555556</v>
      </c>
      <c r="E427" s="14">
        <v>0.27361111111111114</v>
      </c>
      <c r="F427" s="14">
        <v>0.29791666666666666</v>
      </c>
      <c r="G427" s="14">
        <v>0.32222222222222224</v>
      </c>
      <c r="H427" s="14">
        <v>0.34652777777777777</v>
      </c>
      <c r="I427" s="14">
        <v>0.37083333333333335</v>
      </c>
      <c r="J427" s="14">
        <v>0.3951388888888889</v>
      </c>
      <c r="K427" s="14">
        <v>0.41944444444444445</v>
      </c>
      <c r="L427" s="14">
        <v>0.44375</v>
      </c>
      <c r="M427" s="14">
        <v>0.46805555555555556</v>
      </c>
      <c r="N427" s="14">
        <v>0.49236111111111114</v>
      </c>
      <c r="O427" s="14">
        <v>0.5166666666666667</v>
      </c>
      <c r="P427" s="14">
        <v>0.5409722222222222</v>
      </c>
      <c r="Q427" s="14">
        <v>0.5652777777777778</v>
      </c>
      <c r="R427" s="14">
        <v>0.5895833333333333</v>
      </c>
      <c r="S427" s="14">
        <v>0.6138888888888889</v>
      </c>
      <c r="T427" s="14">
        <v>0.6381944444444444</v>
      </c>
      <c r="U427" s="14">
        <v>0.6625</v>
      </c>
      <c r="V427" s="14">
        <v>0.6868055555555556</v>
      </c>
      <c r="W427" s="14">
        <v>0.7111111111111111</v>
      </c>
      <c r="X427" s="14">
        <v>0.7354166666666667</v>
      </c>
      <c r="Y427" s="14">
        <v>0.7597222222222222</v>
      </c>
      <c r="Z427" s="14">
        <v>0.7840277777777778</v>
      </c>
      <c r="AA427" s="14">
        <v>0.8118055555555556</v>
      </c>
    </row>
    <row r="428">
      <c r="B428" s="11" t="s">
        <v>159</v>
      </c>
      <c r="C428" s="14">
        <v>0.2263888888888889</v>
      </c>
      <c r="D428" s="14">
        <v>0.25069444444444444</v>
      </c>
      <c r="E428" s="14">
        <v>0.275</v>
      </c>
      <c r="F428" s="14">
        <v>0.29930555555555555</v>
      </c>
      <c r="G428" s="14">
        <v>0.3236111111111111</v>
      </c>
      <c r="H428" s="14">
        <v>0.34791666666666665</v>
      </c>
      <c r="I428" s="14">
        <v>0.37222222222222223</v>
      </c>
      <c r="J428" s="14">
        <v>0.39652777777777776</v>
      </c>
      <c r="K428" s="14">
        <v>0.42083333333333334</v>
      </c>
      <c r="L428" s="14">
        <v>0.44513888888888886</v>
      </c>
      <c r="M428" s="14">
        <v>0.46944444444444444</v>
      </c>
      <c r="N428" s="14">
        <v>0.49375</v>
      </c>
      <c r="O428" s="14">
        <v>0.5180555555555556</v>
      </c>
      <c r="P428" s="14">
        <v>0.5423611111111111</v>
      </c>
      <c r="Q428" s="14">
        <v>0.5666666666666667</v>
      </c>
      <c r="R428" s="14">
        <v>0.5909722222222222</v>
      </c>
      <c r="S428" s="14">
        <v>0.6152777777777778</v>
      </c>
      <c r="T428" s="14">
        <v>0.6395833333333333</v>
      </c>
      <c r="U428" s="14">
        <v>0.6638888888888889</v>
      </c>
      <c r="V428" s="14">
        <v>0.6881944444444444</v>
      </c>
      <c r="W428" s="14">
        <v>0.7125</v>
      </c>
      <c r="X428" s="14">
        <v>0.7368055555555556</v>
      </c>
      <c r="Y428" s="14">
        <v>0.7611111111111111</v>
      </c>
      <c r="Z428" s="14">
        <v>0.7854166666666667</v>
      </c>
      <c r="AA428" s="14">
        <v>0.8131944444444444</v>
      </c>
    </row>
    <row r="429">
      <c r="B429" s="11" t="s">
        <v>158</v>
      </c>
      <c r="C429" s="14">
        <v>0.22847222222222222</v>
      </c>
      <c r="D429" s="14">
        <v>0.25277777777777777</v>
      </c>
      <c r="E429" s="14">
        <v>0.27708333333333335</v>
      </c>
      <c r="F429" s="14">
        <v>0.3013888888888889</v>
      </c>
      <c r="G429" s="14">
        <v>0.32569444444444445</v>
      </c>
      <c r="H429" s="14">
        <v>0.35</v>
      </c>
      <c r="I429" s="14">
        <v>0.37430555555555556</v>
      </c>
      <c r="J429" s="14">
        <v>0.39861111111111114</v>
      </c>
      <c r="K429" s="14">
        <v>0.42291666666666666</v>
      </c>
      <c r="L429" s="14">
        <v>0.44722222222222224</v>
      </c>
      <c r="M429" s="14">
        <v>0.47152777777777777</v>
      </c>
      <c r="N429" s="14">
        <v>0.49583333333333335</v>
      </c>
      <c r="O429" s="14">
        <v>0.5201388888888889</v>
      </c>
      <c r="P429" s="14">
        <v>0.5444444444444444</v>
      </c>
      <c r="Q429" s="14">
        <v>0.56875</v>
      </c>
      <c r="R429" s="14">
        <v>0.5930555555555556</v>
      </c>
      <c r="S429" s="14">
        <v>0.6173611111111111</v>
      </c>
      <c r="T429" s="14">
        <v>0.6416666666666667</v>
      </c>
      <c r="U429" s="14">
        <v>0.6659722222222222</v>
      </c>
      <c r="V429" s="14">
        <v>0.6902777777777778</v>
      </c>
      <c r="W429" s="14">
        <v>0.7145833333333333</v>
      </c>
      <c r="X429" s="14">
        <v>0.7388888888888889</v>
      </c>
      <c r="Y429" s="14">
        <v>0.7631944444444444</v>
      </c>
      <c r="Z429" s="14">
        <v>0.7875</v>
      </c>
      <c r="AA429" s="14">
        <v>0.8152777777777778</v>
      </c>
    </row>
    <row r="430">
      <c r="B430" s="11" t="s">
        <v>157</v>
      </c>
      <c r="C430" s="14">
        <v>0.2326388888888889</v>
      </c>
      <c r="D430" s="14">
        <v>0.2569444444444444</v>
      </c>
      <c r="E430" s="14">
        <v>0.28125</v>
      </c>
      <c r="F430" s="14">
        <v>0.3055555555555556</v>
      </c>
      <c r="G430" s="14">
        <v>0.3298611111111111</v>
      </c>
      <c r="H430" s="14">
        <v>0.3541666666666667</v>
      </c>
      <c r="I430" s="14">
        <v>0.3784722222222222</v>
      </c>
      <c r="J430" s="14">
        <v>0.4027777777777778</v>
      </c>
      <c r="K430" s="14">
        <v>0.4270833333333333</v>
      </c>
      <c r="L430" s="14">
        <v>0.4513888888888889</v>
      </c>
      <c r="M430" s="14">
        <v>0.4756944444444444</v>
      </c>
      <c r="N430" s="14">
        <v>0.5</v>
      </c>
      <c r="O430" s="14">
        <v>0.5243055555555556</v>
      </c>
      <c r="P430" s="14">
        <v>0.5486111111111112</v>
      </c>
      <c r="Q430" s="14">
        <v>0.5729166666666666</v>
      </c>
      <c r="R430" s="14">
        <v>0.5972222222222222</v>
      </c>
      <c r="S430" s="14">
        <v>0.6215277777777778</v>
      </c>
      <c r="T430" s="14">
        <v>0.6458333333333334</v>
      </c>
      <c r="U430" s="14">
        <v>0.6701388888888888</v>
      </c>
      <c r="V430" s="14">
        <v>0.6944444444444444</v>
      </c>
      <c r="W430" s="14">
        <v>0.71875</v>
      </c>
      <c r="X430" s="14">
        <v>0.7430555555555556</v>
      </c>
      <c r="Y430" s="14">
        <v>0.7673611111111112</v>
      </c>
      <c r="Z430" s="14">
        <v>0.7916666666666666</v>
      </c>
      <c r="AA430" s="14">
        <v>0.8194444444444444</v>
      </c>
    </row>
    <row r="431">
      <c r="B431" s="11" t="s">
        <v>156</v>
      </c>
      <c r="C431" s="14">
        <v>0.23402777777777778</v>
      </c>
      <c r="D431" s="14">
        <v>0.25833333333333336</v>
      </c>
      <c r="E431" s="14">
        <v>0.2826388888888889</v>
      </c>
      <c r="F431" s="14">
        <v>0.30694444444444446</v>
      </c>
      <c r="G431" s="14">
        <v>0.33125</v>
      </c>
      <c r="H431" s="14">
        <v>0.35555555555555557</v>
      </c>
      <c r="I431" s="14">
        <v>0.3798611111111111</v>
      </c>
      <c r="J431" s="14">
        <v>0.4041666666666667</v>
      </c>
      <c r="K431" s="14">
        <v>0.4284722222222222</v>
      </c>
      <c r="L431" s="14">
        <v>0.4527777777777778</v>
      </c>
      <c r="M431" s="14">
        <v>0.47708333333333336</v>
      </c>
      <c r="N431" s="14">
        <v>0.5013888888888889</v>
      </c>
      <c r="O431" s="14">
        <v>0.5256944444444445</v>
      </c>
      <c r="P431" s="14">
        <v>0.55</v>
      </c>
      <c r="Q431" s="14">
        <v>0.5743055555555555</v>
      </c>
      <c r="R431" s="14">
        <v>0.5986111111111111</v>
      </c>
      <c r="S431" s="14">
        <v>0.6229166666666667</v>
      </c>
      <c r="T431" s="14">
        <v>0.6472222222222223</v>
      </c>
      <c r="U431" s="14">
        <v>0.6715277777777777</v>
      </c>
      <c r="V431" s="14">
        <v>0.6958333333333333</v>
      </c>
      <c r="W431" s="14">
        <v>0.7201388888888889</v>
      </c>
      <c r="X431" s="14">
        <v>0.7444444444444445</v>
      </c>
      <c r="Y431" s="14">
        <v>0.76875</v>
      </c>
      <c r="Z431" s="14">
        <v>0.7930555555555555</v>
      </c>
      <c r="AA431" s="14">
        <v>0.8208333333333333</v>
      </c>
    </row>
    <row r="432">
      <c r="B432" s="11" t="s">
        <v>155</v>
      </c>
      <c r="C432" s="14">
        <v>0.2361111111111111</v>
      </c>
      <c r="D432" s="14">
        <v>0.2604166666666667</v>
      </c>
      <c r="E432" s="14">
        <v>0.2847222222222222</v>
      </c>
      <c r="F432" s="14">
        <v>0.3090277777777778</v>
      </c>
      <c r="G432" s="14">
        <v>0.3333333333333333</v>
      </c>
      <c r="H432" s="14">
        <v>0.3576388888888889</v>
      </c>
      <c r="I432" s="14">
        <v>0.3819444444444444</v>
      </c>
      <c r="J432" s="14">
        <v>0.40625</v>
      </c>
      <c r="K432" s="14">
        <v>0.4305555555555556</v>
      </c>
      <c r="L432" s="14">
        <v>0.4548611111111111</v>
      </c>
      <c r="M432" s="14">
        <v>0.4791666666666667</v>
      </c>
      <c r="N432" s="14">
        <v>0.5034722222222222</v>
      </c>
      <c r="O432" s="14">
        <v>0.5277777777777778</v>
      </c>
      <c r="P432" s="14">
        <v>0.5520833333333334</v>
      </c>
      <c r="Q432" s="14">
        <v>0.5763888888888888</v>
      </c>
      <c r="R432" s="14">
        <v>0.6006944444444444</v>
      </c>
      <c r="S432" s="14">
        <v>0.625</v>
      </c>
      <c r="T432" s="14">
        <v>0.6493055555555556</v>
      </c>
      <c r="U432" s="14">
        <v>0.6736111111111112</v>
      </c>
      <c r="V432" s="14">
        <v>0.6979166666666666</v>
      </c>
      <c r="W432" s="14">
        <v>0.7222222222222222</v>
      </c>
      <c r="X432" s="14">
        <v>0.7465277777777778</v>
      </c>
      <c r="Y432" s="14">
        <v>0.7708333333333334</v>
      </c>
      <c r="Z432" s="14">
        <v>0.7951388888888888</v>
      </c>
      <c r="AA432" s="14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</cols>
  <sheetData>
    <row r="1">
      <c r="A1" s="7" t="s">
        <v>161</v>
      </c>
    </row>
    <row r="2">
      <c r="A2" s="7" t="s">
        <v>162</v>
      </c>
    </row>
    <row r="3">
      <c r="A3" s="7" t="s">
        <v>163</v>
      </c>
    </row>
    <row r="4">
      <c r="A4" s="7" t="s">
        <v>164</v>
      </c>
    </row>
    <row r="5">
      <c r="A5" s="7" t="s">
        <v>165</v>
      </c>
    </row>
    <row r="6">
      <c r="A6" s="7" t="s">
        <v>166</v>
      </c>
    </row>
    <row r="7">
      <c r="A7" s="7" t="s">
        <v>167</v>
      </c>
    </row>
    <row r="8">
      <c r="A8" s="7" t="s">
        <v>168</v>
      </c>
    </row>
    <row r="9">
      <c r="A9" s="7" t="s">
        <v>169</v>
      </c>
    </row>
    <row r="10">
      <c r="A10" s="7" t="s">
        <v>170</v>
      </c>
    </row>
    <row r="11">
      <c r="A11" s="7" t="s">
        <v>171</v>
      </c>
    </row>
    <row r="12">
      <c r="A12" s="7" t="s">
        <v>172</v>
      </c>
    </row>
    <row r="13">
      <c r="A13" s="7" t="s">
        <v>173</v>
      </c>
    </row>
    <row r="14">
      <c r="A14" s="7" t="s">
        <v>174</v>
      </c>
    </row>
    <row r="15">
      <c r="A15" s="7" t="s">
        <v>175</v>
      </c>
    </row>
    <row r="16">
      <c r="A16" s="7" t="s">
        <v>176</v>
      </c>
    </row>
    <row r="17">
      <c r="A17" s="7" t="s">
        <v>177</v>
      </c>
    </row>
    <row r="18">
      <c r="A18" s="7" t="s">
        <v>178</v>
      </c>
    </row>
    <row r="19">
      <c r="A19" s="7" t="s">
        <v>179</v>
      </c>
    </row>
    <row r="20">
      <c r="A20" s="7" t="s">
        <v>180</v>
      </c>
    </row>
    <row r="21">
      <c r="A21" s="7" t="s">
        <v>181</v>
      </c>
    </row>
    <row r="22">
      <c r="A22" s="7" t="s">
        <v>182</v>
      </c>
    </row>
    <row r="23">
      <c r="A23" s="7" t="s">
        <v>183</v>
      </c>
    </row>
    <row r="24">
      <c r="A24" s="7" t="s">
        <v>184</v>
      </c>
    </row>
    <row r="25">
      <c r="A25" s="7" t="s">
        <v>185</v>
      </c>
    </row>
    <row r="26">
      <c r="A26" s="7" t="s">
        <v>186</v>
      </c>
    </row>
    <row r="27">
      <c r="A27" s="7" t="s">
        <v>187</v>
      </c>
    </row>
    <row r="28">
      <c r="A28" s="7" t="s">
        <v>188</v>
      </c>
    </row>
    <row r="29">
      <c r="A29" s="7" t="s">
        <v>189</v>
      </c>
    </row>
    <row r="30">
      <c r="A30" s="7" t="s">
        <v>190</v>
      </c>
    </row>
    <row r="31">
      <c r="A31" s="7" t="s">
        <v>191</v>
      </c>
    </row>
    <row r="32">
      <c r="A32" s="7" t="s">
        <v>192</v>
      </c>
    </row>
    <row r="33">
      <c r="A33" s="7" t="s">
        <v>193</v>
      </c>
    </row>
    <row r="34">
      <c r="A34" s="7" t="s">
        <v>194</v>
      </c>
    </row>
    <row r="35">
      <c r="A35" s="7" t="s">
        <v>195</v>
      </c>
    </row>
    <row r="36">
      <c r="A36" s="7" t="s">
        <v>196</v>
      </c>
    </row>
    <row r="37">
      <c r="A37" s="7" t="s">
        <v>197</v>
      </c>
    </row>
    <row r="38">
      <c r="A38" s="7" t="s">
        <v>198</v>
      </c>
    </row>
    <row r="39">
      <c r="A39" s="7" t="s">
        <v>199</v>
      </c>
    </row>
    <row r="40">
      <c r="A40" s="7" t="s">
        <v>200</v>
      </c>
    </row>
    <row r="41">
      <c r="A41" s="7" t="s">
        <v>201</v>
      </c>
    </row>
    <row r="42">
      <c r="A42" s="7" t="s">
        <v>202</v>
      </c>
    </row>
    <row r="43">
      <c r="A43" s="7" t="s">
        <v>203</v>
      </c>
    </row>
    <row r="44">
      <c r="A44" s="7" t="s">
        <v>204</v>
      </c>
    </row>
    <row r="45">
      <c r="A45" s="7" t="s">
        <v>205</v>
      </c>
    </row>
    <row r="46">
      <c r="A46" s="7" t="s">
        <v>206</v>
      </c>
    </row>
    <row r="47">
      <c r="A47" s="7" t="s">
        <v>207</v>
      </c>
    </row>
    <row r="48">
      <c r="A48" s="7" t="s">
        <v>208</v>
      </c>
    </row>
    <row r="49">
      <c r="A49" s="7" t="s">
        <v>209</v>
      </c>
    </row>
    <row r="50">
      <c r="A50" s="7" t="s">
        <v>210</v>
      </c>
    </row>
    <row r="51">
      <c r="A51" s="7" t="s">
        <v>211</v>
      </c>
    </row>
    <row r="52">
      <c r="A52" s="7" t="s">
        <v>212</v>
      </c>
    </row>
    <row r="53">
      <c r="A53" s="7" t="s">
        <v>213</v>
      </c>
    </row>
    <row r="54">
      <c r="A54" s="7" t="s">
        <v>214</v>
      </c>
    </row>
    <row r="55">
      <c r="A55" s="7" t="s">
        <v>215</v>
      </c>
    </row>
    <row r="56">
      <c r="A56" s="7" t="s">
        <v>216</v>
      </c>
    </row>
    <row r="57">
      <c r="A57" s="7" t="s">
        <v>217</v>
      </c>
    </row>
    <row r="58">
      <c r="A58" s="7" t="s">
        <v>218</v>
      </c>
    </row>
    <row r="59">
      <c r="A59" s="7" t="s">
        <v>219</v>
      </c>
    </row>
    <row r="60">
      <c r="A60" s="7" t="s">
        <v>220</v>
      </c>
    </row>
    <row r="61">
      <c r="A61" s="7" t="s">
        <v>221</v>
      </c>
    </row>
    <row r="62">
      <c r="A62" s="9" t="s">
        <v>222</v>
      </c>
    </row>
    <row r="63">
      <c r="A63" s="9" t="s">
        <v>223</v>
      </c>
    </row>
    <row r="64">
      <c r="A64" s="9" t="s">
        <v>224</v>
      </c>
    </row>
    <row r="65">
      <c r="A65" s="9" t="s">
        <v>225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46194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46194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46194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46194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234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228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231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24"/>
      <c r="T42" s="124"/>
      <c r="U42" s="124"/>
      <c r="V42" s="124"/>
      <c r="W42" s="124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8"/>
      <c r="AL67" s="119"/>
      <c r="AM67" s="118"/>
      <c r="AN67" s="118"/>
      <c r="AO67" s="118"/>
      <c r="AP67" s="119"/>
      <c r="AQ67" s="120"/>
      <c r="AR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18"/>
      <c r="AL68" s="119"/>
      <c r="AM68" s="118"/>
      <c r="AN68" s="118"/>
      <c r="AO68" s="118"/>
      <c r="AP68" s="118"/>
      <c r="AQ68" s="120"/>
      <c r="AR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18"/>
      <c r="AL69" s="119"/>
      <c r="AM69" s="118"/>
      <c r="AN69" s="118"/>
      <c r="AO69" s="118"/>
      <c r="AP69" s="118"/>
      <c r="AQ69" s="120"/>
      <c r="AR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18"/>
      <c r="AL70" s="119"/>
      <c r="AM70" s="118"/>
      <c r="AN70" s="118"/>
      <c r="AO70" s="118"/>
      <c r="AP70" s="118"/>
      <c r="AQ70" s="120"/>
      <c r="AR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18"/>
      <c r="AL71" s="119"/>
      <c r="AM71" s="118"/>
      <c r="AN71" s="118"/>
      <c r="AO71" s="118"/>
      <c r="AP71" s="118"/>
      <c r="AQ71" s="120"/>
      <c r="AR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18"/>
      <c r="AL72" s="119"/>
      <c r="AM72" s="118"/>
      <c r="AN72" s="118"/>
      <c r="AO72" s="118"/>
      <c r="AP72" s="118"/>
      <c r="AQ72" s="120"/>
      <c r="AR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18"/>
      <c r="AL73" s="119"/>
      <c r="AM73" s="118"/>
      <c r="AN73" s="118"/>
      <c r="AO73" s="118"/>
      <c r="AP73" s="118"/>
      <c r="AQ73" s="120"/>
      <c r="AR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18"/>
      <c r="AL74" s="119"/>
      <c r="AM74" s="118"/>
      <c r="AN74" s="118"/>
      <c r="AO74" s="118"/>
      <c r="AP74" s="118"/>
      <c r="AQ74" s="120"/>
      <c r="AR74" s="1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235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236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229</v>
      </c>
      <c r="B9" s="7" t="s">
        <v>230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228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24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24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24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24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24"/>
      <c r="U42" s="124"/>
      <c r="V42" s="124"/>
      <c r="W42" s="124"/>
      <c r="X42" s="124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</row>
    <row r="2">
      <c r="A2" s="1" t="s">
        <v>2</v>
      </c>
      <c r="B2" s="1" t="s">
        <v>3</v>
      </c>
      <c r="C2" s="145">
        <v>9101.0</v>
      </c>
      <c r="D2" s="145">
        <v>9103.0</v>
      </c>
      <c r="E2" s="145">
        <v>9115.0</v>
      </c>
      <c r="F2" s="145">
        <v>9117.0</v>
      </c>
      <c r="G2" s="145">
        <v>9119.0</v>
      </c>
      <c r="H2" s="111"/>
      <c r="I2" s="111"/>
      <c r="J2" s="3"/>
      <c r="K2" s="3"/>
      <c r="L2" s="3"/>
      <c r="M2" s="3"/>
      <c r="N2" s="3"/>
      <c r="O2" s="3"/>
      <c r="P2" s="3"/>
    </row>
    <row r="3">
      <c r="A3" s="60" t="s">
        <v>55</v>
      </c>
      <c r="B3" s="60" t="s">
        <v>25</v>
      </c>
      <c r="C3" s="146">
        <v>0.22291666666666668</v>
      </c>
      <c r="D3" s="146">
        <v>0.2951388888888889</v>
      </c>
      <c r="E3" s="146">
        <v>0.6319444444444444</v>
      </c>
      <c r="F3" s="146">
        <v>0.7020833333333333</v>
      </c>
      <c r="G3" s="146">
        <v>0.7791666666666667</v>
      </c>
      <c r="H3" s="147"/>
      <c r="I3" s="148"/>
      <c r="J3" s="5"/>
      <c r="K3" s="5"/>
      <c r="L3" s="5"/>
      <c r="M3" s="5"/>
      <c r="N3" s="5"/>
      <c r="O3" s="5"/>
      <c r="P3" s="5"/>
    </row>
    <row r="4">
      <c r="A4" s="9" t="s">
        <v>58</v>
      </c>
      <c r="B4" s="9" t="s">
        <v>59</v>
      </c>
      <c r="C4" s="149">
        <v>0.225</v>
      </c>
      <c r="D4" s="149">
        <v>0.2972222222222222</v>
      </c>
      <c r="E4" s="149">
        <v>0.6340277777777777</v>
      </c>
      <c r="F4" s="149">
        <v>0.7041666666666667</v>
      </c>
      <c r="G4" s="149">
        <v>0.78125</v>
      </c>
      <c r="H4" s="150"/>
      <c r="I4" s="150"/>
    </row>
    <row r="5">
      <c r="A5" s="9" t="s">
        <v>60</v>
      </c>
      <c r="B5" s="9" t="s">
        <v>61</v>
      </c>
      <c r="C5" s="149">
        <v>0.2263888888888889</v>
      </c>
      <c r="D5" s="149">
        <v>0.2986111111111111</v>
      </c>
      <c r="E5" s="149">
        <v>0.6354166666666666</v>
      </c>
      <c r="F5" s="149">
        <v>0.7055555555555556</v>
      </c>
      <c r="G5" s="149">
        <v>0.7826388888888889</v>
      </c>
      <c r="H5" s="150"/>
      <c r="I5" s="150"/>
    </row>
    <row r="6">
      <c r="A6" s="9" t="s">
        <v>62</v>
      </c>
      <c r="B6" s="9" t="s">
        <v>63</v>
      </c>
      <c r="C6" s="149">
        <v>0.22708333333333333</v>
      </c>
      <c r="D6" s="149">
        <v>0.29930555555555555</v>
      </c>
      <c r="E6" s="149">
        <v>0.6361111111111111</v>
      </c>
      <c r="F6" s="149">
        <v>0.70625</v>
      </c>
      <c r="G6" s="149">
        <v>0.7833333333333333</v>
      </c>
      <c r="H6" s="150"/>
      <c r="I6" s="150"/>
    </row>
    <row r="7">
      <c r="A7" s="9" t="s">
        <v>64</v>
      </c>
      <c r="B7" s="9" t="s">
        <v>65</v>
      </c>
      <c r="C7" s="149">
        <v>0.22916666666666666</v>
      </c>
      <c r="D7" s="149">
        <v>0.3013888888888889</v>
      </c>
      <c r="E7" s="149">
        <v>0.6381944444444444</v>
      </c>
      <c r="F7" s="149">
        <v>0.7083333333333334</v>
      </c>
      <c r="G7" s="149">
        <v>0.7854166666666667</v>
      </c>
      <c r="H7" s="150"/>
      <c r="I7" s="150"/>
    </row>
    <row r="8">
      <c r="A8" s="9" t="s">
        <v>66</v>
      </c>
      <c r="B8" s="9" t="s">
        <v>67</v>
      </c>
      <c r="C8" s="149">
        <v>0.23055555555555557</v>
      </c>
      <c r="D8" s="149">
        <v>0.30277777777777776</v>
      </c>
      <c r="E8" s="149">
        <v>0.6395833333333333</v>
      </c>
      <c r="F8" s="149">
        <v>0.7097222222222223</v>
      </c>
      <c r="G8" s="149">
        <v>0.7868055555555555</v>
      </c>
      <c r="H8" s="150"/>
      <c r="I8" s="150"/>
    </row>
    <row r="9">
      <c r="A9" s="9" t="s">
        <v>68</v>
      </c>
      <c r="B9" s="9" t="s">
        <v>69</v>
      </c>
      <c r="C9" s="149">
        <v>0.23194444444444445</v>
      </c>
      <c r="D9" s="149">
        <v>0.30416666666666664</v>
      </c>
      <c r="E9" s="149">
        <v>0.6402777777777777</v>
      </c>
      <c r="F9" s="149">
        <v>0.7104166666666667</v>
      </c>
      <c r="G9" s="149">
        <v>0.7875</v>
      </c>
      <c r="H9" s="150"/>
      <c r="I9" s="150"/>
    </row>
    <row r="10">
      <c r="A10" s="7" t="s">
        <v>226</v>
      </c>
      <c r="B10" s="7" t="s">
        <v>227</v>
      </c>
      <c r="C10" s="150"/>
      <c r="D10" s="150"/>
      <c r="E10" s="150"/>
      <c r="F10" s="150"/>
      <c r="G10" s="150"/>
      <c r="H10" s="150"/>
      <c r="I10" s="150"/>
    </row>
    <row r="11">
      <c r="A11" s="9" t="s">
        <v>70</v>
      </c>
      <c r="B11" s="9" t="s">
        <v>71</v>
      </c>
      <c r="C11" s="149">
        <v>0.23472222222222222</v>
      </c>
      <c r="D11" s="149">
        <v>0.30694444444444446</v>
      </c>
      <c r="E11" s="149">
        <v>0.64375</v>
      </c>
      <c r="F11" s="149">
        <v>0.7138888888888889</v>
      </c>
      <c r="G11" s="149">
        <v>0.7909722222222222</v>
      </c>
      <c r="H11" s="150"/>
      <c r="I11" s="150"/>
    </row>
    <row r="12">
      <c r="A12" s="9" t="s">
        <v>72</v>
      </c>
      <c r="B12" s="7" t="s">
        <v>228</v>
      </c>
      <c r="C12" s="149">
        <v>0.23680555555555555</v>
      </c>
      <c r="D12" s="149">
        <v>0.3090277777777778</v>
      </c>
      <c r="E12" s="149">
        <v>0.6451388888888889</v>
      </c>
      <c r="F12" s="149">
        <v>0.7152777777777778</v>
      </c>
      <c r="G12" s="149">
        <v>0.7923611111111111</v>
      </c>
      <c r="H12" s="150"/>
      <c r="I12" s="150"/>
    </row>
    <row r="13">
      <c r="A13" s="7" t="s">
        <v>229</v>
      </c>
      <c r="B13" s="7" t="s">
        <v>230</v>
      </c>
      <c r="C13" s="150"/>
      <c r="D13" s="150"/>
      <c r="E13" s="150"/>
      <c r="F13" s="150"/>
      <c r="G13" s="150"/>
      <c r="H13" s="150"/>
      <c r="I13" s="150"/>
    </row>
    <row r="14">
      <c r="A14" s="9" t="s">
        <v>74</v>
      </c>
      <c r="B14" s="7" t="s">
        <v>231</v>
      </c>
      <c r="C14" s="149">
        <v>0.2388888888888889</v>
      </c>
      <c r="D14" s="149">
        <v>0.3111111111111111</v>
      </c>
      <c r="E14" s="149">
        <v>0.6479166666666667</v>
      </c>
      <c r="F14" s="149">
        <v>0.7180555555555556</v>
      </c>
      <c r="G14" s="149">
        <v>0.7951388888888888</v>
      </c>
      <c r="H14" s="150"/>
      <c r="I14" s="150"/>
    </row>
    <row r="15">
      <c r="A15" s="9" t="s">
        <v>76</v>
      </c>
      <c r="B15" s="9" t="s">
        <v>77</v>
      </c>
      <c r="C15" s="149">
        <v>0.24027777777777778</v>
      </c>
      <c r="D15" s="149">
        <v>0.3125</v>
      </c>
      <c r="E15" s="149">
        <v>0.6493055555555556</v>
      </c>
      <c r="F15" s="149">
        <v>0.7194444444444444</v>
      </c>
      <c r="G15" s="149">
        <v>0.7965277777777777</v>
      </c>
      <c r="H15" s="150"/>
      <c r="I15" s="150"/>
    </row>
    <row r="16">
      <c r="A16" s="9" t="s">
        <v>78</v>
      </c>
      <c r="B16" s="9" t="s">
        <v>79</v>
      </c>
      <c r="C16" s="149">
        <v>0.2423611111111111</v>
      </c>
      <c r="D16" s="149">
        <v>0.3145833333333333</v>
      </c>
      <c r="E16" s="149">
        <v>0.6513888888888889</v>
      </c>
      <c r="F16" s="149">
        <v>0.7215277777777778</v>
      </c>
      <c r="G16" s="149">
        <v>0.7986111111111112</v>
      </c>
      <c r="H16" s="150"/>
      <c r="I16" s="150"/>
    </row>
    <row r="17">
      <c r="A17" s="9" t="s">
        <v>80</v>
      </c>
      <c r="B17" s="9" t="s">
        <v>81</v>
      </c>
      <c r="C17" s="149">
        <v>0.24513888888888888</v>
      </c>
      <c r="D17" s="149">
        <v>0.3173611111111111</v>
      </c>
      <c r="E17" s="149">
        <v>0.6534722222222222</v>
      </c>
      <c r="F17" s="149">
        <v>0.7236111111111111</v>
      </c>
      <c r="G17" s="149">
        <v>0.8006944444444445</v>
      </c>
      <c r="H17" s="150"/>
      <c r="I17" s="150"/>
    </row>
    <row r="18">
      <c r="A18" s="7" t="s">
        <v>232</v>
      </c>
      <c r="B18" s="7" t="s">
        <v>233</v>
      </c>
      <c r="C18" s="150"/>
      <c r="D18" s="150"/>
      <c r="E18" s="150"/>
      <c r="F18" s="150"/>
      <c r="G18" s="150"/>
      <c r="H18" s="150"/>
      <c r="I18" s="150"/>
    </row>
    <row r="19">
      <c r="A19" s="9" t="s">
        <v>82</v>
      </c>
      <c r="B19" s="9" t="s">
        <v>83</v>
      </c>
      <c r="C19" s="149">
        <v>0.2513888888888889</v>
      </c>
      <c r="D19" s="149">
        <v>0.3236111111111111</v>
      </c>
      <c r="E19" s="149">
        <v>0.6597222222222222</v>
      </c>
      <c r="F19" s="149">
        <v>0.7298611111111111</v>
      </c>
      <c r="G19" s="149">
        <v>0.8069444444444445</v>
      </c>
      <c r="H19" s="150"/>
      <c r="I19" s="150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4"/>
      <c r="C25" s="14"/>
      <c r="D25" s="14"/>
      <c r="E25" s="14"/>
      <c r="F25" s="14"/>
      <c r="G25" s="14"/>
      <c r="H25" s="14"/>
      <c r="I25" s="14"/>
    </row>
    <row r="26">
      <c r="A26" s="11"/>
      <c r="B26" s="14"/>
      <c r="C26" s="14"/>
      <c r="D26" s="14"/>
      <c r="E26" s="14"/>
      <c r="F26" s="14"/>
      <c r="G26" s="14"/>
      <c r="H26" s="14"/>
      <c r="I26" s="14"/>
    </row>
    <row r="27">
      <c r="A27" s="11"/>
      <c r="B27" s="14"/>
      <c r="C27" s="14"/>
      <c r="D27" s="14"/>
      <c r="E27" s="14"/>
      <c r="F27" s="14"/>
      <c r="G27" s="14"/>
      <c r="H27" s="14"/>
      <c r="I27" s="14"/>
    </row>
    <row r="28">
      <c r="A28" s="11"/>
      <c r="B28" s="14"/>
      <c r="C28" s="14"/>
      <c r="D28" s="14"/>
      <c r="E28" s="14"/>
      <c r="F28" s="14"/>
      <c r="G28" s="14"/>
      <c r="H28" s="14"/>
      <c r="I28" s="14"/>
    </row>
    <row r="29">
      <c r="A29" s="11"/>
      <c r="B29" s="14"/>
      <c r="C29" s="14"/>
      <c r="D29" s="14"/>
      <c r="E29" s="14"/>
      <c r="F29" s="14"/>
      <c r="G29" s="14"/>
      <c r="H29" s="14"/>
      <c r="I29" s="14"/>
    </row>
    <row r="30">
      <c r="A30" s="11"/>
      <c r="B30" s="14"/>
      <c r="C30" s="14"/>
      <c r="D30" s="14"/>
      <c r="E30" s="14"/>
      <c r="F30" s="14"/>
      <c r="G30" s="14"/>
      <c r="H30" s="14"/>
      <c r="I30" s="14"/>
    </row>
    <row r="31">
      <c r="A31" s="11"/>
      <c r="B31" s="14"/>
      <c r="C31" s="14"/>
      <c r="D31" s="14"/>
      <c r="E31" s="14"/>
      <c r="F31" s="14"/>
      <c r="G31" s="14"/>
      <c r="H31" s="14"/>
      <c r="I31" s="14"/>
    </row>
    <row r="32">
      <c r="A32" s="11"/>
      <c r="B32" s="17"/>
      <c r="C32" s="17"/>
      <c r="D32" s="17"/>
      <c r="E32" s="17"/>
      <c r="F32" s="17"/>
      <c r="G32" s="17"/>
      <c r="H32" s="17"/>
      <c r="I32" s="17"/>
    </row>
    <row r="33">
      <c r="A33" s="11"/>
      <c r="B33" s="14"/>
      <c r="C33" s="14"/>
      <c r="D33" s="14"/>
      <c r="E33" s="14"/>
      <c r="F33" s="14"/>
      <c r="G33" s="14"/>
      <c r="H33" s="14"/>
      <c r="I33" s="14"/>
    </row>
    <row r="34">
      <c r="A34" s="11"/>
      <c r="B34" s="14"/>
      <c r="C34" s="14"/>
      <c r="D34" s="14"/>
      <c r="E34" s="14"/>
      <c r="F34" s="14"/>
      <c r="G34" s="14"/>
      <c r="H34" s="14"/>
      <c r="I34" s="14"/>
    </row>
    <row r="35">
      <c r="A35" s="11"/>
      <c r="B35" s="17"/>
      <c r="C35" s="17"/>
      <c r="D35" s="17"/>
      <c r="E35" s="17"/>
      <c r="F35" s="17"/>
      <c r="G35" s="17"/>
      <c r="H35" s="17"/>
      <c r="I35" s="17"/>
    </row>
    <row r="36">
      <c r="A36" s="11"/>
      <c r="B36" s="14"/>
      <c r="C36" s="14"/>
      <c r="D36" s="14"/>
      <c r="E36" s="14"/>
      <c r="F36" s="14"/>
      <c r="G36" s="14"/>
      <c r="H36" s="14"/>
      <c r="I36" s="14"/>
    </row>
    <row r="37">
      <c r="A37" s="11"/>
      <c r="B37" s="14"/>
      <c r="C37" s="14"/>
      <c r="D37" s="14"/>
      <c r="E37" s="14"/>
      <c r="F37" s="14"/>
      <c r="G37" s="14"/>
      <c r="H37" s="14"/>
      <c r="I37" s="14"/>
    </row>
    <row r="38">
      <c r="A38" s="11"/>
      <c r="B38" s="14"/>
      <c r="C38" s="14"/>
      <c r="D38" s="14"/>
      <c r="E38" s="14"/>
      <c r="F38" s="14"/>
      <c r="G38" s="14"/>
      <c r="H38" s="14"/>
      <c r="I38" s="14"/>
    </row>
    <row r="39">
      <c r="A39" s="11"/>
      <c r="B39" s="14"/>
      <c r="C39" s="14"/>
      <c r="D39" s="14"/>
      <c r="E39" s="14"/>
      <c r="F39" s="14"/>
      <c r="G39" s="14"/>
      <c r="H39" s="14"/>
      <c r="I39" s="14"/>
    </row>
    <row r="40">
      <c r="A40" s="11"/>
      <c r="B40" s="17"/>
      <c r="C40" s="17"/>
      <c r="D40" s="17"/>
      <c r="E40" s="17"/>
      <c r="F40" s="17"/>
      <c r="G40" s="17"/>
      <c r="H40" s="17"/>
      <c r="I40" s="17"/>
    </row>
    <row r="41">
      <c r="A41" s="11"/>
      <c r="B41" s="14"/>
      <c r="C41" s="14"/>
      <c r="D41" s="14"/>
      <c r="E41" s="14"/>
      <c r="F41" s="14"/>
      <c r="G41" s="14"/>
      <c r="H41" s="14"/>
      <c r="I4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  <c r="Q1" s="3"/>
    </row>
    <row r="2">
      <c r="A2" s="1" t="s">
        <v>2</v>
      </c>
      <c r="B2" s="1" t="s">
        <v>3</v>
      </c>
      <c r="C2" s="145">
        <v>9100.0</v>
      </c>
      <c r="D2" s="145">
        <v>9102.0</v>
      </c>
      <c r="E2" s="145">
        <v>9104.0</v>
      </c>
      <c r="F2" s="145">
        <v>9116.0</v>
      </c>
      <c r="G2" s="145">
        <v>9118.0</v>
      </c>
      <c r="H2" s="111"/>
      <c r="I2" s="111"/>
      <c r="J2" s="111"/>
      <c r="K2" s="111"/>
      <c r="L2" s="111"/>
      <c r="M2" s="111"/>
      <c r="N2" s="94"/>
      <c r="O2" s="49"/>
      <c r="P2" s="3"/>
      <c r="Q2" s="3"/>
    </row>
    <row r="3">
      <c r="A3" s="60" t="s">
        <v>82</v>
      </c>
      <c r="B3" s="5" t="s">
        <v>83</v>
      </c>
      <c r="C3" s="146">
        <v>0.1875</v>
      </c>
      <c r="D3" s="146">
        <v>0.25833333333333336</v>
      </c>
      <c r="E3" s="146">
        <v>0.33055555555555555</v>
      </c>
      <c r="F3" s="146">
        <v>0.6666666666666666</v>
      </c>
      <c r="G3" s="146">
        <v>0.7368055555555556</v>
      </c>
      <c r="H3" s="147"/>
      <c r="I3" s="148"/>
      <c r="J3" s="147"/>
      <c r="K3" s="148"/>
      <c r="L3" s="148"/>
      <c r="M3" s="148"/>
      <c r="N3" s="148"/>
      <c r="O3" s="148"/>
      <c r="P3" s="148"/>
      <c r="Q3" s="148"/>
    </row>
    <row r="4">
      <c r="A4" s="7" t="s">
        <v>232</v>
      </c>
      <c r="B4" s="7" t="s">
        <v>233</v>
      </c>
      <c r="C4" s="150"/>
      <c r="D4" s="150"/>
      <c r="E4" s="150"/>
      <c r="F4" s="150"/>
      <c r="G4" s="150"/>
      <c r="H4" s="94"/>
      <c r="I4" s="94"/>
      <c r="J4" s="94"/>
      <c r="K4" s="94"/>
      <c r="L4" s="94"/>
      <c r="M4" s="94"/>
      <c r="N4" s="94"/>
      <c r="O4" s="94"/>
      <c r="P4" s="8"/>
      <c r="Q4" s="8"/>
    </row>
    <row r="5">
      <c r="A5" s="9" t="s">
        <v>80</v>
      </c>
      <c r="B5" s="7" t="s">
        <v>81</v>
      </c>
      <c r="C5" s="149">
        <v>0.19305555555555556</v>
      </c>
      <c r="D5" s="149">
        <v>0.2638888888888889</v>
      </c>
      <c r="E5" s="149">
        <v>0.33611111111111114</v>
      </c>
      <c r="F5" s="149">
        <v>0.6722222222222223</v>
      </c>
      <c r="G5" s="149">
        <v>0.7423611111111111</v>
      </c>
      <c r="H5" s="94"/>
      <c r="I5" s="94"/>
      <c r="J5" s="94"/>
      <c r="K5" s="94"/>
      <c r="L5" s="94"/>
      <c r="M5" s="94"/>
      <c r="N5" s="94"/>
      <c r="O5" s="94"/>
      <c r="P5" s="8"/>
      <c r="Q5" s="8"/>
    </row>
    <row r="6">
      <c r="A6" s="9" t="s">
        <v>78</v>
      </c>
      <c r="B6" s="7" t="s">
        <v>79</v>
      </c>
      <c r="C6" s="149">
        <v>0.19583333333333333</v>
      </c>
      <c r="D6" s="149">
        <v>0.26666666666666666</v>
      </c>
      <c r="E6" s="149">
        <v>0.3388888888888889</v>
      </c>
      <c r="F6" s="149">
        <v>0.675</v>
      </c>
      <c r="G6" s="149">
        <v>0.7451388888888889</v>
      </c>
      <c r="H6" s="94"/>
      <c r="I6" s="94"/>
      <c r="J6" s="94"/>
      <c r="K6" s="94"/>
      <c r="L6" s="94"/>
      <c r="M6" s="94"/>
      <c r="N6" s="94"/>
      <c r="O6" s="94"/>
      <c r="P6" s="8"/>
      <c r="Q6" s="8"/>
    </row>
    <row r="7">
      <c r="A7" s="9" t="s">
        <v>76</v>
      </c>
      <c r="B7" s="7" t="s">
        <v>77</v>
      </c>
      <c r="C7" s="149">
        <v>0.19791666666666666</v>
      </c>
      <c r="D7" s="149">
        <v>0.26875</v>
      </c>
      <c r="E7" s="149">
        <v>0.34097222222222223</v>
      </c>
      <c r="F7" s="149">
        <v>0.6770833333333334</v>
      </c>
      <c r="G7" s="149">
        <v>0.7472222222222222</v>
      </c>
      <c r="H7" s="94"/>
      <c r="I7" s="94"/>
      <c r="J7" s="94"/>
      <c r="K7" s="94"/>
      <c r="L7" s="94"/>
      <c r="M7" s="94"/>
      <c r="N7" s="94"/>
      <c r="O7" s="94"/>
      <c r="P7" s="8"/>
      <c r="Q7" s="8"/>
    </row>
    <row r="8">
      <c r="A8" s="9" t="s">
        <v>74</v>
      </c>
      <c r="B8" s="7" t="s">
        <v>236</v>
      </c>
      <c r="C8" s="149">
        <v>0.19930555555555557</v>
      </c>
      <c r="D8" s="149">
        <v>0.2701388888888889</v>
      </c>
      <c r="E8" s="149">
        <v>0.3423611111111111</v>
      </c>
      <c r="F8" s="149">
        <v>0.6784722222222223</v>
      </c>
      <c r="G8" s="149">
        <v>0.7486111111111111</v>
      </c>
      <c r="H8" s="94"/>
      <c r="I8" s="94"/>
      <c r="J8" s="94"/>
      <c r="K8" s="94"/>
      <c r="L8" s="94"/>
      <c r="M8" s="94"/>
      <c r="N8" s="94"/>
      <c r="O8" s="94"/>
      <c r="P8" s="8"/>
      <c r="Q8" s="8"/>
    </row>
    <row r="9">
      <c r="A9" s="9" t="s">
        <v>229</v>
      </c>
      <c r="B9" s="7" t="s">
        <v>230</v>
      </c>
      <c r="C9" s="150"/>
      <c r="D9" s="150"/>
      <c r="E9" s="150"/>
      <c r="F9" s="150"/>
      <c r="G9" s="150"/>
      <c r="H9" s="94"/>
      <c r="I9" s="94"/>
      <c r="J9" s="94"/>
      <c r="K9" s="94"/>
      <c r="L9" s="94"/>
      <c r="M9" s="94"/>
      <c r="N9" s="94"/>
      <c r="O9" s="94"/>
      <c r="P9" s="8"/>
      <c r="Q9" s="8"/>
    </row>
    <row r="10">
      <c r="A10" s="9" t="s">
        <v>72</v>
      </c>
      <c r="B10" s="7" t="s">
        <v>228</v>
      </c>
      <c r="C10" s="149">
        <v>0.2013888888888889</v>
      </c>
      <c r="D10" s="149">
        <v>0.2722222222222222</v>
      </c>
      <c r="E10" s="149">
        <v>0.34444444444444444</v>
      </c>
      <c r="F10" s="149">
        <v>0.6805555555555556</v>
      </c>
      <c r="G10" s="149">
        <v>0.7506944444444444</v>
      </c>
      <c r="H10" s="94"/>
      <c r="I10" s="94"/>
      <c r="J10" s="94"/>
      <c r="K10" s="94"/>
      <c r="L10" s="94"/>
      <c r="M10" s="94"/>
      <c r="N10" s="94"/>
      <c r="O10" s="94"/>
      <c r="P10" s="8"/>
      <c r="Q10" s="8"/>
    </row>
    <row r="11">
      <c r="A11" s="9" t="s">
        <v>70</v>
      </c>
      <c r="B11" s="7" t="s">
        <v>71</v>
      </c>
      <c r="C11" s="149">
        <v>0.20347222222222222</v>
      </c>
      <c r="D11" s="149">
        <v>0.2743055555555556</v>
      </c>
      <c r="E11" s="149">
        <v>0.34652777777777777</v>
      </c>
      <c r="F11" s="149">
        <v>0.6826388888888889</v>
      </c>
      <c r="G11" s="149">
        <v>0.7527777777777778</v>
      </c>
      <c r="H11" s="94"/>
      <c r="I11" s="94"/>
      <c r="J11" s="94"/>
      <c r="K11" s="94"/>
      <c r="L11" s="94"/>
      <c r="M11" s="94"/>
      <c r="N11" s="94"/>
      <c r="O11" s="94"/>
      <c r="P11" s="8"/>
      <c r="Q11" s="8"/>
    </row>
    <row r="12">
      <c r="A12" s="7" t="s">
        <v>226</v>
      </c>
      <c r="B12" s="7" t="s">
        <v>227</v>
      </c>
      <c r="C12" s="150"/>
      <c r="D12" s="150"/>
      <c r="E12" s="150"/>
      <c r="F12" s="150"/>
      <c r="G12" s="150"/>
      <c r="H12" s="94"/>
      <c r="I12" s="94"/>
      <c r="J12" s="94"/>
      <c r="K12" s="94"/>
      <c r="L12" s="94"/>
      <c r="M12" s="94"/>
      <c r="N12" s="94"/>
      <c r="O12" s="94"/>
      <c r="P12" s="8"/>
      <c r="Q12" s="8"/>
    </row>
    <row r="13">
      <c r="A13" s="9" t="s">
        <v>68</v>
      </c>
      <c r="B13" s="7" t="s">
        <v>69</v>
      </c>
      <c r="C13" s="149">
        <v>0.20694444444444443</v>
      </c>
      <c r="D13" s="149">
        <v>0.2777777777777778</v>
      </c>
      <c r="E13" s="149">
        <v>0.35</v>
      </c>
      <c r="F13" s="149">
        <v>0.6861111111111111</v>
      </c>
      <c r="G13" s="149">
        <v>0.75625</v>
      </c>
      <c r="H13" s="94"/>
      <c r="I13" s="94"/>
      <c r="J13" s="94"/>
      <c r="K13" s="94"/>
      <c r="L13" s="94"/>
      <c r="M13" s="94"/>
      <c r="N13" s="94"/>
      <c r="O13" s="94"/>
      <c r="P13" s="8"/>
      <c r="Q13" s="8"/>
    </row>
    <row r="14">
      <c r="A14" s="9" t="s">
        <v>66</v>
      </c>
      <c r="B14" s="7" t="s">
        <v>67</v>
      </c>
      <c r="C14" s="149">
        <v>0.20833333333333334</v>
      </c>
      <c r="D14" s="149">
        <v>0.2791666666666667</v>
      </c>
      <c r="E14" s="149">
        <v>0.35138888888888886</v>
      </c>
      <c r="F14" s="149">
        <v>0.6875</v>
      </c>
      <c r="G14" s="149">
        <v>0.7576388888888889</v>
      </c>
      <c r="H14" s="94"/>
      <c r="I14" s="94"/>
      <c r="J14" s="94"/>
      <c r="K14" s="94"/>
      <c r="L14" s="94"/>
      <c r="M14" s="94"/>
      <c r="N14" s="94"/>
      <c r="O14" s="94"/>
      <c r="P14" s="8"/>
      <c r="Q14" s="8"/>
    </row>
    <row r="15">
      <c r="A15" s="9" t="s">
        <v>64</v>
      </c>
      <c r="B15" s="7" t="s">
        <v>65</v>
      </c>
      <c r="C15" s="149">
        <v>0.20972222222222223</v>
      </c>
      <c r="D15" s="149">
        <v>0.28055555555555556</v>
      </c>
      <c r="E15" s="149">
        <v>0.3527777777777778</v>
      </c>
      <c r="F15" s="149">
        <v>0.6888888888888889</v>
      </c>
      <c r="G15" s="149">
        <v>0.7590277777777777</v>
      </c>
      <c r="H15" s="94"/>
      <c r="I15" s="94"/>
      <c r="J15" s="94"/>
      <c r="K15" s="94"/>
      <c r="L15" s="94"/>
      <c r="M15" s="94"/>
      <c r="N15" s="94"/>
      <c r="O15" s="94"/>
      <c r="P15" s="8"/>
      <c r="Q15" s="8"/>
    </row>
    <row r="16">
      <c r="A16" s="9" t="s">
        <v>62</v>
      </c>
      <c r="B16" s="7" t="s">
        <v>63</v>
      </c>
      <c r="C16" s="149">
        <v>0.2111111111111111</v>
      </c>
      <c r="D16" s="149">
        <v>0.28194444444444444</v>
      </c>
      <c r="E16" s="149">
        <v>0.3541666666666667</v>
      </c>
      <c r="F16" s="149">
        <v>0.6902777777777778</v>
      </c>
      <c r="G16" s="149">
        <v>0.7604166666666666</v>
      </c>
      <c r="H16" s="94"/>
      <c r="I16" s="94"/>
      <c r="J16" s="94"/>
      <c r="K16" s="94"/>
      <c r="L16" s="94"/>
      <c r="M16" s="94"/>
      <c r="N16" s="94"/>
      <c r="O16" s="94"/>
      <c r="P16" s="8"/>
      <c r="Q16" s="8"/>
    </row>
    <row r="17">
      <c r="A17" s="9" t="s">
        <v>60</v>
      </c>
      <c r="B17" s="7" t="s">
        <v>61</v>
      </c>
      <c r="C17" s="149">
        <v>0.2125</v>
      </c>
      <c r="D17" s="149">
        <v>0.2833333333333333</v>
      </c>
      <c r="E17" s="149">
        <v>0.35555555555555557</v>
      </c>
      <c r="F17" s="149">
        <v>0.6916666666666667</v>
      </c>
      <c r="G17" s="149">
        <v>0.7618055555555555</v>
      </c>
      <c r="H17" s="150"/>
      <c r="I17" s="150"/>
      <c r="J17" s="150"/>
      <c r="K17" s="150"/>
      <c r="L17" s="94"/>
      <c r="M17" s="94"/>
      <c r="N17" s="94"/>
      <c r="O17" s="49"/>
    </row>
    <row r="18">
      <c r="A18" s="9" t="s">
        <v>58</v>
      </c>
      <c r="B18" s="7" t="s">
        <v>59</v>
      </c>
      <c r="C18" s="149">
        <v>0.21388888888888888</v>
      </c>
      <c r="D18" s="149">
        <v>0.2847222222222222</v>
      </c>
      <c r="E18" s="149">
        <v>0.35694444444444445</v>
      </c>
      <c r="F18" s="149">
        <v>0.6930555555555555</v>
      </c>
      <c r="G18" s="149">
        <v>0.7631944444444444</v>
      </c>
      <c r="H18" s="150"/>
      <c r="I18" s="150"/>
      <c r="J18" s="150"/>
      <c r="K18" s="150"/>
      <c r="L18" s="94"/>
      <c r="M18" s="94"/>
      <c r="N18" s="94"/>
      <c r="O18" s="49"/>
    </row>
    <row r="19">
      <c r="A19" s="9" t="s">
        <v>55</v>
      </c>
      <c r="B19" s="7" t="s">
        <v>25</v>
      </c>
      <c r="C19" s="149">
        <v>0.21597222222222223</v>
      </c>
      <c r="D19" s="149">
        <v>0.28680555555555554</v>
      </c>
      <c r="E19" s="149">
        <v>0.3590277777777778</v>
      </c>
      <c r="F19" s="149">
        <v>0.6951388888888889</v>
      </c>
      <c r="G19" s="149">
        <v>0.7652777777777777</v>
      </c>
      <c r="H19" s="150"/>
      <c r="I19" s="150"/>
      <c r="J19" s="150"/>
      <c r="K19" s="150"/>
      <c r="L19" s="94"/>
      <c r="M19" s="94"/>
      <c r="N19" s="94"/>
      <c r="O19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4"/>
      <c r="C26" s="14"/>
      <c r="D26" s="14"/>
      <c r="E26" s="14"/>
      <c r="F26" s="14"/>
      <c r="G26" s="14"/>
      <c r="H26" s="14"/>
      <c r="I26" s="14"/>
      <c r="J26" s="14"/>
    </row>
    <row r="27">
      <c r="A27" s="11"/>
      <c r="B27" s="17"/>
      <c r="C27" s="17"/>
      <c r="D27" s="17"/>
      <c r="E27" s="17"/>
      <c r="F27" s="17"/>
      <c r="G27" s="17"/>
      <c r="H27" s="17"/>
      <c r="I27" s="17"/>
      <c r="J27" s="17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</row>
    <row r="32">
      <c r="A32" s="11"/>
      <c r="B32" s="17"/>
      <c r="C32" s="17"/>
      <c r="D32" s="17"/>
      <c r="E32" s="17"/>
      <c r="F32" s="17"/>
      <c r="G32" s="17"/>
      <c r="H32" s="17"/>
      <c r="I32" s="17"/>
      <c r="J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112">
        <v>0.21666666666666667</v>
      </c>
      <c r="D3" s="112">
        <v>0.2326388888888889</v>
      </c>
      <c r="E3" s="112">
        <v>0.24930555555555556</v>
      </c>
      <c r="F3" s="112">
        <v>0.2652777777777778</v>
      </c>
      <c r="G3" s="112">
        <v>0.28194444444444444</v>
      </c>
      <c r="H3" s="112">
        <v>0.29791666666666666</v>
      </c>
      <c r="I3" s="112">
        <v>0.3145833333333333</v>
      </c>
      <c r="J3" s="112">
        <v>0.33055555555555555</v>
      </c>
      <c r="K3" s="112">
        <v>0.3472222222222222</v>
      </c>
      <c r="L3" s="112">
        <v>0.36319444444444443</v>
      </c>
      <c r="M3" s="112">
        <v>0.3958333333333333</v>
      </c>
      <c r="N3" s="112">
        <v>0.4444444444444444</v>
      </c>
      <c r="O3" s="112">
        <v>0.4701388888888889</v>
      </c>
      <c r="P3" s="112">
        <v>0.4930555555555556</v>
      </c>
      <c r="Q3" s="112">
        <v>0.5416666666666666</v>
      </c>
      <c r="R3" s="112">
        <v>0.5673611111111111</v>
      </c>
      <c r="S3" s="112">
        <v>0.5902777777777778</v>
      </c>
      <c r="T3" s="112">
        <v>0.6402777777777777</v>
      </c>
      <c r="U3" s="112">
        <v>0.6569444444444444</v>
      </c>
      <c r="V3" s="112">
        <v>0.6729166666666667</v>
      </c>
      <c r="W3" s="112">
        <v>0.6895833333333333</v>
      </c>
      <c r="X3" s="112">
        <v>0.7055555555555556</v>
      </c>
      <c r="Y3" s="112">
        <v>0.7222222222222222</v>
      </c>
      <c r="Z3" s="112">
        <v>0.7381944444444445</v>
      </c>
      <c r="AA3" s="112">
        <v>0.7548611111111111</v>
      </c>
      <c r="AB3" s="112">
        <v>0.7701388888888889</v>
      </c>
      <c r="AC3" s="112">
        <v>0.7875</v>
      </c>
      <c r="AD3" s="112">
        <v>0.8125</v>
      </c>
    </row>
    <row r="4">
      <c r="A4" s="7" t="s">
        <v>91</v>
      </c>
      <c r="B4" s="152" t="s">
        <v>92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</row>
    <row r="5">
      <c r="A5" s="7" t="s">
        <v>93</v>
      </c>
      <c r="B5" s="152" t="s">
        <v>94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</row>
    <row r="6">
      <c r="A6" s="7" t="s">
        <v>22</v>
      </c>
      <c r="B6" s="7" t="s">
        <v>23</v>
      </c>
      <c r="C6" s="115">
        <v>0.22152777777777777</v>
      </c>
      <c r="D6" s="115">
        <v>0.23680555555555555</v>
      </c>
      <c r="E6" s="115">
        <v>0.25416666666666665</v>
      </c>
      <c r="F6" s="115">
        <v>0.26944444444444443</v>
      </c>
      <c r="G6" s="115">
        <v>0.28680555555555554</v>
      </c>
      <c r="H6" s="115">
        <v>0.3020833333333333</v>
      </c>
      <c r="I6" s="115">
        <v>0.31875</v>
      </c>
      <c r="J6" s="115">
        <v>0.3347222222222222</v>
      </c>
      <c r="K6" s="115">
        <v>0.35208333333333336</v>
      </c>
      <c r="L6" s="115">
        <v>0.36736111111111114</v>
      </c>
      <c r="M6" s="115">
        <v>0.4</v>
      </c>
      <c r="N6" s="115">
        <v>0.4486111111111111</v>
      </c>
      <c r="O6" s="115">
        <v>0.47430555555555554</v>
      </c>
      <c r="P6" s="115">
        <v>0.49722222222222223</v>
      </c>
      <c r="Q6" s="115">
        <v>0.5458333333333333</v>
      </c>
      <c r="R6" s="115">
        <v>0.5715277777777777</v>
      </c>
      <c r="S6" s="115">
        <v>0.5944444444444444</v>
      </c>
      <c r="T6" s="115">
        <v>0.6451388888888889</v>
      </c>
      <c r="U6" s="115">
        <v>0.6611111111111111</v>
      </c>
      <c r="V6" s="115">
        <v>0.6777777777777778</v>
      </c>
      <c r="W6" s="115">
        <v>0.69375</v>
      </c>
      <c r="X6" s="115">
        <v>0.7104166666666667</v>
      </c>
      <c r="Y6" s="115">
        <v>0.7263888888888889</v>
      </c>
      <c r="Z6" s="115">
        <v>0.7430555555555556</v>
      </c>
      <c r="AA6" s="115">
        <v>0.7590277777777777</v>
      </c>
      <c r="AB6" s="115">
        <v>0.775</v>
      </c>
      <c r="AC6" s="115">
        <v>0.7916666666666666</v>
      </c>
      <c r="AD6" s="115">
        <v>0.8166666666666667</v>
      </c>
    </row>
    <row r="7">
      <c r="A7" s="7" t="s">
        <v>95</v>
      </c>
      <c r="B7" s="152" t="s">
        <v>96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</row>
    <row r="8">
      <c r="A8" s="7" t="s">
        <v>97</v>
      </c>
      <c r="B8" s="152" t="s">
        <v>98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</row>
    <row r="9">
      <c r="A9" s="7" t="s">
        <v>99</v>
      </c>
      <c r="B9" s="152" t="s">
        <v>100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</row>
    <row r="10">
      <c r="A10" s="7" t="s">
        <v>101</v>
      </c>
      <c r="B10" s="152" t="s">
        <v>102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</row>
    <row r="11">
      <c r="A11" s="7" t="s">
        <v>20</v>
      </c>
      <c r="B11" s="7" t="s">
        <v>21</v>
      </c>
      <c r="C11" s="114">
        <v>0.2263888888888889</v>
      </c>
      <c r="D11" s="114">
        <v>0.2423611111111111</v>
      </c>
      <c r="E11" s="114">
        <v>0.2590277777777778</v>
      </c>
      <c r="F11" s="114">
        <v>0.275</v>
      </c>
      <c r="G11" s="114">
        <v>0.2916666666666667</v>
      </c>
      <c r="H11" s="114">
        <v>0.3076388888888889</v>
      </c>
      <c r="I11" s="114">
        <v>0.32430555555555557</v>
      </c>
      <c r="J11" s="114">
        <v>0.3402777777777778</v>
      </c>
      <c r="K11" s="114">
        <v>0.35694444444444445</v>
      </c>
      <c r="L11" s="114">
        <v>0.3729166666666667</v>
      </c>
      <c r="M11" s="114">
        <v>0.40555555555555556</v>
      </c>
      <c r="N11" s="114">
        <v>0.45416666666666666</v>
      </c>
      <c r="O11" s="114">
        <v>0.4798611111111111</v>
      </c>
      <c r="P11" s="114">
        <v>0.5027777777777778</v>
      </c>
      <c r="Q11" s="114">
        <v>0.5513888888888889</v>
      </c>
      <c r="R11" s="114">
        <v>0.5770833333333333</v>
      </c>
      <c r="S11" s="114">
        <v>0.6</v>
      </c>
      <c r="T11" s="114">
        <v>0.65</v>
      </c>
      <c r="U11" s="114">
        <v>0.6666666666666666</v>
      </c>
      <c r="V11" s="114">
        <v>0.6826388888888889</v>
      </c>
      <c r="W11" s="114">
        <v>0.6993055555555555</v>
      </c>
      <c r="X11" s="114">
        <v>0.7152777777777778</v>
      </c>
      <c r="Y11" s="114">
        <v>0.7319444444444444</v>
      </c>
      <c r="Z11" s="114">
        <v>0.7479166666666667</v>
      </c>
      <c r="AA11" s="114">
        <v>0.7645833333333333</v>
      </c>
      <c r="AB11" s="114">
        <v>0.7798611111111111</v>
      </c>
      <c r="AC11" s="114">
        <v>0.7972222222222223</v>
      </c>
      <c r="AD11" s="114">
        <v>0.8222222222222222</v>
      </c>
    </row>
    <row r="12">
      <c r="A12" s="7" t="s">
        <v>103</v>
      </c>
      <c r="B12" s="152" t="s">
        <v>104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</row>
    <row r="13">
      <c r="A13" s="7" t="s">
        <v>18</v>
      </c>
      <c r="B13" s="7" t="s">
        <v>19</v>
      </c>
      <c r="C13" s="114">
        <v>0.23055555555555557</v>
      </c>
      <c r="D13" s="114">
        <v>0.24583333333333332</v>
      </c>
      <c r="E13" s="114">
        <v>0.26319444444444445</v>
      </c>
      <c r="F13" s="114">
        <v>0.27847222222222223</v>
      </c>
      <c r="G13" s="114">
        <v>0.29583333333333334</v>
      </c>
      <c r="H13" s="114">
        <v>0.3111111111111111</v>
      </c>
      <c r="I13" s="114">
        <v>0.3277777777777778</v>
      </c>
      <c r="J13" s="114">
        <v>0.34375</v>
      </c>
      <c r="K13" s="114">
        <v>0.3611111111111111</v>
      </c>
      <c r="L13" s="114">
        <v>0.3763888888888889</v>
      </c>
      <c r="M13" s="114">
        <v>0.40902777777777777</v>
      </c>
      <c r="N13" s="114">
        <v>0.4576388888888889</v>
      </c>
      <c r="O13" s="114">
        <v>0.48333333333333334</v>
      </c>
      <c r="P13" s="114">
        <v>0.50625</v>
      </c>
      <c r="Q13" s="114">
        <v>0.5548611111111111</v>
      </c>
      <c r="R13" s="114">
        <v>0.5805555555555556</v>
      </c>
      <c r="S13" s="114">
        <v>0.6034722222222222</v>
      </c>
      <c r="T13" s="114">
        <v>0.6541666666666667</v>
      </c>
      <c r="U13" s="114">
        <v>0.6701388888888888</v>
      </c>
      <c r="V13" s="114">
        <v>0.6868055555555556</v>
      </c>
      <c r="W13" s="114">
        <v>0.7027777777777777</v>
      </c>
      <c r="X13" s="114">
        <v>0.7194444444444444</v>
      </c>
      <c r="Y13" s="114">
        <v>0.7354166666666667</v>
      </c>
      <c r="Z13" s="114">
        <v>0.7520833333333333</v>
      </c>
      <c r="AA13" s="114">
        <v>0.7680555555555556</v>
      </c>
      <c r="AB13" s="114">
        <v>0.7840277777777778</v>
      </c>
      <c r="AC13" s="114">
        <v>0.8006944444444445</v>
      </c>
      <c r="AD13" s="114">
        <v>0.8256944444444444</v>
      </c>
    </row>
    <row r="14">
      <c r="A14" s="7" t="s">
        <v>105</v>
      </c>
      <c r="B14" s="152" t="s">
        <v>106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</row>
    <row r="15">
      <c r="A15" s="7" t="s">
        <v>16</v>
      </c>
      <c r="B15" s="7" t="s">
        <v>17</v>
      </c>
      <c r="C15" s="114">
        <v>0.23472222222222222</v>
      </c>
      <c r="D15" s="114">
        <v>0.25069444444444444</v>
      </c>
      <c r="E15" s="114">
        <v>0.2673611111111111</v>
      </c>
      <c r="F15" s="114">
        <v>0.2833333333333333</v>
      </c>
      <c r="G15" s="114">
        <v>0.3</v>
      </c>
      <c r="H15" s="114">
        <v>0.3159722222222222</v>
      </c>
      <c r="I15" s="114">
        <v>0.3326388888888889</v>
      </c>
      <c r="J15" s="114">
        <v>0.3486111111111111</v>
      </c>
      <c r="K15" s="114">
        <v>0.36527777777777776</v>
      </c>
      <c r="L15" s="114">
        <v>0.38125</v>
      </c>
      <c r="M15" s="114">
        <v>0.41388888888888886</v>
      </c>
      <c r="N15" s="114">
        <v>0.4625</v>
      </c>
      <c r="O15" s="114">
        <v>0.48819444444444443</v>
      </c>
      <c r="P15" s="114">
        <v>0.5111111111111111</v>
      </c>
      <c r="Q15" s="114">
        <v>0.5597222222222222</v>
      </c>
      <c r="R15" s="114">
        <v>0.5854166666666667</v>
      </c>
      <c r="S15" s="114">
        <v>0.6083333333333333</v>
      </c>
      <c r="T15" s="114">
        <v>0.6583333333333333</v>
      </c>
      <c r="U15" s="114">
        <v>0.675</v>
      </c>
      <c r="V15" s="114">
        <v>0.6909722222222222</v>
      </c>
      <c r="W15" s="114">
        <v>0.7076388888888889</v>
      </c>
      <c r="X15" s="114">
        <v>0.7236111111111111</v>
      </c>
      <c r="Y15" s="114">
        <v>0.7402777777777778</v>
      </c>
      <c r="Z15" s="114">
        <v>0.75625</v>
      </c>
      <c r="AA15" s="114">
        <v>0.7729166666666667</v>
      </c>
      <c r="AB15" s="114">
        <v>0.7881944444444444</v>
      </c>
      <c r="AC15" s="114">
        <v>0.8055555555555556</v>
      </c>
      <c r="AD15" s="114">
        <v>0.8305555555555556</v>
      </c>
    </row>
    <row r="16">
      <c r="A16" s="7" t="s">
        <v>14</v>
      </c>
      <c r="B16" s="7" t="s">
        <v>15</v>
      </c>
      <c r="C16" s="114">
        <v>0.23819444444444443</v>
      </c>
      <c r="D16" s="114">
        <v>0.2534722222222222</v>
      </c>
      <c r="E16" s="114">
        <v>0.2708333333333333</v>
      </c>
      <c r="F16" s="114">
        <v>0.2861111111111111</v>
      </c>
      <c r="G16" s="114">
        <v>0.3034722222222222</v>
      </c>
      <c r="H16" s="114">
        <v>0.31875</v>
      </c>
      <c r="I16" s="114">
        <v>0.33541666666666664</v>
      </c>
      <c r="J16" s="114">
        <v>0.35138888888888886</v>
      </c>
      <c r="K16" s="114">
        <v>0.36875</v>
      </c>
      <c r="L16" s="114">
        <v>0.3840277777777778</v>
      </c>
      <c r="M16" s="114">
        <v>0.4166666666666667</v>
      </c>
      <c r="N16" s="114">
        <v>0.4652777777777778</v>
      </c>
      <c r="O16" s="114">
        <v>0.4909722222222222</v>
      </c>
      <c r="P16" s="114">
        <v>0.5138888888888888</v>
      </c>
      <c r="Q16" s="114">
        <v>0.5625</v>
      </c>
      <c r="R16" s="114">
        <v>0.5881944444444445</v>
      </c>
      <c r="S16" s="114">
        <v>0.6111111111111112</v>
      </c>
      <c r="T16" s="114">
        <v>0.6618055555555555</v>
      </c>
      <c r="U16" s="114">
        <v>0.6777777777777778</v>
      </c>
      <c r="V16" s="114">
        <v>0.6944444444444444</v>
      </c>
      <c r="W16" s="114">
        <v>0.7104166666666667</v>
      </c>
      <c r="X16" s="114">
        <v>0.7270833333333333</v>
      </c>
      <c r="Y16" s="114">
        <v>0.7430555555555556</v>
      </c>
      <c r="Z16" s="114">
        <v>0.7597222222222222</v>
      </c>
      <c r="AA16" s="114">
        <v>0.7756944444444445</v>
      </c>
      <c r="AB16" s="114">
        <v>0.7916666666666666</v>
      </c>
      <c r="AC16" s="114">
        <v>0.8083333333333333</v>
      </c>
      <c r="AD16" s="114">
        <v>0.8333333333333334</v>
      </c>
    </row>
    <row r="17">
      <c r="A17" s="7" t="s">
        <v>12</v>
      </c>
      <c r="B17" s="7" t="s">
        <v>13</v>
      </c>
      <c r="C17" s="114">
        <v>0.24166666666666667</v>
      </c>
      <c r="D17" s="114">
        <v>0.2569444444444444</v>
      </c>
      <c r="E17" s="114">
        <v>0.2743055555555556</v>
      </c>
      <c r="F17" s="114">
        <v>0.28958333333333336</v>
      </c>
      <c r="G17" s="114">
        <v>0.30694444444444446</v>
      </c>
      <c r="H17" s="114">
        <v>0.32222222222222224</v>
      </c>
      <c r="I17" s="114">
        <v>0.3388888888888889</v>
      </c>
      <c r="J17" s="114">
        <v>0.3548611111111111</v>
      </c>
      <c r="K17" s="114">
        <v>0.37222222222222223</v>
      </c>
      <c r="L17" s="114">
        <v>0.3875</v>
      </c>
      <c r="M17" s="114">
        <v>0.4201388888888889</v>
      </c>
      <c r="N17" s="114">
        <v>0.46875</v>
      </c>
      <c r="O17" s="114">
        <v>0.49444444444444446</v>
      </c>
      <c r="P17" s="114">
        <v>0.5173611111111112</v>
      </c>
      <c r="Q17" s="114">
        <v>0.5659722222222222</v>
      </c>
      <c r="R17" s="114">
        <v>0.5916666666666667</v>
      </c>
      <c r="S17" s="114">
        <v>0.6145833333333334</v>
      </c>
      <c r="T17" s="114">
        <v>0.6652777777777777</v>
      </c>
      <c r="U17" s="114">
        <v>0.68125</v>
      </c>
      <c r="V17" s="114">
        <v>0.6979166666666666</v>
      </c>
      <c r="W17" s="114">
        <v>0.7138888888888889</v>
      </c>
      <c r="X17" s="114">
        <v>0.7305555555555555</v>
      </c>
      <c r="Y17" s="114">
        <v>0.7465277777777778</v>
      </c>
      <c r="Z17" s="114">
        <v>0.7631944444444444</v>
      </c>
      <c r="AA17" s="114">
        <v>0.7791666666666667</v>
      </c>
      <c r="AB17" s="114">
        <v>0.7951388888888888</v>
      </c>
      <c r="AC17" s="114">
        <v>0.8118055555555556</v>
      </c>
      <c r="AD17" s="114">
        <v>0.8368055555555556</v>
      </c>
    </row>
    <row r="18">
      <c r="A18" s="7" t="s">
        <v>107</v>
      </c>
      <c r="B18" s="7" t="s">
        <v>108</v>
      </c>
      <c r="C18" s="114">
        <v>0.24583333333333332</v>
      </c>
      <c r="D18" s="114">
        <v>0.26180555555555557</v>
      </c>
      <c r="E18" s="114">
        <v>0.27847222222222223</v>
      </c>
      <c r="F18" s="114">
        <v>0.29444444444444445</v>
      </c>
      <c r="G18" s="114">
        <v>0.3111111111111111</v>
      </c>
      <c r="H18" s="114">
        <v>0.32708333333333334</v>
      </c>
      <c r="I18" s="114">
        <v>0.34375</v>
      </c>
      <c r="J18" s="114">
        <v>0.3597222222222222</v>
      </c>
      <c r="K18" s="114">
        <v>0.3763888888888889</v>
      </c>
      <c r="L18" s="114">
        <v>0.3923611111111111</v>
      </c>
      <c r="M18" s="114">
        <v>0.425</v>
      </c>
      <c r="N18" s="114">
        <v>0.4736111111111111</v>
      </c>
      <c r="O18" s="114">
        <v>0.49930555555555556</v>
      </c>
      <c r="P18" s="114">
        <v>0.5222222222222223</v>
      </c>
      <c r="Q18" s="114">
        <v>0.5708333333333333</v>
      </c>
      <c r="R18" s="114">
        <v>0.5965277777777778</v>
      </c>
      <c r="S18" s="114">
        <v>0.6194444444444445</v>
      </c>
      <c r="T18" s="114">
        <v>0.6694444444444444</v>
      </c>
      <c r="U18" s="114">
        <v>0.6861111111111111</v>
      </c>
      <c r="V18" s="114">
        <v>0.7020833333333333</v>
      </c>
      <c r="W18" s="114">
        <v>0.71875</v>
      </c>
      <c r="X18" s="114">
        <v>0.7347222222222223</v>
      </c>
      <c r="Y18" s="114">
        <v>0.7513888888888889</v>
      </c>
      <c r="Z18" s="114">
        <v>0.7673611111111112</v>
      </c>
      <c r="AA18" s="114">
        <v>0.7840277777777778</v>
      </c>
      <c r="AB18" s="114">
        <v>0.7993055555555556</v>
      </c>
      <c r="AC18" s="114">
        <v>0.8166666666666667</v>
      </c>
      <c r="AD18" s="114">
        <v>0.8416666666666667</v>
      </c>
    </row>
    <row r="19">
      <c r="A19" s="7" t="s">
        <v>109</v>
      </c>
      <c r="B19" s="82" t="s">
        <v>110</v>
      </c>
      <c r="C19" s="114">
        <v>0.25</v>
      </c>
      <c r="D19" s="114">
        <v>0.2652777777777778</v>
      </c>
      <c r="E19" s="114">
        <v>0.2826388888888889</v>
      </c>
      <c r="F19" s="114">
        <v>0.29791666666666666</v>
      </c>
      <c r="G19" s="114">
        <v>0.31527777777777777</v>
      </c>
      <c r="H19" s="114">
        <v>0.33055555555555555</v>
      </c>
      <c r="I19" s="114">
        <v>0.3472222222222222</v>
      </c>
      <c r="J19" s="114">
        <v>0.36319444444444443</v>
      </c>
      <c r="K19" s="114">
        <v>0.38055555555555554</v>
      </c>
      <c r="L19" s="114">
        <v>0.3958333333333333</v>
      </c>
      <c r="M19" s="114">
        <v>0.4284722222222222</v>
      </c>
      <c r="N19" s="114">
        <v>0.47708333333333336</v>
      </c>
      <c r="O19" s="114">
        <v>0.5027777777777778</v>
      </c>
      <c r="P19" s="114">
        <v>0.5256944444444445</v>
      </c>
      <c r="Q19" s="114">
        <v>0.5743055555555555</v>
      </c>
      <c r="R19" s="114">
        <v>0.6</v>
      </c>
      <c r="S19" s="114">
        <v>0.6229166666666667</v>
      </c>
      <c r="T19" s="114">
        <v>0.6736111111111112</v>
      </c>
      <c r="U19" s="114">
        <v>0.6895833333333333</v>
      </c>
      <c r="V19" s="114">
        <v>0.70625</v>
      </c>
      <c r="W19" s="114">
        <v>0.7222222222222222</v>
      </c>
      <c r="X19" s="114">
        <v>0.7388888888888889</v>
      </c>
      <c r="Y19" s="114">
        <v>0.7548611111111111</v>
      </c>
      <c r="Z19" s="114">
        <v>0.7715277777777778</v>
      </c>
      <c r="AA19" s="114">
        <v>0.7875</v>
      </c>
      <c r="AB19" s="114">
        <v>0.8034722222222223</v>
      </c>
      <c r="AC19" s="114">
        <v>0.8201388888888889</v>
      </c>
      <c r="AD19" s="114">
        <v>0.8451388888888889</v>
      </c>
    </row>
    <row r="20">
      <c r="A20" s="7" t="s">
        <v>111</v>
      </c>
      <c r="B20" s="152" t="s">
        <v>112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</row>
    <row r="21">
      <c r="A21" s="7" t="s">
        <v>113</v>
      </c>
      <c r="B21" s="152" t="s">
        <v>114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</row>
    <row r="22">
      <c r="A22" s="7" t="s">
        <v>115</v>
      </c>
      <c r="B22" s="7" t="s">
        <v>116</v>
      </c>
      <c r="C22" s="114">
        <v>0.25833333333333336</v>
      </c>
      <c r="D22" s="114">
        <v>0.2743055555555556</v>
      </c>
      <c r="E22" s="114">
        <v>0.29097222222222224</v>
      </c>
      <c r="F22" s="114">
        <v>0.30694444444444446</v>
      </c>
      <c r="G22" s="114">
        <v>0.3236111111111111</v>
      </c>
      <c r="H22" s="114">
        <v>0.33958333333333335</v>
      </c>
      <c r="I22" s="114">
        <v>0.35625</v>
      </c>
      <c r="J22" s="114">
        <v>0.37222222222222223</v>
      </c>
      <c r="K22" s="114">
        <v>0.3888888888888889</v>
      </c>
      <c r="L22" s="114">
        <v>0.4048611111111111</v>
      </c>
      <c r="M22" s="114">
        <v>0.4375</v>
      </c>
      <c r="N22" s="114">
        <v>0.4861111111111111</v>
      </c>
      <c r="O22" s="114">
        <v>0.5118055555555555</v>
      </c>
      <c r="P22" s="114">
        <v>0.5347222222222222</v>
      </c>
      <c r="Q22" s="114">
        <v>0.5833333333333334</v>
      </c>
      <c r="R22" s="114">
        <v>0.6090277777777777</v>
      </c>
      <c r="S22" s="114">
        <v>0.6319444444444444</v>
      </c>
      <c r="T22" s="114">
        <v>0.6819444444444445</v>
      </c>
      <c r="U22" s="114">
        <v>0.6986111111111111</v>
      </c>
      <c r="V22" s="114">
        <v>0.7145833333333333</v>
      </c>
      <c r="W22" s="114">
        <v>0.73125</v>
      </c>
      <c r="X22" s="114">
        <v>0.7472222222222222</v>
      </c>
      <c r="Y22" s="114">
        <v>0.7638888888888888</v>
      </c>
      <c r="Z22" s="114">
        <v>0.7798611111111111</v>
      </c>
      <c r="AA22" s="114">
        <v>0.7965277777777777</v>
      </c>
      <c r="AB22" s="114">
        <v>0.8118055555555556</v>
      </c>
      <c r="AC22" s="114">
        <v>0.8291666666666667</v>
      </c>
      <c r="AD22" s="114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1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1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11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1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11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11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1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1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46120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112">
        <v>0.16805555555555557</v>
      </c>
      <c r="D3" s="112">
        <v>0.1840277777777778</v>
      </c>
      <c r="E3" s="112">
        <v>0.20069444444444445</v>
      </c>
      <c r="F3" s="112">
        <v>0.21666666666666667</v>
      </c>
      <c r="G3" s="112">
        <v>0.23333333333333334</v>
      </c>
      <c r="H3" s="112">
        <v>0.24930555555555556</v>
      </c>
      <c r="I3" s="112">
        <v>0.2659722222222222</v>
      </c>
      <c r="J3" s="112">
        <v>0.28194444444444444</v>
      </c>
      <c r="K3" s="112">
        <v>0.2986111111111111</v>
      </c>
      <c r="L3" s="112">
        <v>0.3145833333333333</v>
      </c>
      <c r="M3" s="112">
        <v>0.33125</v>
      </c>
      <c r="N3" s="112">
        <v>0.3472222222222222</v>
      </c>
      <c r="O3" s="112">
        <v>0.3638888888888889</v>
      </c>
      <c r="P3" s="112">
        <v>0.3958333333333333</v>
      </c>
      <c r="Q3" s="112">
        <v>0.4215277777777778</v>
      </c>
      <c r="R3" s="112">
        <v>0.4444444444444444</v>
      </c>
      <c r="S3" s="112">
        <v>0.4930555555555556</v>
      </c>
      <c r="T3" s="112">
        <v>0.51875</v>
      </c>
      <c r="U3" s="112">
        <v>0.5416666666666666</v>
      </c>
      <c r="V3" s="112">
        <v>0.5902777777777778</v>
      </c>
      <c r="W3" s="112">
        <v>0.6215277777777778</v>
      </c>
      <c r="X3" s="112">
        <v>0.6402777777777777</v>
      </c>
      <c r="Y3" s="112">
        <v>0.6576388888888889</v>
      </c>
      <c r="Z3" s="112">
        <v>0.6729166666666667</v>
      </c>
      <c r="AA3" s="112">
        <v>0.6895833333333333</v>
      </c>
      <c r="AB3" s="112">
        <v>0.7055555555555556</v>
      </c>
      <c r="AC3" s="112">
        <v>0.7222222222222222</v>
      </c>
      <c r="AD3" s="112">
        <v>0.7381944444444445</v>
      </c>
      <c r="AE3" s="112">
        <v>0.7548611111111111</v>
      </c>
    </row>
    <row r="4">
      <c r="A4" s="7" t="s">
        <v>113</v>
      </c>
      <c r="B4" s="153" t="s">
        <v>114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</row>
    <row r="5">
      <c r="A5" s="7" t="s">
        <v>111</v>
      </c>
      <c r="B5" s="153" t="s">
        <v>112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</row>
    <row r="6">
      <c r="A6" s="7" t="s">
        <v>109</v>
      </c>
      <c r="B6" s="9" t="s">
        <v>110</v>
      </c>
      <c r="C6" s="115">
        <v>0.1763888888888889</v>
      </c>
      <c r="D6" s="115">
        <v>0.19236111111111112</v>
      </c>
      <c r="E6" s="115">
        <v>0.20902777777777778</v>
      </c>
      <c r="F6" s="115">
        <v>0.225</v>
      </c>
      <c r="G6" s="115">
        <v>0.24166666666666667</v>
      </c>
      <c r="H6" s="115">
        <v>0.25763888888888886</v>
      </c>
      <c r="I6" s="115">
        <v>0.2743055555555556</v>
      </c>
      <c r="J6" s="115">
        <v>0.2902777777777778</v>
      </c>
      <c r="K6" s="115">
        <v>0.30694444444444446</v>
      </c>
      <c r="L6" s="115">
        <v>0.3229166666666667</v>
      </c>
      <c r="M6" s="115">
        <v>0.33958333333333335</v>
      </c>
      <c r="N6" s="115">
        <v>0.35555555555555557</v>
      </c>
      <c r="O6" s="115">
        <v>0.37222222222222223</v>
      </c>
      <c r="P6" s="115">
        <v>0.4041666666666667</v>
      </c>
      <c r="Q6" s="115">
        <v>0.42986111111111114</v>
      </c>
      <c r="R6" s="115">
        <v>0.4527777777777778</v>
      </c>
      <c r="S6" s="115">
        <v>0.5013888888888889</v>
      </c>
      <c r="T6" s="115">
        <v>0.5270833333333333</v>
      </c>
      <c r="U6" s="115">
        <v>0.55</v>
      </c>
      <c r="V6" s="115">
        <v>0.5986111111111111</v>
      </c>
      <c r="W6" s="115">
        <v>0.6298611111111111</v>
      </c>
      <c r="X6" s="115">
        <v>0.6486111111111111</v>
      </c>
      <c r="Y6" s="115">
        <v>0.6659722222222222</v>
      </c>
      <c r="Z6" s="115">
        <v>0.68125</v>
      </c>
      <c r="AA6" s="115">
        <v>0.6979166666666666</v>
      </c>
      <c r="AB6" s="115">
        <v>0.7138888888888889</v>
      </c>
      <c r="AC6" s="115">
        <v>0.7305555555555555</v>
      </c>
      <c r="AD6" s="115">
        <v>0.7465277777777778</v>
      </c>
      <c r="AE6" s="115">
        <v>0.7631944444444444</v>
      </c>
    </row>
    <row r="7">
      <c r="A7" s="7" t="s">
        <v>107</v>
      </c>
      <c r="B7" s="9" t="s">
        <v>108</v>
      </c>
      <c r="C7" s="115">
        <v>0.18055555555555555</v>
      </c>
      <c r="D7" s="115">
        <v>0.19722222222222222</v>
      </c>
      <c r="E7" s="115">
        <v>0.21319444444444444</v>
      </c>
      <c r="F7" s="115">
        <v>0.2298611111111111</v>
      </c>
      <c r="G7" s="115">
        <v>0.24583333333333332</v>
      </c>
      <c r="H7" s="115">
        <v>0.2625</v>
      </c>
      <c r="I7" s="115">
        <v>0.27847222222222223</v>
      </c>
      <c r="J7" s="115">
        <v>0.2951388888888889</v>
      </c>
      <c r="K7" s="115">
        <v>0.3111111111111111</v>
      </c>
      <c r="L7" s="115">
        <v>0.3277777777777778</v>
      </c>
      <c r="M7" s="115">
        <v>0.34375</v>
      </c>
      <c r="N7" s="115">
        <v>0.36041666666666666</v>
      </c>
      <c r="O7" s="115">
        <v>0.3763888888888889</v>
      </c>
      <c r="P7" s="115">
        <v>0.4083333333333333</v>
      </c>
      <c r="Q7" s="115">
        <v>0.4340277777777778</v>
      </c>
      <c r="R7" s="115">
        <v>0.45694444444444443</v>
      </c>
      <c r="S7" s="115">
        <v>0.5055555555555555</v>
      </c>
      <c r="T7" s="115">
        <v>0.53125</v>
      </c>
      <c r="U7" s="115">
        <v>0.5541666666666667</v>
      </c>
      <c r="V7" s="115">
        <v>0.6027777777777777</v>
      </c>
      <c r="W7" s="115">
        <v>0.6340277777777777</v>
      </c>
      <c r="X7" s="115">
        <v>0.6534722222222222</v>
      </c>
      <c r="Y7" s="115">
        <v>0.6701388888888888</v>
      </c>
      <c r="Z7" s="115">
        <v>0.6861111111111111</v>
      </c>
      <c r="AA7" s="115">
        <v>0.7020833333333333</v>
      </c>
      <c r="AB7" s="115">
        <v>0.71875</v>
      </c>
      <c r="AC7" s="115">
        <v>0.7347222222222223</v>
      </c>
      <c r="AD7" s="115">
        <v>0.7513888888888889</v>
      </c>
      <c r="AE7" s="115">
        <v>0.7673611111111112</v>
      </c>
    </row>
    <row r="8">
      <c r="A8" s="7" t="s">
        <v>12</v>
      </c>
      <c r="B8" s="9" t="s">
        <v>13</v>
      </c>
      <c r="C8" s="115">
        <v>0.18541666666666667</v>
      </c>
      <c r="D8" s="115">
        <v>0.20208333333333334</v>
      </c>
      <c r="E8" s="115">
        <v>0.21805555555555556</v>
      </c>
      <c r="F8" s="115">
        <v>0.23472222222222222</v>
      </c>
      <c r="G8" s="115">
        <v>0.25069444444444444</v>
      </c>
      <c r="H8" s="115">
        <v>0.2673611111111111</v>
      </c>
      <c r="I8" s="115">
        <v>0.2833333333333333</v>
      </c>
      <c r="J8" s="115">
        <v>0.3</v>
      </c>
      <c r="K8" s="115">
        <v>0.3159722222222222</v>
      </c>
      <c r="L8" s="115">
        <v>0.3326388888888889</v>
      </c>
      <c r="M8" s="115">
        <v>0.3486111111111111</v>
      </c>
      <c r="N8" s="115">
        <v>0.36527777777777776</v>
      </c>
      <c r="O8" s="115">
        <v>0.38125</v>
      </c>
      <c r="P8" s="115">
        <v>0.4131944444444444</v>
      </c>
      <c r="Q8" s="115">
        <v>0.4388888888888889</v>
      </c>
      <c r="R8" s="115">
        <v>0.4618055555555556</v>
      </c>
      <c r="S8" s="115">
        <v>0.5104166666666666</v>
      </c>
      <c r="T8" s="115">
        <v>0.5361111111111111</v>
      </c>
      <c r="U8" s="115">
        <v>0.5590277777777778</v>
      </c>
      <c r="V8" s="115">
        <v>0.6076388888888888</v>
      </c>
      <c r="W8" s="115">
        <v>0.6388888888888888</v>
      </c>
      <c r="X8" s="115">
        <v>0.6583333333333333</v>
      </c>
      <c r="Y8" s="115">
        <v>0.675</v>
      </c>
      <c r="Z8" s="115">
        <v>0.6909722222222222</v>
      </c>
      <c r="AA8" s="115">
        <v>0.7069444444444445</v>
      </c>
      <c r="AB8" s="115">
        <v>0.7236111111111111</v>
      </c>
      <c r="AC8" s="115">
        <v>0.7395833333333334</v>
      </c>
      <c r="AD8" s="115">
        <v>0.75625</v>
      </c>
      <c r="AE8" s="115">
        <v>0.7722222222222223</v>
      </c>
    </row>
    <row r="9">
      <c r="A9" s="7" t="s">
        <v>14</v>
      </c>
      <c r="B9" s="9" t="s">
        <v>15</v>
      </c>
      <c r="C9" s="114">
        <v>0.18958333333333333</v>
      </c>
      <c r="D9" s="114">
        <v>0.20555555555555555</v>
      </c>
      <c r="E9" s="114">
        <v>0.2222222222222222</v>
      </c>
      <c r="F9" s="114">
        <v>0.23819444444444443</v>
      </c>
      <c r="G9" s="114">
        <v>0.2548611111111111</v>
      </c>
      <c r="H9" s="114">
        <v>0.2708333333333333</v>
      </c>
      <c r="I9" s="114">
        <v>0.2875</v>
      </c>
      <c r="J9" s="114">
        <v>0.3034722222222222</v>
      </c>
      <c r="K9" s="114">
        <v>0.32013888888888886</v>
      </c>
      <c r="L9" s="114">
        <v>0.33611111111111114</v>
      </c>
      <c r="M9" s="114">
        <v>0.3527777777777778</v>
      </c>
      <c r="N9" s="114">
        <v>0.36875</v>
      </c>
      <c r="O9" s="114">
        <v>0.3854166666666667</v>
      </c>
      <c r="P9" s="114">
        <v>0.4173611111111111</v>
      </c>
      <c r="Q9" s="114">
        <v>0.44305555555555554</v>
      </c>
      <c r="R9" s="114">
        <v>0.46597222222222223</v>
      </c>
      <c r="S9" s="114">
        <v>0.5145833333333333</v>
      </c>
      <c r="T9" s="114">
        <v>0.5402777777777777</v>
      </c>
      <c r="U9" s="114">
        <v>0.5631944444444444</v>
      </c>
      <c r="V9" s="114">
        <v>0.6118055555555556</v>
      </c>
      <c r="W9" s="114">
        <v>0.6430555555555556</v>
      </c>
      <c r="X9" s="114">
        <v>0.6618055555555555</v>
      </c>
      <c r="Y9" s="114">
        <v>0.6791666666666667</v>
      </c>
      <c r="Z9" s="114">
        <v>0.6944444444444444</v>
      </c>
      <c r="AA9" s="114">
        <v>0.7111111111111111</v>
      </c>
      <c r="AB9" s="114">
        <v>0.7270833333333333</v>
      </c>
      <c r="AC9" s="114">
        <v>0.74375</v>
      </c>
      <c r="AD9" s="114">
        <v>0.7597222222222222</v>
      </c>
      <c r="AE9" s="114">
        <v>0.7763888888888889</v>
      </c>
    </row>
    <row r="10">
      <c r="A10" s="7" t="s">
        <v>16</v>
      </c>
      <c r="B10" s="9" t="s">
        <v>17</v>
      </c>
      <c r="C10" s="115">
        <v>0.19236111111111112</v>
      </c>
      <c r="D10" s="115">
        <v>0.20902777777777778</v>
      </c>
      <c r="E10" s="115">
        <v>0.225</v>
      </c>
      <c r="F10" s="115">
        <v>0.24166666666666667</v>
      </c>
      <c r="G10" s="115">
        <v>0.25763888888888886</v>
      </c>
      <c r="H10" s="115">
        <v>0.2743055555555556</v>
      </c>
      <c r="I10" s="115">
        <v>0.2902777777777778</v>
      </c>
      <c r="J10" s="115">
        <v>0.30694444444444446</v>
      </c>
      <c r="K10" s="115">
        <v>0.3229166666666667</v>
      </c>
      <c r="L10" s="115">
        <v>0.33958333333333335</v>
      </c>
      <c r="M10" s="115">
        <v>0.35555555555555557</v>
      </c>
      <c r="N10" s="115">
        <v>0.37222222222222223</v>
      </c>
      <c r="O10" s="115">
        <v>0.38819444444444445</v>
      </c>
      <c r="P10" s="115">
        <v>0.4201388888888889</v>
      </c>
      <c r="Q10" s="115">
        <v>0.44583333333333336</v>
      </c>
      <c r="R10" s="115">
        <v>0.46875</v>
      </c>
      <c r="S10" s="115">
        <v>0.5173611111111112</v>
      </c>
      <c r="T10" s="115">
        <v>0.5430555555555555</v>
      </c>
      <c r="U10" s="115">
        <v>0.5659722222222222</v>
      </c>
      <c r="V10" s="115">
        <v>0.6145833333333334</v>
      </c>
      <c r="W10" s="115">
        <v>0.6458333333333334</v>
      </c>
      <c r="X10" s="115">
        <v>0.6652777777777777</v>
      </c>
      <c r="Y10" s="115">
        <v>0.6819444444444445</v>
      </c>
      <c r="Z10" s="115">
        <v>0.6979166666666666</v>
      </c>
      <c r="AA10" s="115">
        <v>0.7138888888888889</v>
      </c>
      <c r="AB10" s="115">
        <v>0.7305555555555555</v>
      </c>
      <c r="AC10" s="115">
        <v>0.7465277777777778</v>
      </c>
      <c r="AD10" s="115">
        <v>0.7631944444444444</v>
      </c>
      <c r="AE10" s="115">
        <v>0.7791666666666667</v>
      </c>
    </row>
    <row r="11">
      <c r="A11" s="7" t="s">
        <v>105</v>
      </c>
      <c r="B11" s="153" t="s">
        <v>106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</row>
    <row r="12">
      <c r="A12" s="7" t="s">
        <v>18</v>
      </c>
      <c r="B12" s="9" t="s">
        <v>19</v>
      </c>
      <c r="C12" s="114">
        <v>0.19722222222222222</v>
      </c>
      <c r="D12" s="114">
        <v>0.21388888888888888</v>
      </c>
      <c r="E12" s="114">
        <v>0.2298611111111111</v>
      </c>
      <c r="F12" s="114">
        <v>0.2465277777777778</v>
      </c>
      <c r="G12" s="114">
        <v>0.2625</v>
      </c>
      <c r="H12" s="114">
        <v>0.2791666666666667</v>
      </c>
      <c r="I12" s="114">
        <v>0.2951388888888889</v>
      </c>
      <c r="J12" s="114">
        <v>0.31180555555555556</v>
      </c>
      <c r="K12" s="114">
        <v>0.3277777777777778</v>
      </c>
      <c r="L12" s="114">
        <v>0.34444444444444444</v>
      </c>
      <c r="M12" s="114">
        <v>0.36041666666666666</v>
      </c>
      <c r="N12" s="114">
        <v>0.3770833333333333</v>
      </c>
      <c r="O12" s="114">
        <v>0.39305555555555555</v>
      </c>
      <c r="P12" s="114">
        <v>0.425</v>
      </c>
      <c r="Q12" s="114">
        <v>0.45069444444444445</v>
      </c>
      <c r="R12" s="114">
        <v>0.4736111111111111</v>
      </c>
      <c r="S12" s="114">
        <v>0.5222222222222223</v>
      </c>
      <c r="T12" s="114">
        <v>0.5479166666666667</v>
      </c>
      <c r="U12" s="114">
        <v>0.5708333333333333</v>
      </c>
      <c r="V12" s="114">
        <v>0.6194444444444445</v>
      </c>
      <c r="W12" s="114">
        <v>0.6506944444444445</v>
      </c>
      <c r="X12" s="114">
        <v>0.6701388888888888</v>
      </c>
      <c r="Y12" s="114">
        <v>0.6868055555555556</v>
      </c>
      <c r="Z12" s="114">
        <v>0.7027777777777777</v>
      </c>
      <c r="AA12" s="114">
        <v>0.71875</v>
      </c>
      <c r="AB12" s="114">
        <v>0.7354166666666667</v>
      </c>
      <c r="AC12" s="114">
        <v>0.7513888888888889</v>
      </c>
      <c r="AD12" s="114">
        <v>0.7680555555555556</v>
      </c>
      <c r="AE12" s="114">
        <v>0.7840277777777778</v>
      </c>
    </row>
    <row r="13">
      <c r="A13" s="7" t="s">
        <v>103</v>
      </c>
      <c r="B13" s="153" t="s">
        <v>104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</row>
    <row r="14">
      <c r="A14" s="7" t="s">
        <v>20</v>
      </c>
      <c r="B14" s="9" t="s">
        <v>21</v>
      </c>
      <c r="C14" s="114">
        <v>0.20069444444444445</v>
      </c>
      <c r="D14" s="114">
        <v>0.21666666666666667</v>
      </c>
      <c r="E14" s="114">
        <v>0.23333333333333334</v>
      </c>
      <c r="F14" s="114">
        <v>0.24930555555555556</v>
      </c>
      <c r="G14" s="114">
        <v>0.2659722222222222</v>
      </c>
      <c r="H14" s="114">
        <v>0.28194444444444444</v>
      </c>
      <c r="I14" s="114">
        <v>0.2986111111111111</v>
      </c>
      <c r="J14" s="114">
        <v>0.3145833333333333</v>
      </c>
      <c r="K14" s="114">
        <v>0.33125</v>
      </c>
      <c r="L14" s="114">
        <v>0.3472222222222222</v>
      </c>
      <c r="M14" s="114">
        <v>0.3638888888888889</v>
      </c>
      <c r="N14" s="114">
        <v>0.3798611111111111</v>
      </c>
      <c r="O14" s="114">
        <v>0.39652777777777776</v>
      </c>
      <c r="P14" s="114">
        <v>0.4284722222222222</v>
      </c>
      <c r="Q14" s="114">
        <v>0.45416666666666666</v>
      </c>
      <c r="R14" s="114">
        <v>0.47708333333333336</v>
      </c>
      <c r="S14" s="114">
        <v>0.5256944444444445</v>
      </c>
      <c r="T14" s="114">
        <v>0.5513888888888889</v>
      </c>
      <c r="U14" s="114">
        <v>0.5743055555555555</v>
      </c>
      <c r="V14" s="114">
        <v>0.6229166666666667</v>
      </c>
      <c r="W14" s="114">
        <v>0.6541666666666667</v>
      </c>
      <c r="X14" s="114">
        <v>0.6729166666666667</v>
      </c>
      <c r="Y14" s="114">
        <v>0.6902777777777778</v>
      </c>
      <c r="Z14" s="114">
        <v>0.7055555555555556</v>
      </c>
      <c r="AA14" s="114">
        <v>0.7222222222222222</v>
      </c>
      <c r="AB14" s="114">
        <v>0.7381944444444445</v>
      </c>
      <c r="AC14" s="114">
        <v>0.7548611111111111</v>
      </c>
      <c r="AD14" s="114">
        <v>0.7708333333333334</v>
      </c>
      <c r="AE14" s="114">
        <v>0.7875</v>
      </c>
    </row>
    <row r="15">
      <c r="A15" s="7" t="s">
        <v>101</v>
      </c>
      <c r="B15" s="153" t="s">
        <v>102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</row>
    <row r="16">
      <c r="A16" s="7" t="s">
        <v>99</v>
      </c>
      <c r="B16" s="153" t="s">
        <v>100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</row>
    <row r="17">
      <c r="A17" s="7" t="s">
        <v>97</v>
      </c>
      <c r="B17" s="153" t="s">
        <v>98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</row>
    <row r="18">
      <c r="A18" s="7" t="s">
        <v>95</v>
      </c>
      <c r="B18" s="153" t="s">
        <v>96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</row>
    <row r="19">
      <c r="A19" s="7" t="s">
        <v>22</v>
      </c>
      <c r="B19" s="9" t="s">
        <v>23</v>
      </c>
      <c r="C19" s="114">
        <v>0.20555555555555555</v>
      </c>
      <c r="D19" s="114">
        <v>0.2222222222222222</v>
      </c>
      <c r="E19" s="114">
        <v>0.23819444444444443</v>
      </c>
      <c r="F19" s="114">
        <v>0.2548611111111111</v>
      </c>
      <c r="G19" s="114">
        <v>0.2708333333333333</v>
      </c>
      <c r="H19" s="114">
        <v>0.2875</v>
      </c>
      <c r="I19" s="114">
        <v>0.3034722222222222</v>
      </c>
      <c r="J19" s="114">
        <v>0.32013888888888886</v>
      </c>
      <c r="K19" s="114">
        <v>0.33611111111111114</v>
      </c>
      <c r="L19" s="114">
        <v>0.3527777777777778</v>
      </c>
      <c r="M19" s="114">
        <v>0.36875</v>
      </c>
      <c r="N19" s="114">
        <v>0.3854166666666667</v>
      </c>
      <c r="O19" s="114">
        <v>0.4013888888888889</v>
      </c>
      <c r="P19" s="114">
        <v>0.43333333333333335</v>
      </c>
      <c r="Q19" s="114">
        <v>0.45902777777777776</v>
      </c>
      <c r="R19" s="114">
        <v>0.48194444444444445</v>
      </c>
      <c r="S19" s="114">
        <v>0.5305555555555556</v>
      </c>
      <c r="T19" s="114">
        <v>0.55625</v>
      </c>
      <c r="U19" s="114">
        <v>0.5791666666666667</v>
      </c>
      <c r="V19" s="114">
        <v>0.6277777777777778</v>
      </c>
      <c r="W19" s="114">
        <v>0.6590277777777778</v>
      </c>
      <c r="X19" s="114">
        <v>0.6784722222222223</v>
      </c>
      <c r="Y19" s="114">
        <v>0.6951388888888889</v>
      </c>
      <c r="Z19" s="114">
        <v>0.7111111111111111</v>
      </c>
      <c r="AA19" s="114">
        <v>0.7270833333333333</v>
      </c>
      <c r="AB19" s="114">
        <v>0.74375</v>
      </c>
      <c r="AC19" s="114">
        <v>0.7597222222222222</v>
      </c>
      <c r="AD19" s="114">
        <v>0.7763888888888889</v>
      </c>
      <c r="AE19" s="114">
        <v>0.7923611111111111</v>
      </c>
    </row>
    <row r="20">
      <c r="A20" s="7" t="s">
        <v>93</v>
      </c>
      <c r="B20" s="153" t="s">
        <v>94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</row>
    <row r="21">
      <c r="A21" s="7" t="s">
        <v>91</v>
      </c>
      <c r="B21" s="153" t="s">
        <v>92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</row>
    <row r="22">
      <c r="A22" s="7" t="s">
        <v>24</v>
      </c>
      <c r="B22" s="10" t="s">
        <v>25</v>
      </c>
      <c r="C22" s="114">
        <v>0.20972222222222223</v>
      </c>
      <c r="D22" s="114">
        <v>0.22569444444444445</v>
      </c>
      <c r="E22" s="114">
        <v>0.2423611111111111</v>
      </c>
      <c r="F22" s="114">
        <v>0.25833333333333336</v>
      </c>
      <c r="G22" s="114">
        <v>0.275</v>
      </c>
      <c r="H22" s="114">
        <v>0.29097222222222224</v>
      </c>
      <c r="I22" s="114">
        <v>0.3076388888888889</v>
      </c>
      <c r="J22" s="114">
        <v>0.3236111111111111</v>
      </c>
      <c r="K22" s="114">
        <v>0.3402777777777778</v>
      </c>
      <c r="L22" s="114">
        <v>0.35625</v>
      </c>
      <c r="M22" s="114">
        <v>0.3729166666666667</v>
      </c>
      <c r="N22" s="114">
        <v>0.3888888888888889</v>
      </c>
      <c r="O22" s="114">
        <v>0.40555555555555556</v>
      </c>
      <c r="P22" s="114">
        <v>0.4375</v>
      </c>
      <c r="Q22" s="114">
        <v>0.46319444444444446</v>
      </c>
      <c r="R22" s="114">
        <v>0.4861111111111111</v>
      </c>
      <c r="S22" s="114">
        <v>0.5347222222222222</v>
      </c>
      <c r="T22" s="114">
        <v>0.5604166666666667</v>
      </c>
      <c r="U22" s="114">
        <v>0.5833333333333334</v>
      </c>
      <c r="V22" s="114">
        <v>0.6319444444444444</v>
      </c>
      <c r="W22" s="114">
        <v>0.6631944444444444</v>
      </c>
      <c r="X22" s="114">
        <v>0.6819444444444445</v>
      </c>
      <c r="Y22" s="114">
        <v>0.6993055555555555</v>
      </c>
      <c r="Z22" s="114">
        <v>0.7145833333333333</v>
      </c>
      <c r="AA22" s="114">
        <v>0.73125</v>
      </c>
      <c r="AB22" s="114">
        <v>0.7472222222222222</v>
      </c>
      <c r="AC22" s="114">
        <v>0.7638888888888888</v>
      </c>
      <c r="AD22" s="114">
        <v>0.7798611111111111</v>
      </c>
      <c r="AE22" s="114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</row>
    <row r="26"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</row>
    <row r="27"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</row>
    <row r="28"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</row>
    <row r="29"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</row>
    <row r="30"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4"/>
    </row>
    <row r="31">
      <c r="B31" s="83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4"/>
    </row>
    <row r="32"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4"/>
    </row>
    <row r="33"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4"/>
    </row>
    <row r="34">
      <c r="B34" s="83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4"/>
    </row>
    <row r="35">
      <c r="B35" s="83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4"/>
    </row>
    <row r="36">
      <c r="B36" s="83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4"/>
    </row>
    <row r="37">
      <c r="B37" s="83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4"/>
    </row>
    <row r="38">
      <c r="B38" s="83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4"/>
    </row>
    <row r="39"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4"/>
    </row>
    <row r="40">
      <c r="B40" s="83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4"/>
    </row>
    <row r="41"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4"/>
    </row>
    <row r="42">
      <c r="B42" s="83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4"/>
    </row>
    <row r="43"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4"/>
    </row>
    <row r="44"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4"/>
    </row>
    <row r="4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C46" s="15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83"/>
      <c r="W47" s="83"/>
      <c r="X47" s="83"/>
      <c r="Y47" s="83"/>
      <c r="Z47" s="83"/>
      <c r="AA47" s="83"/>
      <c r="AB47" s="83"/>
      <c r="AC47" s="83"/>
      <c r="AD47" s="83"/>
    </row>
    <row r="48">
      <c r="A48" s="13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>
      <c r="A50" s="13"/>
      <c r="B50" s="14"/>
      <c r="C50" s="14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>
      <c r="A51" s="13"/>
      <c r="B51" s="14"/>
      <c r="C51" s="12"/>
    </row>
    <row r="52">
      <c r="A52" s="13"/>
      <c r="B52" s="14"/>
      <c r="C52" s="12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</row>
    <row r="53">
      <c r="A53" s="13"/>
      <c r="B53" s="14"/>
      <c r="C53" s="12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</row>
    <row r="54">
      <c r="A54" s="13"/>
      <c r="B54" s="14"/>
      <c r="C54" s="12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54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5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54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54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8" t="s">
        <v>237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1803.0</v>
      </c>
      <c r="D2" s="159">
        <v>1805.0</v>
      </c>
      <c r="E2" s="159">
        <v>1821.0</v>
      </c>
      <c r="F2" s="159">
        <v>1823.0</v>
      </c>
      <c r="G2" s="111"/>
      <c r="H2" s="111"/>
      <c r="I2" s="111"/>
      <c r="J2" s="11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5" t="s">
        <v>24</v>
      </c>
      <c r="B3" s="6" t="str">
        <f>'PTA-to-PIEN_Sat'!B3</f>
        <v>-25.75864361043285, 28.189866445989118</v>
      </c>
      <c r="C3" s="93">
        <v>0.25</v>
      </c>
      <c r="D3" s="93">
        <v>0.375</v>
      </c>
      <c r="E3" s="93">
        <v>0.6354166666666666</v>
      </c>
      <c r="F3" s="93">
        <v>0.7777777777777778</v>
      </c>
      <c r="G3" s="148"/>
      <c r="H3" s="160"/>
      <c r="I3" s="148"/>
      <c r="J3" s="160"/>
      <c r="K3" s="81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7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7" t="s">
        <v>23</v>
      </c>
      <c r="C6" s="95">
        <v>0.25416666666666665</v>
      </c>
      <c r="D6" s="95">
        <v>0.37916666666666665</v>
      </c>
      <c r="E6" s="95">
        <v>0.6395833333333333</v>
      </c>
      <c r="F6" s="95">
        <v>0.7819444444444444</v>
      </c>
      <c r="G6" s="94"/>
      <c r="H6" s="94"/>
      <c r="I6" s="94"/>
      <c r="J6" s="94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97</v>
      </c>
      <c r="B8" s="7" t="s">
        <v>98</v>
      </c>
      <c r="C8" s="94"/>
      <c r="D8" s="94"/>
      <c r="E8" s="94"/>
      <c r="F8" s="94"/>
      <c r="G8" s="94"/>
      <c r="H8" s="94"/>
      <c r="I8" s="94"/>
      <c r="J8" s="94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99</v>
      </c>
      <c r="B9" s="7" t="s">
        <v>100</v>
      </c>
      <c r="C9" s="94"/>
      <c r="D9" s="94"/>
      <c r="E9" s="94"/>
      <c r="F9" s="94"/>
      <c r="G9" s="94"/>
      <c r="H9" s="94"/>
      <c r="I9" s="94"/>
      <c r="J9" s="94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101</v>
      </c>
      <c r="B10" s="7" t="s">
        <v>102</v>
      </c>
      <c r="C10" s="94"/>
      <c r="D10" s="94"/>
      <c r="E10" s="94"/>
      <c r="F10" s="94"/>
      <c r="G10" s="94"/>
      <c r="H10" s="94"/>
      <c r="I10" s="94"/>
      <c r="J10" s="94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7" t="s">
        <v>21</v>
      </c>
      <c r="C11" s="95">
        <v>0.25972222222222224</v>
      </c>
      <c r="D11" s="95">
        <v>0.38472222222222224</v>
      </c>
      <c r="E11" s="95">
        <v>0.6451388888888889</v>
      </c>
      <c r="F11" s="95">
        <v>0.7875</v>
      </c>
      <c r="G11" s="94"/>
      <c r="H11" s="94"/>
      <c r="I11" s="94"/>
      <c r="J11" s="94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94"/>
      <c r="D12" s="94"/>
      <c r="E12" s="94"/>
      <c r="F12" s="94"/>
      <c r="G12" s="94"/>
      <c r="H12" s="94"/>
      <c r="I12" s="94"/>
      <c r="J12" s="94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18</v>
      </c>
      <c r="B13" s="7" t="s">
        <v>19</v>
      </c>
      <c r="C13" s="95">
        <v>0.26319444444444445</v>
      </c>
      <c r="D13" s="95">
        <v>0.38819444444444445</v>
      </c>
      <c r="E13" s="95">
        <v>0.6486111111111111</v>
      </c>
      <c r="F13" s="95">
        <v>0.7909722222222222</v>
      </c>
      <c r="G13" s="94"/>
      <c r="H13" s="94"/>
      <c r="I13" s="94"/>
      <c r="J13" s="94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105</v>
      </c>
      <c r="B14" s="7" t="s">
        <v>106</v>
      </c>
      <c r="C14" s="94"/>
      <c r="D14" s="94"/>
      <c r="E14" s="94"/>
      <c r="F14" s="94"/>
      <c r="G14" s="94"/>
      <c r="H14" s="94"/>
      <c r="I14" s="94"/>
      <c r="J14" s="94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16</v>
      </c>
      <c r="B15" s="7" t="s">
        <v>17</v>
      </c>
      <c r="C15" s="95">
        <v>0.26805555555555555</v>
      </c>
      <c r="D15" s="95">
        <v>0.39305555555555555</v>
      </c>
      <c r="E15" s="95">
        <v>0.6534722222222222</v>
      </c>
      <c r="F15" s="95">
        <v>0.7958333333333333</v>
      </c>
      <c r="G15" s="94"/>
      <c r="H15" s="94"/>
      <c r="I15" s="94"/>
      <c r="J15" s="94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14</v>
      </c>
      <c r="B16" s="7" t="s">
        <v>15</v>
      </c>
      <c r="C16" s="95">
        <v>0.2708333333333333</v>
      </c>
      <c r="D16" s="95">
        <v>0.3958333333333333</v>
      </c>
      <c r="E16" s="95">
        <v>0.65625</v>
      </c>
      <c r="F16" s="95">
        <v>0.7986111111111112</v>
      </c>
      <c r="G16" s="94"/>
      <c r="H16" s="94"/>
      <c r="I16" s="94"/>
      <c r="J16" s="94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12</v>
      </c>
      <c r="B17" s="7" t="s">
        <v>13</v>
      </c>
      <c r="C17" s="95">
        <v>0.2743055555555556</v>
      </c>
      <c r="D17" s="95">
        <v>0.3993055555555556</v>
      </c>
      <c r="E17" s="95">
        <v>0.6597222222222222</v>
      </c>
      <c r="F17" s="95">
        <v>0.8020833333333334</v>
      </c>
      <c r="G17" s="94"/>
      <c r="H17" s="94"/>
      <c r="I17" s="94"/>
      <c r="J17" s="94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107</v>
      </c>
      <c r="B18" s="7" t="s">
        <v>108</v>
      </c>
      <c r="C18" s="95">
        <v>0.2791666666666667</v>
      </c>
      <c r="D18" s="95">
        <v>0.4041666666666667</v>
      </c>
      <c r="E18" s="95">
        <v>0.6645833333333333</v>
      </c>
      <c r="F18" s="95">
        <v>0.8069444444444445</v>
      </c>
      <c r="G18" s="94"/>
      <c r="H18" s="94"/>
      <c r="I18" s="94"/>
      <c r="J18" s="94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109</v>
      </c>
      <c r="B19" s="82" t="s">
        <v>110</v>
      </c>
      <c r="C19" s="95">
        <v>0.2826388888888889</v>
      </c>
      <c r="D19" s="95">
        <v>0.4076388888888889</v>
      </c>
      <c r="E19" s="95">
        <v>0.6680555555555555</v>
      </c>
      <c r="F19" s="95">
        <v>0.8104166666666667</v>
      </c>
      <c r="G19" s="94"/>
      <c r="H19" s="94"/>
      <c r="I19" s="94"/>
      <c r="J19" s="94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111</v>
      </c>
      <c r="B20" s="7" t="s">
        <v>112</v>
      </c>
      <c r="C20" s="49"/>
      <c r="D20" s="49"/>
      <c r="E20" s="49"/>
      <c r="F20" s="49"/>
      <c r="G20" s="49"/>
      <c r="H20" s="49"/>
      <c r="I20" s="49"/>
      <c r="J20" s="49"/>
    </row>
    <row r="21">
      <c r="A21" s="7" t="s">
        <v>113</v>
      </c>
      <c r="B21" s="7" t="s">
        <v>114</v>
      </c>
      <c r="C21" s="49"/>
      <c r="D21" s="49"/>
      <c r="E21" s="49"/>
      <c r="F21" s="49"/>
      <c r="G21" s="49"/>
      <c r="H21" s="49"/>
      <c r="I21" s="49"/>
      <c r="J21" s="49"/>
    </row>
    <row r="22">
      <c r="A22" s="7" t="s">
        <v>115</v>
      </c>
      <c r="B22" s="7" t="s">
        <v>116</v>
      </c>
      <c r="C22" s="95">
        <v>0.2916666666666667</v>
      </c>
      <c r="D22" s="95">
        <v>0.4166666666666667</v>
      </c>
      <c r="E22" s="95">
        <v>0.6770833333333334</v>
      </c>
      <c r="F22" s="95">
        <v>0.8194444444444444</v>
      </c>
      <c r="G22" s="94"/>
      <c r="H22" s="94"/>
      <c r="I22" s="94"/>
      <c r="J22" s="94"/>
      <c r="K22" s="8"/>
      <c r="L22" s="8"/>
      <c r="M22" s="8"/>
      <c r="N22" s="8"/>
      <c r="O22" s="8"/>
      <c r="P22" s="8"/>
      <c r="Q22" s="8"/>
      <c r="R22" s="8"/>
      <c r="S22" s="8"/>
      <c r="T22" s="8"/>
    </row>
    <row r="24">
      <c r="B24" s="11"/>
      <c r="C24" s="11"/>
      <c r="D24" s="11"/>
      <c r="E24" s="11"/>
      <c r="F24" s="11"/>
      <c r="T24" s="8"/>
    </row>
    <row r="26">
      <c r="T26" s="8"/>
    </row>
    <row r="28">
      <c r="T28" s="8"/>
    </row>
    <row r="30">
      <c r="T30" s="8"/>
    </row>
    <row r="31">
      <c r="A31" s="11"/>
    </row>
    <row r="32">
      <c r="A32" s="13"/>
      <c r="B32" s="14"/>
      <c r="C32" s="14"/>
      <c r="D32" s="14"/>
      <c r="E32" s="14"/>
      <c r="F32" s="14"/>
      <c r="T32" s="8"/>
    </row>
    <row r="33">
      <c r="A33" s="13"/>
      <c r="B33" s="14"/>
      <c r="C33" s="14"/>
      <c r="D33" s="14"/>
      <c r="E33" s="14"/>
      <c r="F33" s="14"/>
    </row>
    <row r="34">
      <c r="A34" s="13"/>
      <c r="B34" s="14"/>
      <c r="C34" s="14"/>
      <c r="D34" s="14"/>
      <c r="E34" s="14"/>
      <c r="F34" s="14"/>
      <c r="T34" s="8"/>
    </row>
    <row r="35">
      <c r="A35" s="13"/>
      <c r="B35" s="14"/>
      <c r="C35" s="14"/>
      <c r="D35" s="14"/>
      <c r="E35" s="14"/>
      <c r="F35" s="14"/>
    </row>
    <row r="36">
      <c r="A36" s="13"/>
      <c r="B36" s="14"/>
      <c r="C36" s="14"/>
      <c r="D36" s="14"/>
      <c r="E36" s="14"/>
      <c r="F36" s="14"/>
      <c r="T36" s="8"/>
    </row>
    <row r="37">
      <c r="A37" s="13"/>
      <c r="B37" s="14"/>
      <c r="C37" s="14"/>
      <c r="D37" s="14"/>
      <c r="E37" s="14"/>
      <c r="F37" s="14"/>
    </row>
    <row r="38">
      <c r="A38" s="13"/>
      <c r="B38" s="14"/>
      <c r="C38" s="14"/>
      <c r="D38" s="14"/>
      <c r="E38" s="14"/>
      <c r="F38" s="14"/>
      <c r="T38" s="8"/>
    </row>
    <row r="39">
      <c r="A39" s="13"/>
      <c r="B39" s="14"/>
      <c r="C39" s="14"/>
      <c r="D39" s="14"/>
      <c r="E39" s="14"/>
      <c r="F39" s="14"/>
    </row>
    <row r="40">
      <c r="A40" s="13"/>
      <c r="B40" s="14"/>
      <c r="C40" s="14"/>
      <c r="D40" s="14"/>
      <c r="E40" s="14"/>
      <c r="F40" s="14"/>
      <c r="T40" s="8"/>
    </row>
    <row r="41">
      <c r="A41" s="13"/>
      <c r="B41" s="14"/>
      <c r="C41" s="14"/>
      <c r="D41" s="14"/>
      <c r="E41" s="14"/>
      <c r="F41" s="14"/>
    </row>
    <row r="42">
      <c r="T42" s="8"/>
    </row>
    <row r="44">
      <c r="T44" s="8"/>
    </row>
    <row r="46">
      <c r="T46" s="8"/>
    </row>
    <row r="48">
      <c r="T48" s="8"/>
    </row>
    <row r="50">
      <c r="T5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1800.0</v>
      </c>
      <c r="D2" s="159">
        <v>1802.0</v>
      </c>
      <c r="E2" s="159">
        <v>1822.0</v>
      </c>
      <c r="F2" s="111"/>
      <c r="G2" s="111"/>
      <c r="H2" s="111"/>
      <c r="I2" s="111"/>
      <c r="J2" s="111"/>
      <c r="K2" s="11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5" t="s">
        <v>115</v>
      </c>
      <c r="B3" s="60" t="s">
        <v>116</v>
      </c>
      <c r="C3" s="93">
        <v>0.2013888888888889</v>
      </c>
      <c r="D3" s="93">
        <v>0.3055555555555556</v>
      </c>
      <c r="E3" s="93">
        <v>0.6909722222222222</v>
      </c>
      <c r="F3" s="148"/>
      <c r="G3" s="148"/>
      <c r="H3" s="148"/>
      <c r="I3" s="148"/>
      <c r="J3" s="148"/>
      <c r="K3" s="148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7" t="s">
        <v>113</v>
      </c>
      <c r="B4" s="9" t="s">
        <v>114</v>
      </c>
      <c r="C4" s="94"/>
      <c r="D4" s="94"/>
      <c r="E4" s="94"/>
      <c r="F4" s="94"/>
      <c r="G4" s="94"/>
      <c r="H4" s="94"/>
      <c r="I4" s="94"/>
      <c r="J4" s="94"/>
      <c r="K4" s="94"/>
      <c r="L4" s="8"/>
      <c r="M4" s="8"/>
      <c r="N4" s="8"/>
      <c r="O4" s="8"/>
      <c r="P4" s="8"/>
      <c r="Q4" s="8"/>
      <c r="R4" s="8"/>
      <c r="S4" s="8"/>
    </row>
    <row r="5">
      <c r="A5" s="7" t="s">
        <v>111</v>
      </c>
      <c r="B5" s="9" t="s">
        <v>112</v>
      </c>
      <c r="C5" s="94"/>
      <c r="D5" s="94"/>
      <c r="E5" s="94"/>
      <c r="F5" s="94"/>
      <c r="G5" s="94"/>
      <c r="H5" s="94"/>
      <c r="I5" s="94"/>
      <c r="J5" s="94"/>
      <c r="K5" s="94"/>
      <c r="L5" s="8"/>
      <c r="M5" s="8"/>
      <c r="N5" s="8"/>
      <c r="O5" s="8"/>
      <c r="P5" s="8"/>
      <c r="Q5" s="8"/>
      <c r="R5" s="8"/>
      <c r="S5" s="8"/>
    </row>
    <row r="6">
      <c r="A6" s="7" t="s">
        <v>109</v>
      </c>
      <c r="B6" s="9" t="s">
        <v>110</v>
      </c>
      <c r="C6" s="95">
        <v>0.20972222222222223</v>
      </c>
      <c r="D6" s="95">
        <v>0.3138888888888889</v>
      </c>
      <c r="E6" s="95">
        <v>0.6993055555555555</v>
      </c>
      <c r="F6" s="94"/>
      <c r="G6" s="94"/>
      <c r="H6" s="94"/>
      <c r="I6" s="94"/>
      <c r="J6" s="94"/>
      <c r="K6" s="94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107</v>
      </c>
      <c r="B7" s="9" t="s">
        <v>108</v>
      </c>
      <c r="C7" s="95">
        <v>0.21388888888888888</v>
      </c>
      <c r="D7" s="95">
        <v>0.31805555555555554</v>
      </c>
      <c r="E7" s="95">
        <v>0.7034722222222223</v>
      </c>
      <c r="F7" s="94"/>
      <c r="G7" s="94"/>
      <c r="H7" s="94"/>
      <c r="I7" s="94"/>
      <c r="J7" s="94"/>
      <c r="K7" s="94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12</v>
      </c>
      <c r="B8" s="9" t="s">
        <v>13</v>
      </c>
      <c r="C8" s="95">
        <v>0.21875</v>
      </c>
      <c r="D8" s="95">
        <v>0.3229166666666667</v>
      </c>
      <c r="E8" s="95">
        <v>0.7083333333333334</v>
      </c>
      <c r="F8" s="94"/>
      <c r="G8" s="94"/>
      <c r="H8" s="94"/>
      <c r="I8" s="94"/>
      <c r="J8" s="94"/>
      <c r="K8" s="94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14</v>
      </c>
      <c r="B9" s="9" t="s">
        <v>15</v>
      </c>
      <c r="C9" s="95">
        <v>0.22291666666666668</v>
      </c>
      <c r="D9" s="95">
        <v>0.32708333333333334</v>
      </c>
      <c r="E9" s="95">
        <v>0.7125</v>
      </c>
      <c r="F9" s="94"/>
      <c r="G9" s="94"/>
      <c r="H9" s="94"/>
      <c r="I9" s="94"/>
      <c r="J9" s="94"/>
      <c r="K9" s="94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7" t="s">
        <v>16</v>
      </c>
      <c r="B10" s="9" t="s">
        <v>17</v>
      </c>
      <c r="C10" s="95">
        <v>0.22569444444444445</v>
      </c>
      <c r="D10" s="95">
        <v>0.3298611111111111</v>
      </c>
      <c r="E10" s="95">
        <v>0.7152777777777778</v>
      </c>
      <c r="F10" s="94"/>
      <c r="G10" s="94"/>
      <c r="H10" s="94"/>
      <c r="I10" s="94"/>
      <c r="J10" s="94"/>
      <c r="K10" s="94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105</v>
      </c>
      <c r="B11" s="9" t="s">
        <v>106</v>
      </c>
      <c r="C11" s="94"/>
      <c r="D11" s="94"/>
      <c r="E11" s="94"/>
      <c r="F11" s="94"/>
      <c r="G11" s="94"/>
      <c r="H11" s="94"/>
      <c r="I11" s="94"/>
      <c r="J11" s="94"/>
      <c r="K11" s="94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18</v>
      </c>
      <c r="B12" s="9" t="s">
        <v>19</v>
      </c>
      <c r="C12" s="95">
        <v>0.23055555555555557</v>
      </c>
      <c r="D12" s="95">
        <v>0.3347222222222222</v>
      </c>
      <c r="E12" s="95">
        <v>0.7201388888888889</v>
      </c>
      <c r="F12" s="94"/>
      <c r="G12" s="94"/>
      <c r="H12" s="94"/>
      <c r="I12" s="94"/>
      <c r="J12" s="94"/>
      <c r="K12" s="94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7" t="s">
        <v>103</v>
      </c>
      <c r="B13" s="9" t="s">
        <v>104</v>
      </c>
      <c r="C13" s="94"/>
      <c r="D13" s="94"/>
      <c r="E13" s="94"/>
      <c r="F13" s="94"/>
      <c r="G13" s="94"/>
      <c r="H13" s="94"/>
      <c r="I13" s="94"/>
      <c r="J13" s="94"/>
      <c r="K13" s="94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20</v>
      </c>
      <c r="B14" s="9" t="s">
        <v>21</v>
      </c>
      <c r="C14" s="95">
        <v>0.23402777777777778</v>
      </c>
      <c r="D14" s="95">
        <v>0.33819444444444446</v>
      </c>
      <c r="E14" s="95">
        <v>0.7236111111111111</v>
      </c>
      <c r="F14" s="94"/>
      <c r="G14" s="94"/>
      <c r="H14" s="94"/>
      <c r="I14" s="94"/>
      <c r="J14" s="94"/>
      <c r="K14" s="94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7" t="s">
        <v>101</v>
      </c>
      <c r="B15" s="9" t="s">
        <v>102</v>
      </c>
      <c r="C15" s="94"/>
      <c r="D15" s="94"/>
      <c r="E15" s="94"/>
      <c r="F15" s="94"/>
      <c r="G15" s="94"/>
      <c r="H15" s="94"/>
      <c r="I15" s="94"/>
      <c r="J15" s="94"/>
      <c r="K15" s="94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7" t="s">
        <v>99</v>
      </c>
      <c r="B16" s="9" t="s">
        <v>100</v>
      </c>
      <c r="C16" s="94"/>
      <c r="D16" s="94"/>
      <c r="E16" s="94"/>
      <c r="F16" s="94"/>
      <c r="G16" s="94"/>
      <c r="H16" s="94"/>
      <c r="I16" s="94"/>
      <c r="J16" s="94"/>
      <c r="K16" s="94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7" t="s">
        <v>97</v>
      </c>
      <c r="B17" s="9" t="s">
        <v>98</v>
      </c>
      <c r="C17" s="94"/>
      <c r="D17" s="94"/>
      <c r="E17" s="94"/>
      <c r="F17" s="94"/>
      <c r="G17" s="94"/>
      <c r="H17" s="94"/>
      <c r="I17" s="94"/>
      <c r="J17" s="94"/>
      <c r="K17" s="94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7" t="s">
        <v>95</v>
      </c>
      <c r="B18" s="9" t="s">
        <v>96</v>
      </c>
      <c r="C18" s="94"/>
      <c r="D18" s="94"/>
      <c r="E18" s="94"/>
      <c r="F18" s="94"/>
      <c r="G18" s="94"/>
      <c r="H18" s="94"/>
      <c r="I18" s="94"/>
      <c r="J18" s="94"/>
      <c r="K18" s="94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7" t="s">
        <v>22</v>
      </c>
      <c r="B19" s="9" t="s">
        <v>23</v>
      </c>
      <c r="C19" s="95">
        <v>0.2388888888888889</v>
      </c>
      <c r="D19" s="95">
        <v>0.34305555555555556</v>
      </c>
      <c r="E19" s="95">
        <v>0.7284722222222222</v>
      </c>
      <c r="F19" s="94"/>
      <c r="G19" s="94"/>
      <c r="H19" s="94"/>
      <c r="I19" s="94"/>
      <c r="J19" s="94"/>
      <c r="K19" s="94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7" t="s">
        <v>93</v>
      </c>
      <c r="B20" s="9" t="s">
        <v>94</v>
      </c>
      <c r="C20" s="94"/>
      <c r="D20" s="94"/>
      <c r="E20" s="94"/>
      <c r="F20" s="94"/>
      <c r="G20" s="94"/>
      <c r="H20" s="94"/>
      <c r="I20" s="94"/>
      <c r="J20" s="94"/>
      <c r="K20" s="94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A21" s="7" t="s">
        <v>91</v>
      </c>
      <c r="B21" s="9" t="s">
        <v>92</v>
      </c>
      <c r="C21" s="94"/>
      <c r="D21" s="94"/>
      <c r="E21" s="94"/>
      <c r="F21" s="94"/>
      <c r="G21" s="94"/>
      <c r="H21" s="94"/>
      <c r="I21" s="94"/>
      <c r="J21" s="94"/>
      <c r="K21" s="94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A22" s="7" t="s">
        <v>24</v>
      </c>
      <c r="B22" s="10" t="s">
        <v>25</v>
      </c>
      <c r="C22" s="95">
        <v>0.24305555555555555</v>
      </c>
      <c r="D22" s="95">
        <v>0.3472222222222222</v>
      </c>
      <c r="E22" s="95">
        <v>0.7326388888888888</v>
      </c>
      <c r="F22" s="94"/>
      <c r="G22" s="94"/>
      <c r="H22" s="94"/>
      <c r="I22" s="94"/>
      <c r="J22" s="94"/>
      <c r="K22" s="94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>
      <c r="U23" s="8"/>
    </row>
    <row r="24">
      <c r="U24" s="8"/>
    </row>
    <row r="25">
      <c r="U25" s="8"/>
    </row>
    <row r="26">
      <c r="B26" s="8"/>
      <c r="U26" s="8"/>
    </row>
    <row r="27">
      <c r="U27" s="8"/>
    </row>
    <row r="28">
      <c r="U28" s="8"/>
    </row>
    <row r="29">
      <c r="U29" s="8"/>
    </row>
    <row r="30">
      <c r="B30" s="11"/>
      <c r="C30" s="11"/>
      <c r="D30" s="11"/>
      <c r="E30" s="11"/>
      <c r="F30" s="11"/>
      <c r="U30" s="8"/>
    </row>
    <row r="31">
      <c r="B31" s="13"/>
      <c r="C31" s="14"/>
      <c r="D31" s="14"/>
      <c r="E31" s="14"/>
      <c r="F31" s="14"/>
      <c r="U31" s="8"/>
    </row>
    <row r="32">
      <c r="B32" s="13"/>
      <c r="C32" s="14"/>
      <c r="D32" s="14"/>
      <c r="E32" s="14"/>
      <c r="F32" s="14"/>
      <c r="U32" s="8"/>
    </row>
    <row r="33">
      <c r="B33" s="13"/>
      <c r="C33" s="14"/>
      <c r="D33" s="14"/>
      <c r="E33" s="14"/>
      <c r="F33" s="14"/>
      <c r="U33" s="8"/>
    </row>
    <row r="34">
      <c r="B34" s="13"/>
      <c r="C34" s="14"/>
      <c r="D34" s="14"/>
      <c r="E34" s="14"/>
      <c r="F34" s="14"/>
      <c r="U34" s="8"/>
    </row>
    <row r="35">
      <c r="B35" s="13"/>
      <c r="C35" s="14"/>
      <c r="D35" s="14"/>
      <c r="E35" s="14"/>
      <c r="F35" s="14"/>
      <c r="U35" s="8"/>
    </row>
    <row r="36">
      <c r="B36" s="13"/>
      <c r="C36" s="14"/>
      <c r="D36" s="14"/>
      <c r="E36" s="14"/>
      <c r="F36" s="14"/>
      <c r="U36" s="8"/>
    </row>
    <row r="37">
      <c r="B37" s="13"/>
      <c r="C37" s="14"/>
      <c r="D37" s="14"/>
      <c r="E37" s="14"/>
      <c r="F37" s="14"/>
      <c r="U37" s="8"/>
    </row>
    <row r="38">
      <c r="B38" s="13"/>
      <c r="C38" s="14"/>
      <c r="D38" s="14"/>
      <c r="E38" s="14"/>
      <c r="F38" s="14"/>
      <c r="U38" s="8"/>
    </row>
    <row r="39">
      <c r="B39" s="13"/>
      <c r="C39" s="14"/>
      <c r="D39" s="14"/>
      <c r="E39" s="14"/>
      <c r="F39" s="14"/>
      <c r="U39" s="8"/>
    </row>
    <row r="40">
      <c r="B40" s="13"/>
      <c r="C40" s="14"/>
      <c r="D40" s="14"/>
      <c r="E40" s="14"/>
      <c r="F40" s="14"/>
      <c r="U40" s="8"/>
    </row>
    <row r="41">
      <c r="U41" s="8"/>
    </row>
    <row r="42">
      <c r="U42" s="8"/>
    </row>
    <row r="43">
      <c r="U43" s="8"/>
    </row>
    <row r="44">
      <c r="U44" s="8"/>
    </row>
    <row r="45">
      <c r="U45" s="8"/>
    </row>
    <row r="46">
      <c r="U46" s="8"/>
    </row>
    <row r="47">
      <c r="U47" s="8"/>
    </row>
    <row r="48">
      <c r="U48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238</v>
      </c>
      <c r="D2" s="102" t="s">
        <v>239</v>
      </c>
      <c r="E2" s="102" t="s">
        <v>240</v>
      </c>
      <c r="F2" s="102" t="s">
        <v>241</v>
      </c>
      <c r="G2" s="102" t="s">
        <v>242</v>
      </c>
      <c r="H2" s="102" t="s">
        <v>243</v>
      </c>
      <c r="I2" s="102" t="s">
        <v>244</v>
      </c>
      <c r="J2" s="102" t="s">
        <v>245</v>
      </c>
      <c r="K2" s="102" t="s">
        <v>246</v>
      </c>
      <c r="L2" s="102" t="s">
        <v>247</v>
      </c>
      <c r="M2" s="102" t="s">
        <v>248</v>
      </c>
      <c r="N2" s="102" t="s">
        <v>249</v>
      </c>
      <c r="O2" s="102" t="s">
        <v>250</v>
      </c>
      <c r="P2" s="102" t="s">
        <v>251</v>
      </c>
      <c r="Q2" s="102" t="s">
        <v>252</v>
      </c>
      <c r="R2" s="102" t="s">
        <v>253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61" t="s">
        <v>49</v>
      </c>
      <c r="B3" s="5" t="s">
        <v>254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62"/>
    </row>
    <row r="5">
      <c r="A5" s="3" t="s">
        <v>47</v>
      </c>
      <c r="B5" s="8" t="s">
        <v>256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62"/>
    </row>
    <row r="6">
      <c r="A6" s="9" t="s">
        <v>46</v>
      </c>
      <c r="B6" s="9" t="s">
        <v>257</v>
      </c>
      <c r="S6" s="162"/>
    </row>
    <row r="7">
      <c r="A7" s="9" t="s">
        <v>45</v>
      </c>
      <c r="B7" s="9" t="s">
        <v>258</v>
      </c>
      <c r="S7" s="162"/>
    </row>
    <row r="8">
      <c r="A8" s="3" t="s">
        <v>44</v>
      </c>
      <c r="B8" s="9" t="s">
        <v>259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62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62"/>
    </row>
    <row r="10">
      <c r="A10" s="9" t="s">
        <v>42</v>
      </c>
      <c r="B10" s="9" t="s">
        <v>145</v>
      </c>
      <c r="S10" s="162"/>
    </row>
    <row r="11">
      <c r="A11" s="9" t="s">
        <v>41</v>
      </c>
      <c r="B11" s="9" t="s">
        <v>144</v>
      </c>
      <c r="S11" s="162"/>
    </row>
    <row r="12">
      <c r="A12" s="9" t="s">
        <v>40</v>
      </c>
      <c r="B12" s="9" t="s">
        <v>143</v>
      </c>
      <c r="S12" s="162"/>
    </row>
    <row r="13">
      <c r="A13" s="3" t="s">
        <v>39</v>
      </c>
      <c r="B13" s="7" t="s">
        <v>260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62"/>
    </row>
    <row r="14">
      <c r="A14" s="3" t="s">
        <v>38</v>
      </c>
      <c r="B14" s="7" t="s">
        <v>261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62"/>
    </row>
    <row r="15">
      <c r="A15" s="3" t="s">
        <v>37</v>
      </c>
      <c r="B15" s="7" t="s">
        <v>262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/>
      <c r="S20" s="8"/>
      <c r="T20" s="8"/>
    </row>
    <row r="21">
      <c r="S21" s="8"/>
      <c r="T21" s="8"/>
    </row>
    <row r="22">
      <c r="A22" s="10"/>
      <c r="S22" s="8"/>
      <c r="T22" s="8"/>
    </row>
    <row r="25">
      <c r="A25" s="10"/>
    </row>
    <row r="26">
      <c r="A26" s="10"/>
    </row>
    <row r="30">
      <c r="A30" s="10"/>
    </row>
    <row r="31">
      <c r="A31" s="10"/>
    </row>
    <row r="32">
      <c r="A32" s="10"/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263</v>
      </c>
      <c r="E2" s="102" t="s">
        <v>264</v>
      </c>
      <c r="F2" s="102" t="s">
        <v>265</v>
      </c>
      <c r="G2" s="102" t="s">
        <v>266</v>
      </c>
      <c r="H2" s="102" t="s">
        <v>267</v>
      </c>
      <c r="I2" s="102" t="s">
        <v>268</v>
      </c>
      <c r="J2" s="102" t="s">
        <v>269</v>
      </c>
      <c r="K2" s="102" t="s">
        <v>270</v>
      </c>
      <c r="L2" s="102" t="s">
        <v>271</v>
      </c>
      <c r="M2" s="102" t="s">
        <v>272</v>
      </c>
      <c r="N2" s="102" t="s">
        <v>273</v>
      </c>
      <c r="O2" s="102" t="s">
        <v>274</v>
      </c>
      <c r="P2" s="102" t="s">
        <v>275</v>
      </c>
      <c r="Q2" s="102" t="s">
        <v>276</v>
      </c>
      <c r="R2" s="102" t="s">
        <v>277</v>
      </c>
      <c r="S2" s="102" t="s">
        <v>278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262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63"/>
      <c r="V3" s="10"/>
    </row>
    <row r="4">
      <c r="A4" s="1" t="s">
        <v>38</v>
      </c>
      <c r="B4" s="7" t="s">
        <v>261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63"/>
      <c r="V4" s="10"/>
    </row>
    <row r="5">
      <c r="A5" s="1" t="s">
        <v>39</v>
      </c>
      <c r="B5" s="7" t="s">
        <v>260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63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63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63"/>
      <c r="V9" s="10"/>
    </row>
    <row r="10">
      <c r="A10" s="1" t="s">
        <v>44</v>
      </c>
      <c r="B10" s="7" t="s">
        <v>259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63"/>
      <c r="V10" s="10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63"/>
    </row>
    <row r="13">
      <c r="A13" s="1" t="s">
        <v>47</v>
      </c>
      <c r="B13" s="7" t="s">
        <v>256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63"/>
      <c r="V13" s="10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63"/>
    </row>
    <row r="15">
      <c r="A15" s="1" t="s">
        <v>49</v>
      </c>
      <c r="B15" s="7" t="s">
        <v>254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63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240</v>
      </c>
      <c r="D2" s="102" t="s">
        <v>241</v>
      </c>
      <c r="E2" s="102" t="s">
        <v>242</v>
      </c>
      <c r="F2" s="102" t="s">
        <v>243</v>
      </c>
      <c r="G2" s="102" t="s">
        <v>245</v>
      </c>
      <c r="H2" s="102" t="s">
        <v>246</v>
      </c>
      <c r="I2" s="102" t="s">
        <v>247</v>
      </c>
      <c r="J2" s="102" t="s">
        <v>248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254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162"/>
    </row>
    <row r="5">
      <c r="A5" s="9" t="s">
        <v>47</v>
      </c>
      <c r="B5" s="8" t="s">
        <v>256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62"/>
    </row>
    <row r="6">
      <c r="A6" s="9" t="s">
        <v>46</v>
      </c>
      <c r="B6" s="9" t="s">
        <v>257</v>
      </c>
      <c r="C6" s="10"/>
      <c r="D6" s="10"/>
      <c r="E6" s="10"/>
      <c r="F6" s="10"/>
      <c r="G6" s="10"/>
      <c r="H6" s="10"/>
      <c r="I6" s="10"/>
      <c r="J6" s="10"/>
      <c r="K6" s="162"/>
    </row>
    <row r="7">
      <c r="A7" s="9" t="s">
        <v>45</v>
      </c>
      <c r="B7" s="9" t="s">
        <v>258</v>
      </c>
      <c r="C7" s="10"/>
      <c r="D7" s="10"/>
      <c r="E7" s="10"/>
      <c r="F7" s="10"/>
      <c r="G7" s="10"/>
      <c r="H7" s="10"/>
      <c r="I7" s="10"/>
      <c r="J7" s="10"/>
      <c r="K7" s="162"/>
    </row>
    <row r="8">
      <c r="A8" s="9" t="s">
        <v>44</v>
      </c>
      <c r="B8" s="9" t="s">
        <v>259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62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62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62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62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62"/>
    </row>
    <row r="13">
      <c r="A13" s="9" t="s">
        <v>39</v>
      </c>
      <c r="B13" s="7" t="s">
        <v>260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62"/>
    </row>
    <row r="14">
      <c r="A14" s="9" t="s">
        <v>38</v>
      </c>
      <c r="B14" s="7" t="s">
        <v>261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62"/>
    </row>
    <row r="15">
      <c r="A15" s="9" t="s">
        <v>37</v>
      </c>
      <c r="B15" s="7" t="s">
        <v>262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263</v>
      </c>
      <c r="D2" s="102" t="s">
        <v>264</v>
      </c>
      <c r="E2" s="102" t="s">
        <v>265</v>
      </c>
      <c r="F2" s="102" t="s">
        <v>266</v>
      </c>
      <c r="G2" s="102" t="s">
        <v>268</v>
      </c>
      <c r="H2" s="102" t="s">
        <v>269</v>
      </c>
      <c r="I2" s="102" t="s">
        <v>270</v>
      </c>
      <c r="J2" s="102" t="s">
        <v>272</v>
      </c>
      <c r="K2" s="102" t="s">
        <v>273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262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63"/>
    </row>
    <row r="4">
      <c r="A4" s="1" t="s">
        <v>38</v>
      </c>
      <c r="B4" s="7" t="s">
        <v>261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63"/>
    </row>
    <row r="5">
      <c r="A5" s="1" t="s">
        <v>39</v>
      </c>
      <c r="B5" s="7" t="s">
        <v>260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63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63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63"/>
    </row>
    <row r="10">
      <c r="A10" s="1" t="s">
        <v>44</v>
      </c>
      <c r="B10" s="7" t="s">
        <v>259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63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163"/>
    </row>
    <row r="13">
      <c r="A13" s="1" t="s">
        <v>47</v>
      </c>
      <c r="B13" s="7" t="s">
        <v>256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63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163"/>
    </row>
    <row r="15">
      <c r="A15" s="1" t="s">
        <v>49</v>
      </c>
      <c r="B15" s="7" t="s">
        <v>254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63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64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64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64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4401.0</v>
      </c>
      <c r="D2" s="97">
        <v>4403.0</v>
      </c>
      <c r="E2" s="97">
        <v>4405.0</v>
      </c>
      <c r="F2" s="97">
        <v>4407.0</v>
      </c>
      <c r="G2" s="97">
        <v>4409.0</v>
      </c>
      <c r="H2" s="97">
        <v>4411.0</v>
      </c>
      <c r="I2" s="97">
        <v>4413.0</v>
      </c>
      <c r="J2" s="97">
        <v>4415.0</v>
      </c>
      <c r="K2" s="97">
        <v>4417.0</v>
      </c>
      <c r="L2" s="97">
        <v>4419.0</v>
      </c>
      <c r="M2" s="97">
        <v>4427.0</v>
      </c>
      <c r="N2" s="97">
        <v>4429.0</v>
      </c>
      <c r="O2" s="97">
        <v>4437.0</v>
      </c>
      <c r="P2" s="97">
        <v>4431.0</v>
      </c>
      <c r="Q2" s="97">
        <v>4433.0</v>
      </c>
      <c r="R2" s="97">
        <v>4439.0</v>
      </c>
      <c r="S2" s="97">
        <v>4435.0</v>
      </c>
      <c r="T2" s="97">
        <v>4445.0</v>
      </c>
      <c r="U2" s="97">
        <v>4447.0</v>
      </c>
      <c r="V2" s="97">
        <v>4449.0</v>
      </c>
      <c r="W2" s="97">
        <v>4451.0</v>
      </c>
      <c r="X2" s="97">
        <v>4453.0</v>
      </c>
      <c r="Y2" s="97">
        <v>4455.0</v>
      </c>
      <c r="Z2" s="97">
        <v>4457.0</v>
      </c>
      <c r="AA2" s="97">
        <v>4459.0</v>
      </c>
      <c r="AB2" s="97">
        <v>4461.0</v>
      </c>
      <c r="AC2" s="97">
        <v>4463.0</v>
      </c>
      <c r="AD2" s="97"/>
      <c r="AE2" s="97"/>
      <c r="AF2" s="97"/>
      <c r="AG2" s="97"/>
      <c r="AH2" s="97"/>
      <c r="AI2" s="97"/>
    </row>
    <row r="3">
      <c r="A3" s="4" t="s">
        <v>24</v>
      </c>
      <c r="B3" s="80" t="s">
        <v>25</v>
      </c>
      <c r="C3" s="6">
        <v>0.22361111111111112</v>
      </c>
      <c r="D3" s="6">
        <v>0.24027777777777778</v>
      </c>
      <c r="E3" s="6">
        <v>0.25625</v>
      </c>
      <c r="F3" s="6">
        <v>0.27291666666666664</v>
      </c>
      <c r="G3" s="6">
        <v>0.28888888888888886</v>
      </c>
      <c r="H3" s="6">
        <v>0.3055555555555556</v>
      </c>
      <c r="I3" s="6">
        <v>0.3215277777777778</v>
      </c>
      <c r="J3" s="6">
        <v>0.33819444444444446</v>
      </c>
      <c r="K3" s="6">
        <v>0.3541666666666667</v>
      </c>
      <c r="L3" s="6">
        <v>0.37083333333333335</v>
      </c>
      <c r="M3" s="6">
        <v>0.40347222222222223</v>
      </c>
      <c r="N3" s="6">
        <v>0.45208333333333334</v>
      </c>
      <c r="O3" s="6">
        <v>0.4791666666666667</v>
      </c>
      <c r="P3" s="6">
        <v>0.5006944444444444</v>
      </c>
      <c r="Q3" s="6">
        <v>0.5493055555555556</v>
      </c>
      <c r="R3" s="6">
        <v>0.5798611111111112</v>
      </c>
      <c r="S3" s="6">
        <v>0.5979166666666667</v>
      </c>
      <c r="T3" s="6">
        <v>0.6506944444444445</v>
      </c>
      <c r="U3" s="6">
        <v>0.6666666666666666</v>
      </c>
      <c r="V3" s="6">
        <v>0.6833333333333333</v>
      </c>
      <c r="W3" s="6">
        <v>0.6993055555555555</v>
      </c>
      <c r="X3" s="6">
        <v>0.7159722222222222</v>
      </c>
      <c r="Y3" s="6">
        <v>0.7319444444444444</v>
      </c>
      <c r="Z3" s="6">
        <v>0.7486111111111111</v>
      </c>
      <c r="AA3" s="6">
        <v>0.7645833333333333</v>
      </c>
      <c r="AB3" s="6">
        <v>0.78125</v>
      </c>
      <c r="AC3" s="6">
        <v>0.8090277777777778</v>
      </c>
      <c r="AD3" s="98"/>
      <c r="AE3" s="98"/>
      <c r="AF3" s="98"/>
      <c r="AG3" s="98"/>
      <c r="AH3" s="98"/>
      <c r="AI3" s="98"/>
    </row>
    <row r="4">
      <c r="A4" s="13" t="s">
        <v>91</v>
      </c>
      <c r="B4" s="1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9"/>
      <c r="AE4" s="99"/>
      <c r="AF4" s="99"/>
      <c r="AG4" s="99"/>
      <c r="AH4" s="99"/>
      <c r="AI4" s="99"/>
    </row>
    <row r="5">
      <c r="A5" s="13" t="s">
        <v>93</v>
      </c>
      <c r="B5" s="1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9"/>
      <c r="AE5" s="99"/>
      <c r="AF5" s="99"/>
      <c r="AG5" s="99"/>
      <c r="AH5" s="99"/>
      <c r="AI5" s="99"/>
    </row>
    <row r="6">
      <c r="A6" s="13" t="s">
        <v>22</v>
      </c>
      <c r="B6" s="17" t="s">
        <v>23</v>
      </c>
      <c r="C6" s="8">
        <v>0.22777777777777777</v>
      </c>
      <c r="D6" s="8">
        <v>0.24444444444444444</v>
      </c>
      <c r="E6" s="8">
        <v>0.2604166666666667</v>
      </c>
      <c r="F6" s="8">
        <v>0.27708333333333335</v>
      </c>
      <c r="G6" s="8">
        <v>0.29305555555555557</v>
      </c>
      <c r="H6" s="8">
        <v>0.30972222222222223</v>
      </c>
      <c r="I6" s="8">
        <v>0.32569444444444445</v>
      </c>
      <c r="J6" s="8">
        <v>0.3423611111111111</v>
      </c>
      <c r="K6" s="8">
        <v>0.35833333333333334</v>
      </c>
      <c r="L6" s="8">
        <v>0.375</v>
      </c>
      <c r="M6" s="8">
        <v>0.4076388888888889</v>
      </c>
      <c r="N6" s="8">
        <v>0.45625</v>
      </c>
      <c r="O6" s="8">
        <v>0.48333333333333334</v>
      </c>
      <c r="P6" s="8">
        <v>0.5048611111111111</v>
      </c>
      <c r="Q6" s="8">
        <v>0.5534722222222223</v>
      </c>
      <c r="R6" s="8">
        <v>0.5840277777777778</v>
      </c>
      <c r="S6" s="8">
        <v>0.6020833333333333</v>
      </c>
      <c r="T6" s="8">
        <v>0.6548611111111111</v>
      </c>
      <c r="U6" s="8">
        <v>0.6708333333333333</v>
      </c>
      <c r="V6" s="8">
        <v>0.6875</v>
      </c>
      <c r="W6" s="8">
        <v>0.7034722222222223</v>
      </c>
      <c r="X6" s="8">
        <v>0.7201388888888889</v>
      </c>
      <c r="Y6" s="8">
        <v>0.7361111111111112</v>
      </c>
      <c r="Z6" s="8">
        <v>0.7527777777777778</v>
      </c>
      <c r="AA6" s="8">
        <v>0.76875</v>
      </c>
      <c r="AB6" s="8">
        <v>0.7854166666666667</v>
      </c>
      <c r="AC6" s="8">
        <v>0.8131944444444444</v>
      </c>
      <c r="AD6" s="100"/>
      <c r="AE6" s="100"/>
      <c r="AF6" s="100"/>
      <c r="AG6" s="100"/>
      <c r="AH6" s="100"/>
      <c r="AI6" s="100"/>
    </row>
    <row r="7">
      <c r="A7" s="13" t="s">
        <v>95</v>
      </c>
      <c r="B7" s="1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9"/>
      <c r="AE7" s="99"/>
      <c r="AF7" s="99"/>
      <c r="AG7" s="99"/>
      <c r="AH7" s="99"/>
      <c r="AI7" s="99"/>
    </row>
    <row r="8">
      <c r="A8" s="13" t="s">
        <v>97</v>
      </c>
      <c r="B8" s="1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9"/>
      <c r="AE8" s="99"/>
      <c r="AF8" s="99"/>
      <c r="AG8" s="99"/>
      <c r="AH8" s="99"/>
      <c r="AI8" s="99"/>
    </row>
    <row r="9">
      <c r="A9" s="13" t="s">
        <v>99</v>
      </c>
      <c r="B9" s="1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9"/>
      <c r="AE9" s="99"/>
      <c r="AF9" s="99"/>
      <c r="AG9" s="99"/>
      <c r="AH9" s="99"/>
      <c r="AI9" s="99"/>
    </row>
    <row r="10">
      <c r="A10" s="13" t="s">
        <v>101</v>
      </c>
      <c r="B10" s="1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9"/>
      <c r="AE10" s="99"/>
      <c r="AF10" s="99"/>
      <c r="AG10" s="99"/>
      <c r="AH10" s="99"/>
      <c r="AI10" s="99"/>
    </row>
    <row r="11">
      <c r="A11" s="13" t="s">
        <v>20</v>
      </c>
      <c r="B11" s="17" t="s">
        <v>21</v>
      </c>
      <c r="C11" s="8">
        <v>0.23333333333333334</v>
      </c>
      <c r="D11" s="8">
        <v>0.24930555555555556</v>
      </c>
      <c r="E11" s="8">
        <v>0.2659722222222222</v>
      </c>
      <c r="F11" s="8">
        <v>0.28194444444444444</v>
      </c>
      <c r="G11" s="8">
        <v>0.2986111111111111</v>
      </c>
      <c r="H11" s="8">
        <v>0.3145833333333333</v>
      </c>
      <c r="I11" s="8">
        <v>0.33125</v>
      </c>
      <c r="J11" s="8">
        <v>0.3472222222222222</v>
      </c>
      <c r="K11" s="8">
        <v>0.3638888888888889</v>
      </c>
      <c r="L11" s="8">
        <v>0.3798611111111111</v>
      </c>
      <c r="M11" s="8">
        <v>0.4131944444444444</v>
      </c>
      <c r="N11" s="8">
        <v>0.4618055555555556</v>
      </c>
      <c r="O11" s="8">
        <v>0.48819444444444443</v>
      </c>
      <c r="P11" s="8">
        <v>0.5104166666666666</v>
      </c>
      <c r="Q11" s="8">
        <v>0.5590277777777778</v>
      </c>
      <c r="R11" s="8">
        <v>0.5888888888888889</v>
      </c>
      <c r="S11" s="8">
        <v>0.6076388888888888</v>
      </c>
      <c r="T11" s="8">
        <v>0.6597222222222222</v>
      </c>
      <c r="U11" s="8">
        <v>0.6763888888888889</v>
      </c>
      <c r="V11" s="8">
        <v>0.6923611111111111</v>
      </c>
      <c r="W11" s="8">
        <v>0.7090277777777778</v>
      </c>
      <c r="X11" s="8">
        <v>0.725</v>
      </c>
      <c r="Y11" s="8">
        <v>0.7416666666666667</v>
      </c>
      <c r="Z11" s="8">
        <v>0.7576388888888889</v>
      </c>
      <c r="AA11" s="8">
        <v>0.7743055555555556</v>
      </c>
      <c r="AB11" s="8">
        <v>0.7902777777777777</v>
      </c>
      <c r="AC11" s="8">
        <v>0.8180555555555555</v>
      </c>
      <c r="AD11" s="100"/>
      <c r="AE11" s="100"/>
      <c r="AF11" s="100"/>
      <c r="AG11" s="100"/>
      <c r="AH11" s="100"/>
      <c r="AI11" s="100"/>
    </row>
    <row r="12">
      <c r="A12" s="13" t="s">
        <v>103</v>
      </c>
      <c r="B12" s="1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9"/>
      <c r="AE12" s="99"/>
      <c r="AF12" s="99"/>
      <c r="AG12" s="99"/>
      <c r="AH12" s="99"/>
      <c r="AI12" s="99"/>
    </row>
    <row r="13">
      <c r="A13" s="13" t="s">
        <v>18</v>
      </c>
      <c r="B13" s="17" t="s">
        <v>19</v>
      </c>
      <c r="C13" s="8">
        <v>0.23680555555555555</v>
      </c>
      <c r="D13" s="8">
        <v>0.25277777777777777</v>
      </c>
      <c r="E13" s="8">
        <v>0.26944444444444443</v>
      </c>
      <c r="F13" s="8">
        <v>0.28541666666666665</v>
      </c>
      <c r="G13" s="8">
        <v>0.3020833333333333</v>
      </c>
      <c r="H13" s="8">
        <v>0.31805555555555554</v>
      </c>
      <c r="I13" s="8">
        <v>0.3347222222222222</v>
      </c>
      <c r="J13" s="8">
        <v>0.3506944444444444</v>
      </c>
      <c r="K13" s="8">
        <v>0.36736111111111114</v>
      </c>
      <c r="L13" s="8">
        <v>0.38333333333333336</v>
      </c>
      <c r="M13" s="8">
        <v>0.4166666666666667</v>
      </c>
      <c r="N13" s="8">
        <v>0.4652777777777778</v>
      </c>
      <c r="O13" s="8">
        <v>0.49166666666666664</v>
      </c>
      <c r="P13" s="8">
        <v>0.5138888888888888</v>
      </c>
      <c r="Q13" s="8">
        <v>0.5625</v>
      </c>
      <c r="R13" s="8">
        <v>0.5923611111111111</v>
      </c>
      <c r="S13" s="8">
        <v>0.6111111111111112</v>
      </c>
      <c r="T13" s="8">
        <v>0.6631944444444444</v>
      </c>
      <c r="U13" s="8">
        <v>0.6798611111111111</v>
      </c>
      <c r="V13" s="8">
        <v>0.6958333333333333</v>
      </c>
      <c r="W13" s="8">
        <v>0.7125</v>
      </c>
      <c r="X13" s="8">
        <v>0.7284722222222222</v>
      </c>
      <c r="Y13" s="8">
        <v>0.7451388888888889</v>
      </c>
      <c r="Z13" s="8">
        <v>0.7611111111111111</v>
      </c>
      <c r="AA13" s="8">
        <v>0.7777777777777778</v>
      </c>
      <c r="AB13" s="8">
        <v>0.79375</v>
      </c>
      <c r="AC13" s="8">
        <v>0.8215277777777777</v>
      </c>
      <c r="AD13" s="100"/>
      <c r="AE13" s="100"/>
      <c r="AF13" s="100"/>
      <c r="AG13" s="100"/>
      <c r="AH13" s="100"/>
      <c r="AI13" s="100"/>
    </row>
    <row r="14">
      <c r="A14" s="13" t="s">
        <v>105</v>
      </c>
      <c r="B14" s="1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13" t="s">
        <v>16</v>
      </c>
      <c r="B15" s="17" t="s">
        <v>17</v>
      </c>
      <c r="C15" s="8">
        <v>0.24097222222222223</v>
      </c>
      <c r="D15" s="8">
        <v>0.25763888888888886</v>
      </c>
      <c r="E15" s="8">
        <v>0.27361111111111114</v>
      </c>
      <c r="F15" s="8">
        <v>0.2902777777777778</v>
      </c>
      <c r="G15" s="8">
        <v>0.30625</v>
      </c>
      <c r="H15" s="8">
        <v>0.3229166666666667</v>
      </c>
      <c r="I15" s="8">
        <v>0.3388888888888889</v>
      </c>
      <c r="J15" s="8">
        <v>0.35555555555555557</v>
      </c>
      <c r="K15" s="8">
        <v>0.3715277777777778</v>
      </c>
      <c r="L15" s="8">
        <v>0.38819444444444445</v>
      </c>
      <c r="M15" s="8">
        <v>0.42083333333333334</v>
      </c>
      <c r="N15" s="8">
        <v>0.46944444444444444</v>
      </c>
      <c r="O15" s="8">
        <v>0.4965277777777778</v>
      </c>
      <c r="P15" s="8">
        <v>0.5180555555555556</v>
      </c>
      <c r="Q15" s="8">
        <v>0.5666666666666667</v>
      </c>
      <c r="R15" s="8">
        <v>0.5972222222222222</v>
      </c>
      <c r="S15" s="8">
        <v>0.6152777777777778</v>
      </c>
      <c r="T15" s="8">
        <v>0.6680555555555555</v>
      </c>
      <c r="U15" s="8">
        <v>0.6840277777777778</v>
      </c>
      <c r="V15" s="8">
        <v>0.7006944444444444</v>
      </c>
      <c r="W15" s="8">
        <v>0.7166666666666667</v>
      </c>
      <c r="X15" s="8">
        <v>0.7333333333333333</v>
      </c>
      <c r="Y15" s="8">
        <v>0.7493055555555556</v>
      </c>
      <c r="Z15" s="8">
        <v>0.7659722222222223</v>
      </c>
      <c r="AA15" s="8">
        <v>0.7819444444444444</v>
      </c>
      <c r="AB15" s="8">
        <v>0.7986111111111112</v>
      </c>
      <c r="AC15" s="8">
        <v>0.8263888888888888</v>
      </c>
      <c r="AD15" s="8"/>
      <c r="AE15" s="8"/>
      <c r="AF15" s="8"/>
      <c r="AG15" s="8"/>
      <c r="AI15" s="8"/>
    </row>
    <row r="16">
      <c r="A16" s="13" t="s">
        <v>14</v>
      </c>
      <c r="B16" s="17" t="s">
        <v>15</v>
      </c>
      <c r="C16" s="8">
        <v>0.24444444444444444</v>
      </c>
      <c r="D16" s="8">
        <v>0.2604166666666667</v>
      </c>
      <c r="E16" s="8">
        <v>0.27708333333333335</v>
      </c>
      <c r="F16" s="8">
        <v>0.29305555555555557</v>
      </c>
      <c r="G16" s="8">
        <v>0.30972222222222223</v>
      </c>
      <c r="H16" s="8">
        <v>0.32569444444444445</v>
      </c>
      <c r="I16" s="8">
        <v>0.3423611111111111</v>
      </c>
      <c r="J16" s="8">
        <v>0.35833333333333334</v>
      </c>
      <c r="K16" s="8">
        <v>0.375</v>
      </c>
      <c r="L16" s="8">
        <v>0.3909722222222222</v>
      </c>
      <c r="M16" s="8">
        <v>0.42430555555555555</v>
      </c>
      <c r="N16" s="8">
        <v>0.47291666666666665</v>
      </c>
      <c r="O16" s="8">
        <v>0.49930555555555556</v>
      </c>
      <c r="P16" s="8">
        <v>0.5215277777777778</v>
      </c>
      <c r="Q16" s="8">
        <v>0.5701388888888889</v>
      </c>
      <c r="R16" s="8">
        <v>0.6</v>
      </c>
      <c r="S16" s="8">
        <v>0.61875</v>
      </c>
      <c r="T16" s="8">
        <v>0.6708333333333333</v>
      </c>
      <c r="U16" s="8">
        <v>0.6875</v>
      </c>
      <c r="V16" s="8">
        <v>0.7034722222222223</v>
      </c>
      <c r="W16" s="8">
        <v>0.7201388888888889</v>
      </c>
      <c r="X16" s="8">
        <v>0.7361111111111112</v>
      </c>
      <c r="Y16" s="8">
        <v>0.7527777777777778</v>
      </c>
      <c r="Z16" s="8">
        <v>0.76875</v>
      </c>
      <c r="AA16" s="8">
        <v>0.7854166666666667</v>
      </c>
      <c r="AB16" s="8">
        <v>0.8013888888888889</v>
      </c>
      <c r="AC16" s="8">
        <v>0.8291666666666667</v>
      </c>
      <c r="AD16" s="8"/>
      <c r="AE16" s="8"/>
      <c r="AF16" s="8"/>
      <c r="AG16" s="8"/>
      <c r="AH16" s="8"/>
      <c r="AI16" s="8"/>
    </row>
    <row r="17">
      <c r="A17" s="13" t="s">
        <v>12</v>
      </c>
      <c r="B17" s="17" t="s">
        <v>13</v>
      </c>
      <c r="C17" s="8">
        <v>0.24861111111111112</v>
      </c>
      <c r="D17" s="8">
        <v>0.26458333333333334</v>
      </c>
      <c r="E17" s="8">
        <v>0.28125</v>
      </c>
      <c r="F17" s="8">
        <v>0.2972222222222222</v>
      </c>
      <c r="G17" s="8">
        <v>0.3138888888888889</v>
      </c>
      <c r="H17" s="8">
        <v>0.3298611111111111</v>
      </c>
      <c r="I17" s="8">
        <v>0.34652777777777777</v>
      </c>
      <c r="J17" s="8">
        <v>0.3625</v>
      </c>
      <c r="K17" s="8">
        <v>0.37916666666666665</v>
      </c>
      <c r="L17" s="8">
        <v>0.3951388888888889</v>
      </c>
      <c r="M17" s="8">
        <v>0.4284722222222222</v>
      </c>
      <c r="N17" s="8">
        <v>0.47708333333333336</v>
      </c>
      <c r="O17" s="8">
        <v>0.5034722222222222</v>
      </c>
      <c r="P17" s="8">
        <v>0.5256944444444445</v>
      </c>
      <c r="Q17" s="8">
        <v>0.5743055555555555</v>
      </c>
      <c r="R17" s="8">
        <v>0.6041666666666666</v>
      </c>
      <c r="S17" s="8">
        <v>0.6229166666666667</v>
      </c>
      <c r="T17" s="8">
        <v>0.675</v>
      </c>
      <c r="U17" s="8">
        <v>0.6916666666666667</v>
      </c>
      <c r="V17" s="8">
        <v>0.7076388888888889</v>
      </c>
      <c r="W17" s="8">
        <v>0.7243055555555555</v>
      </c>
      <c r="X17" s="8">
        <v>0.7402777777777778</v>
      </c>
      <c r="Y17" s="8">
        <v>0.7569444444444444</v>
      </c>
      <c r="Z17" s="8">
        <v>0.7729166666666667</v>
      </c>
      <c r="AA17" s="8">
        <v>0.7895833333333333</v>
      </c>
      <c r="AB17" s="8">
        <v>0.8055555555555556</v>
      </c>
      <c r="AC17" s="8">
        <v>0.8333333333333334</v>
      </c>
      <c r="AD17" s="8"/>
      <c r="AE17" s="8"/>
      <c r="AF17" s="8"/>
      <c r="AG17" s="8"/>
      <c r="AH17" s="8"/>
      <c r="AI17" s="8"/>
    </row>
    <row r="18">
      <c r="A18" s="13" t="s">
        <v>10</v>
      </c>
      <c r="B18" s="17" t="s">
        <v>11</v>
      </c>
      <c r="C18" s="8">
        <v>0.2513888888888889</v>
      </c>
      <c r="D18" s="8">
        <v>0.26805555555555555</v>
      </c>
      <c r="E18" s="8">
        <v>0.28402777777777777</v>
      </c>
      <c r="F18" s="8">
        <v>0.30069444444444443</v>
      </c>
      <c r="G18" s="8">
        <v>0.31666666666666665</v>
      </c>
      <c r="H18" s="8">
        <v>0.3333333333333333</v>
      </c>
      <c r="I18" s="8">
        <v>0.34930555555555554</v>
      </c>
      <c r="J18" s="8">
        <v>0.3659722222222222</v>
      </c>
      <c r="K18" s="8">
        <v>0.3819444444444444</v>
      </c>
      <c r="L18" s="8">
        <v>0.39861111111111114</v>
      </c>
      <c r="M18" s="8">
        <v>0.43125</v>
      </c>
      <c r="N18" s="8">
        <v>0.4798611111111111</v>
      </c>
      <c r="O18" s="8">
        <v>0.5069444444444444</v>
      </c>
      <c r="P18" s="8">
        <v>0.5284722222222222</v>
      </c>
      <c r="Q18" s="8">
        <v>0.5770833333333333</v>
      </c>
      <c r="R18" s="8">
        <v>0.6076388888888888</v>
      </c>
      <c r="S18" s="8">
        <v>0.6256944444444444</v>
      </c>
      <c r="T18" s="8">
        <v>0.6784722222222223</v>
      </c>
      <c r="U18" s="8">
        <v>0.6944444444444444</v>
      </c>
      <c r="V18" s="8">
        <v>0.7111111111111111</v>
      </c>
      <c r="W18" s="8">
        <v>0.7270833333333333</v>
      </c>
      <c r="X18" s="8">
        <v>0.74375</v>
      </c>
      <c r="Y18" s="8">
        <v>0.7597222222222222</v>
      </c>
      <c r="Z18" s="8">
        <v>0.7763888888888889</v>
      </c>
      <c r="AA18" s="8">
        <v>0.7923611111111111</v>
      </c>
      <c r="AB18" s="8">
        <v>0.8090277777777778</v>
      </c>
      <c r="AC18" s="8">
        <v>0.8368055555555556</v>
      </c>
      <c r="AD18" s="8"/>
      <c r="AE18" s="8"/>
      <c r="AF18" s="8"/>
      <c r="AG18" s="8"/>
      <c r="AH18" s="8"/>
      <c r="AI18" s="8"/>
    </row>
    <row r="19">
      <c r="A19" s="13" t="s">
        <v>127</v>
      </c>
      <c r="B19" s="17" t="s">
        <v>128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13" t="s">
        <v>129</v>
      </c>
      <c r="B20" s="17" t="s">
        <v>130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13" t="s">
        <v>8</v>
      </c>
      <c r="B21" s="17" t="s">
        <v>9</v>
      </c>
      <c r="C21" s="8">
        <v>0.25972222222222224</v>
      </c>
      <c r="D21" s="8">
        <v>0.27569444444444446</v>
      </c>
      <c r="E21" s="8">
        <v>0.2923611111111111</v>
      </c>
      <c r="F21" s="8">
        <v>0.30833333333333335</v>
      </c>
      <c r="G21" s="8">
        <v>0.325</v>
      </c>
      <c r="H21" s="8">
        <v>0.34097222222222223</v>
      </c>
      <c r="I21" s="8">
        <v>0.3576388888888889</v>
      </c>
      <c r="J21" s="8">
        <v>0.3736111111111111</v>
      </c>
      <c r="K21" s="8">
        <v>0.3902777777777778</v>
      </c>
      <c r="L21" s="8">
        <v>0.40625</v>
      </c>
      <c r="M21" s="8">
        <v>0.4395833333333333</v>
      </c>
      <c r="N21" s="8">
        <v>0.48819444444444443</v>
      </c>
      <c r="O21" s="8">
        <v>0.5145833333333333</v>
      </c>
      <c r="P21" s="8">
        <v>0.5368055555555555</v>
      </c>
      <c r="Q21" s="8">
        <v>0.5854166666666667</v>
      </c>
      <c r="R21" s="8">
        <v>0.6152777777777778</v>
      </c>
      <c r="S21" s="8">
        <v>0.6340277777777777</v>
      </c>
      <c r="T21" s="8">
        <v>0.6861111111111111</v>
      </c>
      <c r="U21" s="8">
        <v>0.7027777777777777</v>
      </c>
      <c r="V21" s="8">
        <v>0.71875</v>
      </c>
      <c r="W21" s="8">
        <v>0.7354166666666667</v>
      </c>
      <c r="X21" s="8">
        <v>0.7513888888888889</v>
      </c>
      <c r="Y21" s="8">
        <v>0.7680555555555556</v>
      </c>
      <c r="Z21" s="8">
        <v>0.7840277777777778</v>
      </c>
      <c r="AA21" s="8">
        <v>0.8006944444444445</v>
      </c>
      <c r="AB21" s="8">
        <v>0.8166666666666667</v>
      </c>
      <c r="AC21" s="8">
        <v>0.8444444444444444</v>
      </c>
      <c r="AD21" s="8"/>
      <c r="AE21" s="8"/>
      <c r="AF21" s="8"/>
      <c r="AG21" s="8"/>
      <c r="AH21" s="8"/>
      <c r="AI21" s="8"/>
    </row>
    <row r="22">
      <c r="A22" s="13" t="s">
        <v>6</v>
      </c>
      <c r="B22" s="17" t="s">
        <v>7</v>
      </c>
      <c r="C22" s="8">
        <v>0.26180555555555557</v>
      </c>
      <c r="D22" s="8">
        <v>0.27847222222222223</v>
      </c>
      <c r="E22" s="8">
        <v>0.29444444444444445</v>
      </c>
      <c r="F22" s="8">
        <v>0.3111111111111111</v>
      </c>
      <c r="G22" s="8">
        <v>0.32708333333333334</v>
      </c>
      <c r="H22" s="8">
        <v>0.34375</v>
      </c>
      <c r="I22" s="8">
        <v>0.3597222222222222</v>
      </c>
      <c r="J22" s="8">
        <v>0.3763888888888889</v>
      </c>
      <c r="K22" s="8">
        <v>0.3923611111111111</v>
      </c>
      <c r="L22" s="8">
        <v>0.40902777777777777</v>
      </c>
      <c r="M22" s="8">
        <v>0.44166666666666665</v>
      </c>
      <c r="N22" s="8">
        <v>0.49027777777777776</v>
      </c>
      <c r="O22" s="8">
        <v>0.5173611111111112</v>
      </c>
      <c r="P22" s="8">
        <v>0.5388888888888889</v>
      </c>
      <c r="Q22" s="8">
        <v>0.5875</v>
      </c>
      <c r="R22" s="8">
        <v>0.6180555555555556</v>
      </c>
      <c r="S22" s="8">
        <v>0.6361111111111111</v>
      </c>
      <c r="T22" s="8">
        <v>0.6888888888888889</v>
      </c>
      <c r="U22" s="8">
        <v>0.7048611111111112</v>
      </c>
      <c r="V22" s="8">
        <v>0.7215277777777778</v>
      </c>
      <c r="W22" s="8">
        <v>0.7375</v>
      </c>
      <c r="X22" s="8">
        <v>0.7541666666666667</v>
      </c>
      <c r="Y22" s="8">
        <v>0.7701388888888889</v>
      </c>
      <c r="Z22" s="8">
        <v>0.7868055555555555</v>
      </c>
      <c r="AA22" s="8">
        <v>0.8027777777777778</v>
      </c>
      <c r="AB22" s="8">
        <v>0.8194444444444444</v>
      </c>
      <c r="AC22" s="8">
        <v>0.8472222222222222</v>
      </c>
      <c r="AD22" s="8"/>
      <c r="AE22" s="8"/>
      <c r="AF22" s="8"/>
      <c r="AG22" s="8"/>
      <c r="AH22" s="8"/>
      <c r="AI22" s="8"/>
    </row>
    <row r="23">
      <c r="A23" s="13" t="s">
        <v>4</v>
      </c>
      <c r="B23" s="17" t="s">
        <v>5</v>
      </c>
      <c r="C23" s="8">
        <v>0.2652777777777778</v>
      </c>
      <c r="D23" s="8">
        <v>0.28194444444444444</v>
      </c>
      <c r="E23" s="8">
        <v>0.29791666666666666</v>
      </c>
      <c r="F23" s="8">
        <v>0.3145833333333333</v>
      </c>
      <c r="G23" s="8">
        <v>0.33055555555555555</v>
      </c>
      <c r="H23" s="8">
        <v>0.3472222222222222</v>
      </c>
      <c r="I23" s="8">
        <v>0.36319444444444443</v>
      </c>
      <c r="J23" s="8">
        <v>0.3798611111111111</v>
      </c>
      <c r="K23" s="8">
        <v>0.3958333333333333</v>
      </c>
      <c r="L23" s="8">
        <v>0.4125</v>
      </c>
      <c r="M23" s="8">
        <v>0.44513888888888886</v>
      </c>
      <c r="N23" s="8">
        <v>0.49375</v>
      </c>
      <c r="O23" s="8">
        <v>0.5208333333333334</v>
      </c>
      <c r="P23" s="8">
        <v>0.5423611111111111</v>
      </c>
      <c r="Q23" s="8">
        <v>0.5909722222222222</v>
      </c>
      <c r="R23" s="8">
        <v>0.6215277777777778</v>
      </c>
      <c r="S23" s="8">
        <v>0.6395833333333333</v>
      </c>
      <c r="T23" s="8">
        <v>0.6923611111111111</v>
      </c>
      <c r="U23" s="8">
        <v>0.7083333333333334</v>
      </c>
      <c r="V23" s="8">
        <v>0.725</v>
      </c>
      <c r="W23" s="8">
        <v>0.7409722222222223</v>
      </c>
      <c r="X23" s="8">
        <v>0.7576388888888889</v>
      </c>
      <c r="Y23" s="8">
        <v>0.7736111111111111</v>
      </c>
      <c r="Z23" s="8">
        <v>0.7902777777777777</v>
      </c>
      <c r="AA23" s="8">
        <v>0.80625</v>
      </c>
      <c r="AB23" s="8">
        <v>0.8229166666666666</v>
      </c>
      <c r="AC23" s="8">
        <v>0.8506944444444444</v>
      </c>
      <c r="AD23" s="8"/>
      <c r="AE23" s="8"/>
      <c r="AF23" s="8"/>
      <c r="AG23" s="8"/>
      <c r="AH23" s="8"/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1"/>
      <c r="B32" s="17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7"/>
      <c r="V32" s="17"/>
      <c r="W32" s="17"/>
      <c r="X32" s="17"/>
      <c r="Y32" s="17"/>
      <c r="Z32" s="17"/>
      <c r="AA32" s="17"/>
      <c r="AB32" s="17"/>
    </row>
    <row r="33">
      <c r="A33" s="11"/>
      <c r="B33" s="17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7"/>
      <c r="V33" s="17"/>
      <c r="W33" s="17"/>
      <c r="X33" s="17"/>
      <c r="Y33" s="17"/>
      <c r="Z33" s="17"/>
      <c r="AA33" s="17"/>
      <c r="AB33" s="17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1"/>
      <c r="B35" s="17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7"/>
      <c r="V35" s="17"/>
      <c r="W35" s="17"/>
      <c r="X35" s="17"/>
      <c r="Y35" s="17"/>
      <c r="Z35" s="17"/>
      <c r="AA35" s="17"/>
      <c r="AB35" s="17"/>
    </row>
    <row r="36">
      <c r="A36" s="11"/>
      <c r="B36" s="17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7"/>
      <c r="V36" s="17"/>
      <c r="W36" s="17"/>
      <c r="X36" s="17"/>
      <c r="Y36" s="17"/>
      <c r="Z36" s="17"/>
      <c r="AA36" s="17"/>
      <c r="AB36" s="17"/>
    </row>
    <row r="37">
      <c r="A37" s="11"/>
      <c r="B37" s="17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7"/>
      <c r="V37" s="17"/>
      <c r="W37" s="17"/>
      <c r="X37" s="17"/>
      <c r="Y37" s="17"/>
      <c r="Z37" s="17"/>
      <c r="AA37" s="17"/>
      <c r="AB37" s="17"/>
    </row>
    <row r="38">
      <c r="A38" s="11"/>
      <c r="B38" s="17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7"/>
      <c r="V38" s="17"/>
      <c r="W38" s="17"/>
      <c r="X38" s="17"/>
      <c r="Y38" s="17"/>
      <c r="Z38" s="17"/>
      <c r="AA38" s="17"/>
      <c r="AB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1"/>
      <c r="B40" s="17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7"/>
      <c r="V40" s="17"/>
      <c r="W40" s="17"/>
      <c r="X40" s="17"/>
      <c r="Y40" s="17"/>
      <c r="Z40" s="17"/>
      <c r="AA40" s="17"/>
      <c r="AB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1"/>
      <c r="B42" s="17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7"/>
      <c r="V42" s="17"/>
      <c r="W42" s="17"/>
      <c r="X42" s="17"/>
      <c r="Y42" s="17"/>
      <c r="Z42" s="17"/>
      <c r="AA42" s="17"/>
      <c r="AB42" s="17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1"/>
      <c r="B47" s="17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7"/>
      <c r="V47" s="17"/>
      <c r="W47" s="17"/>
      <c r="X47" s="17"/>
      <c r="Y47" s="17"/>
      <c r="Z47" s="17"/>
      <c r="AA47" s="17"/>
      <c r="AB47" s="17"/>
    </row>
    <row r="48">
      <c r="A48" s="11"/>
      <c r="B48" s="17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7"/>
      <c r="V48" s="17"/>
      <c r="W48" s="17"/>
      <c r="X48" s="17"/>
      <c r="Y48" s="17"/>
      <c r="Z48" s="17"/>
      <c r="AA48" s="17"/>
      <c r="AB48" s="17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46120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4400.0</v>
      </c>
      <c r="D2" s="97">
        <v>4402.0</v>
      </c>
      <c r="E2" s="97">
        <v>4404.0</v>
      </c>
      <c r="F2" s="97">
        <v>4406.0</v>
      </c>
      <c r="G2" s="97">
        <v>4408.0</v>
      </c>
      <c r="H2" s="97">
        <v>4410.0</v>
      </c>
      <c r="I2" s="97">
        <v>4412.0</v>
      </c>
      <c r="J2" s="97">
        <v>4414.0</v>
      </c>
      <c r="K2" s="97">
        <v>4416.0</v>
      </c>
      <c r="L2" s="97">
        <v>4418.0</v>
      </c>
      <c r="M2" s="97">
        <v>4420.0</v>
      </c>
      <c r="N2" s="97">
        <v>4422.0</v>
      </c>
      <c r="O2" s="97">
        <v>4424.0</v>
      </c>
      <c r="P2" s="97">
        <v>4426.0</v>
      </c>
      <c r="Q2" s="97">
        <v>4436.0</v>
      </c>
      <c r="R2" s="97">
        <v>4428.0</v>
      </c>
      <c r="S2" s="97">
        <v>4430.0</v>
      </c>
      <c r="T2" s="97">
        <v>4438.0</v>
      </c>
      <c r="U2" s="97">
        <v>4432.0</v>
      </c>
      <c r="V2" s="97">
        <v>4434.0</v>
      </c>
      <c r="W2" s="97">
        <v>4440.0</v>
      </c>
      <c r="X2" s="97">
        <v>4450.0</v>
      </c>
      <c r="Y2" s="97">
        <v>4452.0</v>
      </c>
      <c r="Z2" s="97">
        <v>4454.0</v>
      </c>
      <c r="AA2" s="97">
        <v>4456.0</v>
      </c>
      <c r="AB2" s="97">
        <v>4458.0</v>
      </c>
      <c r="AC2" s="97">
        <v>4460.0</v>
      </c>
      <c r="AD2" s="97">
        <v>4462.0</v>
      </c>
      <c r="AE2" s="97"/>
      <c r="AF2" s="97"/>
      <c r="AG2" s="97"/>
      <c r="AH2" s="97"/>
      <c r="AI2" s="3"/>
      <c r="AJ2" s="3"/>
      <c r="AK2" s="3"/>
    </row>
    <row r="3">
      <c r="A3" s="101" t="s">
        <v>4</v>
      </c>
      <c r="B3" s="6" t="s">
        <v>5</v>
      </c>
      <c r="C3" s="6">
        <v>0.1736111111111111</v>
      </c>
      <c r="D3" s="6">
        <v>0.19166666666666668</v>
      </c>
      <c r="E3" s="6">
        <v>0.2076388888888889</v>
      </c>
      <c r="F3" s="6">
        <v>0.22430555555555556</v>
      </c>
      <c r="G3" s="6">
        <v>0.23958333333333334</v>
      </c>
      <c r="H3" s="6">
        <v>0.2569444444444444</v>
      </c>
      <c r="I3" s="6">
        <v>0.27291666666666664</v>
      </c>
      <c r="J3" s="6">
        <v>0.28958333333333336</v>
      </c>
      <c r="K3" s="6">
        <v>0.3055555555555556</v>
      </c>
      <c r="L3" s="6">
        <v>0.32222222222222224</v>
      </c>
      <c r="M3" s="6">
        <v>0.33819444444444446</v>
      </c>
      <c r="N3" s="6">
        <v>0.3548611111111111</v>
      </c>
      <c r="O3" s="6">
        <v>0.37083333333333335</v>
      </c>
      <c r="P3" s="6">
        <v>0.40347222222222223</v>
      </c>
      <c r="Q3" s="6">
        <v>0.4305555555555556</v>
      </c>
      <c r="R3" s="6">
        <v>0.45208333333333334</v>
      </c>
      <c r="S3" s="6">
        <v>0.5006944444444444</v>
      </c>
      <c r="T3" s="6">
        <v>0.5277777777777778</v>
      </c>
      <c r="U3" s="6">
        <v>0.5493055555555556</v>
      </c>
      <c r="V3" s="6">
        <v>0.5979166666666667</v>
      </c>
      <c r="W3" s="6">
        <v>0.6319444444444444</v>
      </c>
      <c r="X3" s="6">
        <v>0.6506944444444445</v>
      </c>
      <c r="Y3" s="6">
        <v>0.6666666666666666</v>
      </c>
      <c r="Z3" s="6">
        <v>0.6833333333333333</v>
      </c>
      <c r="AA3" s="6">
        <v>0.6993055555555555</v>
      </c>
      <c r="AB3" s="6">
        <v>0.7159722222222222</v>
      </c>
      <c r="AC3" s="6">
        <v>0.7319444444444444</v>
      </c>
      <c r="AD3" s="6">
        <v>0.7486111111111111</v>
      </c>
      <c r="AE3" s="6"/>
      <c r="AF3" s="6"/>
      <c r="AG3" s="6"/>
      <c r="AH3" s="6"/>
      <c r="AI3" s="6"/>
      <c r="AJ3" s="6"/>
    </row>
    <row r="4">
      <c r="A4" s="13" t="s">
        <v>6</v>
      </c>
      <c r="B4" s="12" t="s">
        <v>7</v>
      </c>
      <c r="C4" s="8">
        <v>0.17708333333333334</v>
      </c>
      <c r="D4" s="8">
        <v>0.1951388888888889</v>
      </c>
      <c r="E4" s="8">
        <v>0.21180555555555555</v>
      </c>
      <c r="F4" s="8">
        <v>0.22777777777777777</v>
      </c>
      <c r="G4" s="8">
        <v>0.24305555555555555</v>
      </c>
      <c r="H4" s="8">
        <v>0.2604166666666667</v>
      </c>
      <c r="I4" s="8">
        <v>0.27708333333333335</v>
      </c>
      <c r="J4" s="8">
        <v>0.29305555555555557</v>
      </c>
      <c r="K4" s="8">
        <v>0.30972222222222223</v>
      </c>
      <c r="L4" s="8">
        <v>0.32569444444444445</v>
      </c>
      <c r="M4" s="8">
        <v>0.3423611111111111</v>
      </c>
      <c r="N4" s="8">
        <v>0.35833333333333334</v>
      </c>
      <c r="O4" s="8">
        <v>0.375</v>
      </c>
      <c r="P4" s="8">
        <v>0.4076388888888889</v>
      </c>
      <c r="Q4" s="8">
        <v>0.4340277777777778</v>
      </c>
      <c r="R4" s="8">
        <v>0.45625</v>
      </c>
      <c r="S4" s="8">
        <v>0.5048611111111111</v>
      </c>
      <c r="T4" s="8">
        <v>0.53125</v>
      </c>
      <c r="U4" s="8">
        <v>0.5534722222222223</v>
      </c>
      <c r="V4" s="8">
        <v>0.6020833333333333</v>
      </c>
      <c r="W4" s="8">
        <v>0.6354166666666666</v>
      </c>
      <c r="X4" s="8">
        <v>0.6541666666666667</v>
      </c>
      <c r="Y4" s="8">
        <v>0.6708333333333333</v>
      </c>
      <c r="Z4" s="8">
        <v>0.6868055555555556</v>
      </c>
      <c r="AA4" s="8">
        <v>0.7034722222222223</v>
      </c>
      <c r="AB4" s="8">
        <v>0.7194444444444444</v>
      </c>
      <c r="AC4" s="8">
        <v>0.7361111111111112</v>
      </c>
      <c r="AD4" s="8">
        <v>0.7520833333333333</v>
      </c>
      <c r="AE4" s="8"/>
      <c r="AF4" s="8"/>
      <c r="AG4" s="8"/>
      <c r="AH4" s="8"/>
      <c r="AI4" s="8"/>
      <c r="AJ4" s="8"/>
    </row>
    <row r="5">
      <c r="A5" s="13" t="s">
        <v>8</v>
      </c>
      <c r="B5" s="12" t="s">
        <v>9</v>
      </c>
      <c r="C5" s="8">
        <v>0.17916666666666667</v>
      </c>
      <c r="D5" s="8">
        <v>0.19722222222222222</v>
      </c>
      <c r="E5" s="8">
        <v>0.21388888888888888</v>
      </c>
      <c r="F5" s="8">
        <v>0.2298611111111111</v>
      </c>
      <c r="G5" s="8">
        <v>0.24513888888888888</v>
      </c>
      <c r="H5" s="8">
        <v>0.2625</v>
      </c>
      <c r="I5" s="8">
        <v>0.2791666666666667</v>
      </c>
      <c r="J5" s="8">
        <v>0.2951388888888889</v>
      </c>
      <c r="K5" s="8">
        <v>0.31180555555555556</v>
      </c>
      <c r="L5" s="8">
        <v>0.3277777777777778</v>
      </c>
      <c r="M5" s="8">
        <v>0.34444444444444444</v>
      </c>
      <c r="N5" s="8">
        <v>0.36041666666666666</v>
      </c>
      <c r="O5" s="8">
        <v>0.3770833333333333</v>
      </c>
      <c r="P5" s="8">
        <v>0.4097222222222222</v>
      </c>
      <c r="Q5" s="8">
        <v>0.4361111111111111</v>
      </c>
      <c r="R5" s="8">
        <v>0.4583333333333333</v>
      </c>
      <c r="S5" s="8">
        <v>0.5069444444444444</v>
      </c>
      <c r="T5" s="8">
        <v>0.5333333333333333</v>
      </c>
      <c r="U5" s="8">
        <v>0.5555555555555556</v>
      </c>
      <c r="V5" s="8">
        <v>0.6041666666666666</v>
      </c>
      <c r="W5" s="8">
        <v>0.6375</v>
      </c>
      <c r="X5" s="8">
        <v>0.65625</v>
      </c>
      <c r="Y5" s="8">
        <v>0.6729166666666667</v>
      </c>
      <c r="Z5" s="8">
        <v>0.6888888888888889</v>
      </c>
      <c r="AA5" s="8">
        <v>0.7055555555555556</v>
      </c>
      <c r="AB5" s="8">
        <v>0.7215277777777779</v>
      </c>
      <c r="AC5" s="8">
        <v>0.7381944444444445</v>
      </c>
      <c r="AD5" s="8">
        <v>0.7541666666666667</v>
      </c>
      <c r="AE5" s="8"/>
      <c r="AF5" s="8"/>
      <c r="AG5" s="8"/>
      <c r="AH5" s="8"/>
      <c r="AI5" s="8"/>
      <c r="AJ5" s="8"/>
    </row>
    <row r="6">
      <c r="A6" s="13" t="s">
        <v>129</v>
      </c>
      <c r="B6" s="12" t="s">
        <v>130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>
      <c r="A7" s="13" t="s">
        <v>127</v>
      </c>
      <c r="B7" s="12" t="s">
        <v>128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>
      <c r="A8" s="13" t="s">
        <v>10</v>
      </c>
      <c r="B8" s="12" t="s">
        <v>11</v>
      </c>
      <c r="C8" s="8">
        <v>0.1875</v>
      </c>
      <c r="D8" s="8">
        <v>0.20555555555555555</v>
      </c>
      <c r="E8" s="8">
        <v>0.22152777777777777</v>
      </c>
      <c r="F8" s="8">
        <v>0.23819444444444443</v>
      </c>
      <c r="G8" s="8">
        <v>0.2534722222222222</v>
      </c>
      <c r="H8" s="8">
        <v>0.2708333333333333</v>
      </c>
      <c r="I8" s="8">
        <v>0.28680555555555554</v>
      </c>
      <c r="J8" s="8">
        <v>0.3034722222222222</v>
      </c>
      <c r="K8" s="8">
        <v>0.3194444444444444</v>
      </c>
      <c r="L8" s="8">
        <v>0.33611111111111114</v>
      </c>
      <c r="M8" s="8">
        <v>0.35208333333333336</v>
      </c>
      <c r="N8" s="8">
        <v>0.36875</v>
      </c>
      <c r="O8" s="8">
        <v>0.38472222222222224</v>
      </c>
      <c r="P8" s="8">
        <v>0.4173611111111111</v>
      </c>
      <c r="Q8" s="8">
        <v>0.4444444444444444</v>
      </c>
      <c r="R8" s="8">
        <v>0.46597222222222223</v>
      </c>
      <c r="S8" s="8">
        <v>0.5145833333333333</v>
      </c>
      <c r="T8" s="8">
        <v>0.5416666666666666</v>
      </c>
      <c r="U8" s="8">
        <v>0.5631944444444444</v>
      </c>
      <c r="V8" s="8">
        <v>0.6118055555555556</v>
      </c>
      <c r="W8" s="8">
        <v>0.6458333333333334</v>
      </c>
      <c r="X8" s="8">
        <v>0.6645833333333333</v>
      </c>
      <c r="Y8" s="8">
        <v>0.6805555555555556</v>
      </c>
      <c r="Z8" s="8">
        <v>0.6972222222222222</v>
      </c>
      <c r="AA8" s="8">
        <v>0.7131944444444445</v>
      </c>
      <c r="AB8" s="8">
        <v>0.7298611111111112</v>
      </c>
      <c r="AC8" s="8">
        <v>0.7458333333333333</v>
      </c>
      <c r="AD8" s="8">
        <v>0.7625</v>
      </c>
      <c r="AE8" s="8"/>
      <c r="AF8" s="8"/>
      <c r="AG8" s="8"/>
      <c r="AH8" s="8"/>
      <c r="AI8" s="8"/>
      <c r="AJ8" s="8"/>
      <c r="AK8" s="8"/>
    </row>
    <row r="9">
      <c r="A9" s="13" t="s">
        <v>12</v>
      </c>
      <c r="B9" s="12" t="s">
        <v>13</v>
      </c>
      <c r="C9" s="8">
        <v>0.1909722222222222</v>
      </c>
      <c r="D9" s="8">
        <v>0.20902777777777778</v>
      </c>
      <c r="E9" s="8">
        <v>0.22569444444444445</v>
      </c>
      <c r="F9" s="8">
        <v>0.24166666666666667</v>
      </c>
      <c r="G9" s="8">
        <v>0.2569444444444444</v>
      </c>
      <c r="H9" s="8">
        <v>0.2743055555555556</v>
      </c>
      <c r="I9" s="8">
        <v>0.29097222222222224</v>
      </c>
      <c r="J9" s="8">
        <v>0.30694444444444446</v>
      </c>
      <c r="K9" s="8">
        <v>0.3236111111111111</v>
      </c>
      <c r="L9" s="8">
        <v>0.33958333333333335</v>
      </c>
      <c r="M9" s="8">
        <v>0.35625</v>
      </c>
      <c r="N9" s="8">
        <v>0.37222222222222223</v>
      </c>
      <c r="O9" s="8">
        <v>0.3888888888888889</v>
      </c>
      <c r="P9" s="8">
        <v>0.4215277777777778</v>
      </c>
      <c r="Q9" s="8">
        <v>0.4479166666666667</v>
      </c>
      <c r="R9" s="8">
        <v>0.4701388888888889</v>
      </c>
      <c r="S9" s="8">
        <v>0.51875</v>
      </c>
      <c r="T9" s="8">
        <v>0.5451388888888888</v>
      </c>
      <c r="U9" s="8">
        <v>0.5673611111111111</v>
      </c>
      <c r="V9" s="8">
        <v>0.6159722222222223</v>
      </c>
      <c r="W9" s="8">
        <v>0.6493055555555556</v>
      </c>
      <c r="X9" s="8">
        <v>0.6680555555555555</v>
      </c>
      <c r="Y9" s="8">
        <v>0.6847222222222222</v>
      </c>
      <c r="Z9" s="8">
        <v>0.7006944444444444</v>
      </c>
      <c r="AA9" s="8">
        <v>0.7173611111111111</v>
      </c>
      <c r="AB9" s="8">
        <v>0.7333333333333334</v>
      </c>
      <c r="AC9" s="8">
        <v>0.75</v>
      </c>
      <c r="AD9" s="8">
        <v>0.7659722222222222</v>
      </c>
      <c r="AE9" s="8"/>
      <c r="AF9" s="8"/>
      <c r="AG9" s="8"/>
      <c r="AH9" s="8"/>
      <c r="AI9" s="8"/>
      <c r="AJ9" s="8"/>
    </row>
    <row r="10">
      <c r="A10" s="13" t="s">
        <v>14</v>
      </c>
      <c r="B10" s="12" t="s">
        <v>15</v>
      </c>
      <c r="C10" s="8">
        <v>0.1951388888888889</v>
      </c>
      <c r="D10" s="8">
        <v>0.21319444444444444</v>
      </c>
      <c r="E10" s="8">
        <v>0.2298611111111111</v>
      </c>
      <c r="F10" s="8">
        <v>0.24583333333333332</v>
      </c>
      <c r="G10" s="8">
        <v>0.2611111111111111</v>
      </c>
      <c r="H10" s="8">
        <v>0.27847222222222223</v>
      </c>
      <c r="I10" s="8">
        <v>0.2951388888888889</v>
      </c>
      <c r="J10" s="8">
        <v>0.3111111111111111</v>
      </c>
      <c r="K10" s="8">
        <v>0.3277777777777778</v>
      </c>
      <c r="L10" s="8">
        <v>0.34375</v>
      </c>
      <c r="M10" s="8">
        <v>0.36041666666666666</v>
      </c>
      <c r="N10" s="8">
        <v>0.3763888888888889</v>
      </c>
      <c r="O10" s="8">
        <v>0.39305555555555555</v>
      </c>
      <c r="P10" s="8">
        <v>0.42569444444444443</v>
      </c>
      <c r="Q10" s="8">
        <v>0.45208333333333334</v>
      </c>
      <c r="R10" s="8">
        <v>0.47430555555555554</v>
      </c>
      <c r="S10" s="8">
        <v>0.5229166666666667</v>
      </c>
      <c r="T10" s="8">
        <v>0.5493055555555556</v>
      </c>
      <c r="U10" s="8">
        <v>0.5715277777777777</v>
      </c>
      <c r="V10" s="8">
        <v>0.6201388888888889</v>
      </c>
      <c r="W10" s="8">
        <v>0.6534722222222222</v>
      </c>
      <c r="X10" s="8">
        <v>0.6722222222222223</v>
      </c>
      <c r="Y10" s="8">
        <v>0.6888888888888889</v>
      </c>
      <c r="Z10" s="8">
        <v>0.7048611111111112</v>
      </c>
      <c r="AA10" s="8">
        <v>0.7215277777777778</v>
      </c>
      <c r="AB10" s="8">
        <v>0.7375</v>
      </c>
      <c r="AC10" s="8">
        <v>0.7541666666666668</v>
      </c>
      <c r="AD10" s="8">
        <v>0.7701388888888888</v>
      </c>
      <c r="AE10" s="8"/>
      <c r="AF10" s="8"/>
      <c r="AG10" s="8"/>
      <c r="AH10" s="8"/>
      <c r="AI10" s="8"/>
      <c r="AJ10" s="8"/>
    </row>
    <row r="11">
      <c r="A11" s="13" t="s">
        <v>16</v>
      </c>
      <c r="B11" s="12" t="s">
        <v>17</v>
      </c>
      <c r="C11" s="8">
        <v>0.19791666666666666</v>
      </c>
      <c r="D11" s="8">
        <v>0.21597222222222223</v>
      </c>
      <c r="E11" s="8">
        <v>0.2326388888888889</v>
      </c>
      <c r="F11" s="8">
        <v>0.24861111111111112</v>
      </c>
      <c r="G11" s="8">
        <v>0.2638888888888889</v>
      </c>
      <c r="H11" s="8">
        <v>0.28125</v>
      </c>
      <c r="I11" s="8">
        <v>0.29791666666666666</v>
      </c>
      <c r="J11" s="8">
        <v>0.3138888888888889</v>
      </c>
      <c r="K11" s="8">
        <v>0.33055555555555555</v>
      </c>
      <c r="L11" s="8">
        <v>0.34652777777777777</v>
      </c>
      <c r="M11" s="8">
        <v>0.36319444444444443</v>
      </c>
      <c r="N11" s="8">
        <v>0.37916666666666665</v>
      </c>
      <c r="O11" s="8">
        <v>0.3958333333333333</v>
      </c>
      <c r="P11" s="8">
        <v>0.4284722222222222</v>
      </c>
      <c r="Q11" s="8">
        <v>0.4548611111111111</v>
      </c>
      <c r="R11" s="8">
        <v>0.47708333333333336</v>
      </c>
      <c r="S11" s="8">
        <v>0.5256944444444445</v>
      </c>
      <c r="T11" s="8">
        <v>0.5520833333333334</v>
      </c>
      <c r="U11" s="8">
        <v>0.5743055555555555</v>
      </c>
      <c r="V11" s="8">
        <v>0.6229166666666667</v>
      </c>
      <c r="W11" s="8">
        <v>0.65625</v>
      </c>
      <c r="X11" s="8">
        <v>0.675</v>
      </c>
      <c r="Y11" s="8">
        <v>0.6916666666666667</v>
      </c>
      <c r="Z11" s="8">
        <v>0.7076388888888889</v>
      </c>
      <c r="AA11" s="8">
        <v>0.7243055555555555</v>
      </c>
      <c r="AB11" s="8">
        <v>0.7402777777777778</v>
      </c>
      <c r="AC11" s="8">
        <v>0.7569444444444445</v>
      </c>
      <c r="AD11" s="8">
        <v>0.7729166666666666</v>
      </c>
      <c r="AE11" s="8"/>
      <c r="AF11" s="8"/>
      <c r="AG11" s="8"/>
      <c r="AH11" s="8"/>
      <c r="AI11" s="8"/>
      <c r="AJ11" s="8"/>
    </row>
    <row r="12">
      <c r="A12" s="13" t="s">
        <v>105</v>
      </c>
      <c r="B12" s="12" t="s">
        <v>106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>
      <c r="A13" s="13" t="s">
        <v>18</v>
      </c>
      <c r="B13" s="12" t="s">
        <v>19</v>
      </c>
      <c r="C13" s="8">
        <v>0.20277777777777778</v>
      </c>
      <c r="D13" s="8">
        <v>0.22083333333333333</v>
      </c>
      <c r="E13" s="8">
        <v>0.2375</v>
      </c>
      <c r="F13" s="8">
        <v>0.2534722222222222</v>
      </c>
      <c r="G13" s="8">
        <v>0.26875</v>
      </c>
      <c r="H13" s="8">
        <v>0.2861111111111111</v>
      </c>
      <c r="I13" s="8">
        <v>0.30277777777777776</v>
      </c>
      <c r="J13" s="8">
        <v>0.31875</v>
      </c>
      <c r="K13" s="8">
        <v>0.33541666666666664</v>
      </c>
      <c r="L13" s="8">
        <v>0.35138888888888886</v>
      </c>
      <c r="M13" s="8">
        <v>0.3680555555555556</v>
      </c>
      <c r="N13" s="8">
        <v>0.3840277777777778</v>
      </c>
      <c r="O13" s="8">
        <v>0.40069444444444446</v>
      </c>
      <c r="P13" s="8">
        <v>0.43333333333333335</v>
      </c>
      <c r="Q13" s="8">
        <v>0.4597222222222222</v>
      </c>
      <c r="R13" s="8">
        <v>0.48194444444444445</v>
      </c>
      <c r="S13" s="8">
        <v>0.5305555555555556</v>
      </c>
      <c r="T13" s="8">
        <v>0.5569444444444445</v>
      </c>
      <c r="U13" s="8">
        <v>0.5791666666666667</v>
      </c>
      <c r="V13" s="8">
        <v>0.6277777777777778</v>
      </c>
      <c r="W13" s="8">
        <v>0.6611111111111111</v>
      </c>
      <c r="X13" s="8">
        <v>0.6798611111111111</v>
      </c>
      <c r="Y13" s="8">
        <v>0.6965277777777777</v>
      </c>
      <c r="Z13" s="8">
        <v>0.7125</v>
      </c>
      <c r="AA13" s="8">
        <v>0.7291666666666666</v>
      </c>
      <c r="AB13" s="8">
        <v>0.7451388888888889</v>
      </c>
      <c r="AC13" s="8">
        <v>0.7618055555555556</v>
      </c>
      <c r="AD13" s="8">
        <v>0.7777777777777777</v>
      </c>
      <c r="AE13" s="8"/>
      <c r="AF13" s="8"/>
      <c r="AG13" s="8"/>
      <c r="AH13" s="8"/>
      <c r="AI13" s="8"/>
      <c r="AJ13" s="8"/>
    </row>
    <row r="14">
      <c r="A14" s="13" t="s">
        <v>103</v>
      </c>
      <c r="B14" s="12" t="s">
        <v>104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>
      <c r="A15" s="13" t="s">
        <v>20</v>
      </c>
      <c r="B15" s="12" t="s">
        <v>21</v>
      </c>
      <c r="C15" s="8">
        <v>0.20625</v>
      </c>
      <c r="D15" s="8">
        <v>0.22430555555555556</v>
      </c>
      <c r="E15" s="8">
        <v>0.24027777777777778</v>
      </c>
      <c r="F15" s="8">
        <v>0.2569444444444444</v>
      </c>
      <c r="G15" s="8">
        <v>0.2722222222222222</v>
      </c>
      <c r="H15" s="8">
        <v>0.28958333333333336</v>
      </c>
      <c r="I15" s="8">
        <v>0.3055555555555556</v>
      </c>
      <c r="J15" s="8">
        <v>0.32222222222222224</v>
      </c>
      <c r="K15" s="8">
        <v>0.33819444444444446</v>
      </c>
      <c r="L15" s="8">
        <v>0.3548611111111111</v>
      </c>
      <c r="M15" s="8">
        <v>0.37083333333333335</v>
      </c>
      <c r="N15" s="8">
        <v>0.3875</v>
      </c>
      <c r="O15" s="8">
        <v>0.40347222222222223</v>
      </c>
      <c r="P15" s="8">
        <v>0.4361111111111111</v>
      </c>
      <c r="Q15" s="8">
        <v>0.46319444444444446</v>
      </c>
      <c r="R15" s="8">
        <v>0.4847222222222222</v>
      </c>
      <c r="S15" s="8">
        <v>0.5333333333333333</v>
      </c>
      <c r="T15" s="8">
        <v>0.5604166666666667</v>
      </c>
      <c r="U15" s="8">
        <v>0.5819444444444445</v>
      </c>
      <c r="V15" s="8">
        <v>0.6305555555555555</v>
      </c>
      <c r="W15" s="8">
        <v>0.6645833333333333</v>
      </c>
      <c r="X15" s="8">
        <v>0.6833333333333333</v>
      </c>
      <c r="Y15" s="8">
        <v>0.6993055555555555</v>
      </c>
      <c r="Z15" s="8">
        <v>0.7159722222222222</v>
      </c>
      <c r="AA15" s="8">
        <v>0.7319444444444444</v>
      </c>
      <c r="AB15" s="8">
        <v>0.7486111111111111</v>
      </c>
      <c r="AC15" s="8">
        <v>0.7645833333333334</v>
      </c>
      <c r="AD15" s="8">
        <v>0.7812499999999999</v>
      </c>
      <c r="AE15" s="8"/>
      <c r="AF15" s="8"/>
      <c r="AG15" s="8"/>
      <c r="AH15" s="8"/>
      <c r="AI15" s="8"/>
      <c r="AJ15" s="8"/>
    </row>
    <row r="16">
      <c r="A16" s="13" t="s">
        <v>101</v>
      </c>
      <c r="B16" s="12" t="s">
        <v>102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>
      <c r="A17" s="13" t="s">
        <v>99</v>
      </c>
      <c r="B17" s="12" t="s">
        <v>100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>
      <c r="A18" s="13" t="s">
        <v>97</v>
      </c>
      <c r="B18" s="12" t="s">
        <v>98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>
      <c r="A19" s="13" t="s">
        <v>95</v>
      </c>
      <c r="B19" s="12" t="s">
        <v>96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>
      <c r="A20" s="13" t="s">
        <v>22</v>
      </c>
      <c r="B20" s="12" t="s">
        <v>23</v>
      </c>
      <c r="C20" s="8">
        <v>0.2111111111111111</v>
      </c>
      <c r="D20" s="8">
        <v>0.22916666666666666</v>
      </c>
      <c r="E20" s="8">
        <v>0.24583333333333332</v>
      </c>
      <c r="F20" s="8">
        <v>0.26180555555555557</v>
      </c>
      <c r="G20" s="8">
        <v>0.27708333333333335</v>
      </c>
      <c r="H20" s="8">
        <v>0.29444444444444445</v>
      </c>
      <c r="I20" s="8">
        <v>0.3111111111111111</v>
      </c>
      <c r="J20" s="8">
        <v>0.32708333333333334</v>
      </c>
      <c r="K20" s="8">
        <v>0.34375</v>
      </c>
      <c r="L20" s="8">
        <v>0.3597222222222222</v>
      </c>
      <c r="M20" s="8">
        <v>0.3763888888888889</v>
      </c>
      <c r="N20" s="8">
        <v>0.3923611111111111</v>
      </c>
      <c r="O20" s="8">
        <v>0.40902777777777777</v>
      </c>
      <c r="P20" s="8">
        <v>0.44166666666666665</v>
      </c>
      <c r="Q20" s="8">
        <v>0.46805555555555556</v>
      </c>
      <c r="R20" s="8">
        <v>0.49027777777777776</v>
      </c>
      <c r="S20" s="8">
        <v>0.5388888888888889</v>
      </c>
      <c r="T20" s="8">
        <v>0.5652777777777778</v>
      </c>
      <c r="U20" s="8">
        <v>0.5875</v>
      </c>
      <c r="V20" s="8">
        <v>0.6361111111111111</v>
      </c>
      <c r="W20" s="8">
        <v>0.6694444444444444</v>
      </c>
      <c r="X20" s="8">
        <v>0.6881944444444444</v>
      </c>
      <c r="Y20" s="8">
        <v>0.7048611111111112</v>
      </c>
      <c r="Z20" s="8">
        <v>0.7208333333333333</v>
      </c>
      <c r="AA20" s="8">
        <v>0.7375</v>
      </c>
      <c r="AB20" s="8">
        <v>0.7534722222222222</v>
      </c>
      <c r="AC20" s="8">
        <v>0.770138888888889</v>
      </c>
      <c r="AD20" s="8">
        <v>0.786111111111111</v>
      </c>
      <c r="AE20" s="8"/>
      <c r="AF20" s="8"/>
      <c r="AG20" s="8"/>
      <c r="AH20" s="8"/>
      <c r="AI20" s="8"/>
      <c r="AJ20" s="8"/>
    </row>
    <row r="21">
      <c r="A21" s="13" t="s">
        <v>93</v>
      </c>
      <c r="B21" s="12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>
      <c r="A22" s="13" t="s">
        <v>91</v>
      </c>
      <c r="B22" s="12" t="s">
        <v>92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>
      <c r="A23" s="13" t="s">
        <v>24</v>
      </c>
      <c r="B23" s="12" t="s">
        <v>25</v>
      </c>
      <c r="C23" s="8">
        <v>0.2152777777777778</v>
      </c>
      <c r="D23" s="8">
        <v>0.23333333333333334</v>
      </c>
      <c r="E23" s="8">
        <v>0.24930555555555556</v>
      </c>
      <c r="F23" s="8">
        <v>0.2659722222222222</v>
      </c>
      <c r="G23" s="8">
        <v>0.28125</v>
      </c>
      <c r="H23" s="8">
        <v>0.2986111111111111</v>
      </c>
      <c r="I23" s="8">
        <v>0.3145833333333333</v>
      </c>
      <c r="J23" s="8">
        <v>0.33125</v>
      </c>
      <c r="K23" s="8">
        <v>0.3472222222222222</v>
      </c>
      <c r="L23" s="8">
        <v>0.3638888888888889</v>
      </c>
      <c r="M23" s="8">
        <v>0.3798611111111111</v>
      </c>
      <c r="N23" s="8">
        <v>0.39652777777777776</v>
      </c>
      <c r="O23" s="8">
        <v>0.4125</v>
      </c>
      <c r="P23" s="8">
        <v>0.44513888888888886</v>
      </c>
      <c r="Q23" s="8">
        <v>0.4722222222222222</v>
      </c>
      <c r="R23" s="8">
        <v>0.49375</v>
      </c>
      <c r="S23" s="8">
        <v>0.5423611111111111</v>
      </c>
      <c r="T23" s="8">
        <v>0.5694444444444444</v>
      </c>
      <c r="U23" s="8">
        <v>0.5909722222222222</v>
      </c>
      <c r="V23" s="8">
        <v>0.6395833333333333</v>
      </c>
      <c r="W23" s="8">
        <v>0.6736111111111112</v>
      </c>
      <c r="X23" s="8">
        <v>0.6923611111111111</v>
      </c>
      <c r="Y23" s="8">
        <v>0.7083333333333334</v>
      </c>
      <c r="Z23" s="8">
        <v>0.725</v>
      </c>
      <c r="AA23" s="8">
        <v>0.7409722222222223</v>
      </c>
      <c r="AB23" s="8">
        <v>0.7576388888888889</v>
      </c>
      <c r="AC23" s="8">
        <v>0.7736111111111112</v>
      </c>
      <c r="AD23" s="8">
        <v>0.7902777777777776</v>
      </c>
      <c r="AE23" s="8"/>
      <c r="AF23" s="8"/>
      <c r="AG23" s="8"/>
      <c r="AH23" s="8"/>
      <c r="AI23" s="8"/>
      <c r="AJ23" s="8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2"/>
      <c r="T28" s="12"/>
      <c r="U28" s="14"/>
      <c r="V28" s="14"/>
      <c r="W28" s="14"/>
      <c r="X28" s="14"/>
      <c r="Y28" s="14"/>
      <c r="Z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2"/>
      <c r="T29" s="12"/>
      <c r="U29" s="14"/>
      <c r="V29" s="14"/>
      <c r="W29" s="14"/>
      <c r="X29" s="14"/>
      <c r="Y29" s="14"/>
      <c r="Z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2"/>
      <c r="T30" s="12"/>
      <c r="U30" s="14"/>
      <c r="V30" s="14"/>
      <c r="W30" s="14"/>
      <c r="X30" s="14"/>
      <c r="Y30" s="14"/>
      <c r="Z30" s="14"/>
    </row>
    <row r="31">
      <c r="A31" s="11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6"/>
      <c r="T31" s="166"/>
      <c r="U31" s="17"/>
      <c r="V31" s="17"/>
      <c r="W31" s="17"/>
      <c r="X31" s="17"/>
      <c r="Y31" s="17"/>
      <c r="Z31" s="17"/>
    </row>
    <row r="32">
      <c r="A32" s="11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6"/>
      <c r="T32" s="166"/>
      <c r="U32" s="17"/>
      <c r="V32" s="17"/>
      <c r="W32" s="17"/>
      <c r="X32" s="17"/>
      <c r="Y32" s="17"/>
      <c r="Z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2"/>
      <c r="T33" s="12"/>
      <c r="U33" s="14"/>
      <c r="V33" s="14"/>
      <c r="W33" s="14"/>
      <c r="X33" s="14"/>
      <c r="Y33" s="14"/>
      <c r="Z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2"/>
      <c r="T34" s="12"/>
      <c r="U34" s="14"/>
      <c r="V34" s="14"/>
      <c r="W34" s="14"/>
      <c r="X34" s="14"/>
      <c r="Y34" s="14"/>
      <c r="Z34" s="14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2"/>
      <c r="T35" s="12"/>
      <c r="U35" s="14"/>
      <c r="V35" s="14"/>
      <c r="W35" s="14"/>
      <c r="X35" s="14"/>
      <c r="Y35" s="14"/>
      <c r="Z35" s="14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2"/>
      <c r="T36" s="12"/>
      <c r="U36" s="14"/>
      <c r="V36" s="14"/>
      <c r="W36" s="14"/>
      <c r="X36" s="14"/>
      <c r="Y36" s="14"/>
      <c r="Z36" s="14"/>
    </row>
    <row r="37">
      <c r="A37" s="11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6"/>
      <c r="T37" s="166"/>
      <c r="U37" s="17"/>
      <c r="V37" s="17"/>
      <c r="W37" s="17"/>
      <c r="X37" s="17"/>
      <c r="Y37" s="17"/>
      <c r="Z37" s="17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2"/>
      <c r="T38" s="12"/>
      <c r="U38" s="14"/>
      <c r="V38" s="14"/>
      <c r="W38" s="14"/>
      <c r="X38" s="14"/>
      <c r="Y38" s="14"/>
      <c r="Z38" s="14"/>
    </row>
    <row r="39">
      <c r="A39" s="11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6"/>
      <c r="T39" s="166"/>
      <c r="U39" s="17"/>
      <c r="V39" s="17"/>
      <c r="W39" s="17"/>
      <c r="X39" s="17"/>
      <c r="Y39" s="17"/>
      <c r="Z39" s="17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2"/>
      <c r="T40" s="12"/>
      <c r="U40" s="14"/>
      <c r="V40" s="14"/>
      <c r="W40" s="14"/>
      <c r="X40" s="14"/>
      <c r="Y40" s="14"/>
      <c r="Z40" s="14"/>
    </row>
    <row r="41">
      <c r="A41" s="11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6"/>
      <c r="T41" s="166"/>
      <c r="U41" s="17"/>
      <c r="V41" s="17"/>
      <c r="W41" s="17"/>
      <c r="X41" s="17"/>
      <c r="Y41" s="17"/>
      <c r="Z41" s="17"/>
    </row>
    <row r="42">
      <c r="A42" s="11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6"/>
      <c r="T42" s="166"/>
      <c r="U42" s="17"/>
      <c r="V42" s="17"/>
      <c r="W42" s="17"/>
      <c r="X42" s="17"/>
      <c r="Y42" s="17"/>
      <c r="Z42" s="17"/>
    </row>
    <row r="43">
      <c r="A43" s="11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6"/>
      <c r="T43" s="166"/>
      <c r="U43" s="17"/>
      <c r="V43" s="17"/>
      <c r="W43" s="17"/>
      <c r="X43" s="17"/>
      <c r="Y43" s="17"/>
      <c r="Z43" s="17"/>
    </row>
    <row r="44">
      <c r="A44" s="11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6"/>
      <c r="T44" s="166"/>
      <c r="U44" s="17"/>
      <c r="V44" s="17"/>
      <c r="W44" s="17"/>
      <c r="X44" s="17"/>
      <c r="Y44" s="17"/>
      <c r="Z44" s="17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2"/>
      <c r="T45" s="12"/>
      <c r="U45" s="14"/>
      <c r="V45" s="14"/>
      <c r="W45" s="14"/>
      <c r="X45" s="14"/>
      <c r="Y45" s="14"/>
      <c r="Z45" s="14"/>
    </row>
    <row r="46">
      <c r="A46" s="11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6"/>
      <c r="T46" s="166"/>
      <c r="U46" s="17"/>
      <c r="V46" s="17"/>
      <c r="W46" s="17"/>
      <c r="X46" s="17"/>
      <c r="Y46" s="17"/>
      <c r="Z46" s="17"/>
    </row>
    <row r="47">
      <c r="A47" s="11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6"/>
      <c r="T47" s="166"/>
      <c r="U47" s="17"/>
      <c r="V47" s="17"/>
      <c r="W47" s="17"/>
      <c r="X47" s="17"/>
      <c r="Y47" s="17"/>
      <c r="Z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2"/>
      <c r="T48" s="12"/>
      <c r="U48" s="14"/>
      <c r="V48" s="14"/>
      <c r="W48" s="14"/>
      <c r="X48" s="14"/>
      <c r="Y48" s="14"/>
      <c r="Z48" s="14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4401.0</v>
      </c>
      <c r="D2" s="159">
        <v>4403.0</v>
      </c>
      <c r="E2" s="159">
        <v>4419.0</v>
      </c>
      <c r="F2" s="159">
        <v>4421.0</v>
      </c>
      <c r="G2" s="111"/>
      <c r="H2" s="111"/>
      <c r="I2" s="111"/>
      <c r="J2" s="111"/>
      <c r="K2" s="111"/>
      <c r="L2" s="111"/>
      <c r="M2" s="111"/>
      <c r="N2" s="111"/>
      <c r="O2" s="1"/>
      <c r="P2" s="1"/>
      <c r="Q2" s="1"/>
      <c r="R2" s="1"/>
      <c r="S2" s="1"/>
      <c r="T2" s="1"/>
      <c r="U2" s="1"/>
      <c r="V2" s="1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0.2569444444444444</v>
      </c>
      <c r="D3" s="93">
        <v>0.3819444444444444</v>
      </c>
      <c r="E3" s="93">
        <v>0.6284722222222222</v>
      </c>
      <c r="F3" s="93">
        <v>0.7847222222222222</v>
      </c>
      <c r="G3" s="148"/>
      <c r="H3" s="148"/>
      <c r="I3" s="148"/>
      <c r="J3" s="148"/>
      <c r="K3" s="148"/>
      <c r="L3" s="148"/>
      <c r="M3" s="148"/>
      <c r="N3" s="148"/>
      <c r="O3" s="6"/>
      <c r="P3" s="6"/>
      <c r="Q3" s="6"/>
      <c r="R3" s="6"/>
      <c r="S3" s="6"/>
      <c r="T3" s="6"/>
      <c r="U3" s="6"/>
      <c r="V3" s="6"/>
    </row>
    <row r="4">
      <c r="A4" s="1" t="s">
        <v>91</v>
      </c>
      <c r="B4" s="7" t="s">
        <v>92</v>
      </c>
      <c r="C4" s="49"/>
      <c r="D4" s="49"/>
      <c r="E4" s="49"/>
      <c r="F4" s="49"/>
      <c r="G4" s="94"/>
      <c r="H4" s="94"/>
      <c r="I4" s="94"/>
      <c r="J4" s="94"/>
      <c r="K4" s="94"/>
      <c r="L4" s="94"/>
      <c r="M4" s="94"/>
      <c r="N4" s="94"/>
      <c r="O4" s="8"/>
      <c r="P4" s="8"/>
      <c r="Q4" s="8"/>
      <c r="R4" s="8"/>
      <c r="S4" s="8"/>
      <c r="T4" s="8"/>
      <c r="U4" s="8"/>
      <c r="V4" s="8"/>
    </row>
    <row r="5">
      <c r="A5" s="1" t="s">
        <v>93</v>
      </c>
      <c r="B5" s="7" t="s">
        <v>94</v>
      </c>
      <c r="C5" s="49"/>
      <c r="D5" s="49"/>
      <c r="E5" s="49"/>
      <c r="F5" s="49"/>
      <c r="G5" s="94"/>
      <c r="H5" s="94"/>
      <c r="I5" s="94"/>
      <c r="J5" s="94"/>
      <c r="K5" s="94"/>
      <c r="L5" s="94"/>
      <c r="M5" s="94"/>
      <c r="N5" s="94"/>
      <c r="O5" s="8"/>
      <c r="P5" s="8"/>
      <c r="Q5" s="8"/>
      <c r="R5" s="8"/>
      <c r="S5" s="8"/>
      <c r="T5" s="8"/>
      <c r="U5" s="8"/>
      <c r="V5" s="8"/>
    </row>
    <row r="6">
      <c r="A6" s="7" t="s">
        <v>22</v>
      </c>
      <c r="B6" s="9" t="s">
        <v>23</v>
      </c>
      <c r="C6" s="95">
        <v>0.26111111111111107</v>
      </c>
      <c r="D6" s="95">
        <v>0.38611111111111107</v>
      </c>
      <c r="E6" s="95">
        <v>0.6326388888888889</v>
      </c>
      <c r="F6" s="95">
        <v>0.7888888888888889</v>
      </c>
      <c r="G6" s="94"/>
      <c r="H6" s="94"/>
      <c r="I6" s="94"/>
      <c r="J6" s="94"/>
      <c r="K6" s="94"/>
      <c r="L6" s="94"/>
      <c r="M6" s="94"/>
      <c r="N6" s="94"/>
      <c r="O6" s="8"/>
      <c r="P6" s="8"/>
      <c r="Q6" s="8"/>
      <c r="R6" s="8"/>
      <c r="S6" s="8"/>
      <c r="T6" s="8"/>
      <c r="U6" s="8"/>
      <c r="V6" s="8"/>
    </row>
    <row r="7">
      <c r="A7" s="7" t="s">
        <v>95</v>
      </c>
      <c r="B7" s="7" t="s">
        <v>96</v>
      </c>
      <c r="C7" s="49"/>
      <c r="D7" s="49"/>
      <c r="E7" s="49"/>
      <c r="F7" s="49"/>
      <c r="G7" s="94"/>
      <c r="H7" s="94"/>
      <c r="I7" s="94"/>
      <c r="J7" s="94"/>
      <c r="K7" s="94"/>
      <c r="L7" s="94"/>
      <c r="M7" s="94"/>
      <c r="N7" s="94"/>
      <c r="O7" s="8"/>
      <c r="P7" s="8"/>
      <c r="Q7" s="8"/>
      <c r="R7" s="8"/>
      <c r="S7" s="8"/>
      <c r="T7" s="8"/>
      <c r="U7" s="8"/>
      <c r="V7" s="8"/>
    </row>
    <row r="8">
      <c r="A8" s="7" t="s">
        <v>97</v>
      </c>
      <c r="B8" s="7" t="s">
        <v>98</v>
      </c>
      <c r="C8" s="49"/>
      <c r="D8" s="49"/>
      <c r="E8" s="49"/>
      <c r="F8" s="49"/>
      <c r="G8" s="94"/>
      <c r="H8" s="94"/>
      <c r="I8" s="94"/>
      <c r="J8" s="94"/>
      <c r="K8" s="94"/>
      <c r="L8" s="94"/>
      <c r="M8" s="94"/>
      <c r="N8" s="94"/>
      <c r="O8" s="8"/>
      <c r="P8" s="8"/>
      <c r="Q8" s="8"/>
      <c r="R8" s="8"/>
      <c r="S8" s="8"/>
      <c r="T8" s="8"/>
      <c r="U8" s="8"/>
      <c r="V8" s="8"/>
    </row>
    <row r="9">
      <c r="A9" s="1" t="s">
        <v>99</v>
      </c>
      <c r="B9" s="7" t="s">
        <v>100</v>
      </c>
      <c r="C9" s="49"/>
      <c r="D9" s="49"/>
      <c r="E9" s="49"/>
      <c r="F9" s="49"/>
      <c r="G9" s="94"/>
      <c r="H9" s="94"/>
      <c r="I9" s="94"/>
      <c r="J9" s="94"/>
      <c r="K9" s="94"/>
      <c r="L9" s="94"/>
      <c r="M9" s="94"/>
      <c r="N9" s="94"/>
      <c r="O9" s="8"/>
      <c r="P9" s="8"/>
      <c r="Q9" s="8"/>
      <c r="R9" s="8"/>
      <c r="S9" s="8"/>
      <c r="T9" s="8"/>
      <c r="U9" s="8"/>
      <c r="V9" s="8"/>
    </row>
    <row r="10">
      <c r="A10" s="1" t="s">
        <v>101</v>
      </c>
      <c r="B10" s="7" t="s">
        <v>102</v>
      </c>
      <c r="C10" s="49"/>
      <c r="D10" s="49"/>
      <c r="E10" s="49"/>
      <c r="F10" s="49"/>
      <c r="G10" s="94"/>
      <c r="H10" s="94"/>
      <c r="I10" s="94"/>
      <c r="J10" s="94"/>
      <c r="K10" s="94"/>
      <c r="L10" s="94"/>
      <c r="M10" s="94"/>
      <c r="N10" s="94"/>
      <c r="O10" s="8"/>
      <c r="P10" s="8"/>
      <c r="Q10" s="8"/>
      <c r="R10" s="8"/>
      <c r="S10" s="8"/>
      <c r="T10" s="8"/>
      <c r="U10" s="8"/>
      <c r="V10" s="8"/>
    </row>
    <row r="11">
      <c r="A11" s="7" t="s">
        <v>20</v>
      </c>
      <c r="B11" s="9" t="s">
        <v>21</v>
      </c>
      <c r="C11" s="95">
        <v>0.2652777777777778</v>
      </c>
      <c r="D11" s="95">
        <v>0.3902777777777778</v>
      </c>
      <c r="E11" s="95">
        <v>0.6368055555555555</v>
      </c>
      <c r="F11" s="95">
        <v>0.7930555555555555</v>
      </c>
      <c r="G11" s="94"/>
      <c r="H11" s="94"/>
      <c r="I11" s="94"/>
      <c r="J11" s="94"/>
      <c r="K11" s="94"/>
      <c r="L11" s="94"/>
      <c r="M11" s="94"/>
      <c r="N11" s="94"/>
      <c r="O11" s="8"/>
      <c r="P11" s="8"/>
      <c r="Q11" s="8"/>
      <c r="R11" s="8"/>
      <c r="S11" s="8"/>
      <c r="T11" s="8"/>
      <c r="U11" s="8"/>
      <c r="V11" s="8"/>
    </row>
    <row r="12">
      <c r="A12" s="7" t="s">
        <v>103</v>
      </c>
      <c r="B12" s="7" t="s">
        <v>104</v>
      </c>
      <c r="C12" s="49"/>
      <c r="D12" s="49"/>
      <c r="E12" s="49"/>
      <c r="F12" s="49"/>
      <c r="G12" s="94"/>
      <c r="H12" s="94"/>
      <c r="I12" s="94"/>
      <c r="J12" s="94"/>
      <c r="K12" s="94"/>
      <c r="L12" s="94"/>
      <c r="M12" s="94"/>
      <c r="N12" s="94"/>
      <c r="O12" s="8"/>
      <c r="P12" s="8"/>
      <c r="Q12" s="8"/>
      <c r="R12" s="8"/>
      <c r="S12" s="8"/>
      <c r="T12" s="8"/>
      <c r="U12" s="8"/>
      <c r="V12" s="8"/>
    </row>
    <row r="13">
      <c r="A13" s="1" t="s">
        <v>18</v>
      </c>
      <c r="B13" s="9" t="s">
        <v>19</v>
      </c>
      <c r="C13" s="95">
        <v>0.26944444444444443</v>
      </c>
      <c r="D13" s="95">
        <v>0.39444444444444443</v>
      </c>
      <c r="E13" s="95">
        <v>0.6409722222222223</v>
      </c>
      <c r="F13" s="95">
        <v>0.7972222222222223</v>
      </c>
      <c r="G13" s="94"/>
      <c r="H13" s="94"/>
      <c r="I13" s="94"/>
      <c r="J13" s="94"/>
      <c r="K13" s="94"/>
      <c r="L13" s="94"/>
      <c r="M13" s="94"/>
      <c r="N13" s="94"/>
      <c r="O13" s="8"/>
      <c r="P13" s="8"/>
      <c r="Q13" s="8"/>
      <c r="R13" s="8"/>
      <c r="S13" s="8"/>
      <c r="T13" s="8"/>
      <c r="U13" s="8"/>
      <c r="V13" s="8"/>
    </row>
    <row r="14">
      <c r="A14" s="7" t="s">
        <v>105</v>
      </c>
      <c r="B14" s="7" t="s">
        <v>106</v>
      </c>
      <c r="C14" s="49"/>
      <c r="D14" s="49"/>
      <c r="E14" s="49"/>
      <c r="F14" s="49"/>
      <c r="G14" s="94"/>
      <c r="H14" s="94"/>
      <c r="I14" s="94"/>
      <c r="J14" s="94"/>
      <c r="K14" s="94"/>
      <c r="L14" s="94"/>
      <c r="M14" s="49"/>
      <c r="N14" s="49"/>
    </row>
    <row r="15">
      <c r="A15" s="7" t="s">
        <v>16</v>
      </c>
      <c r="B15" s="7" t="s">
        <v>17</v>
      </c>
      <c r="C15" s="95">
        <v>0.27361111111111114</v>
      </c>
      <c r="D15" s="95">
        <v>0.39861111111111114</v>
      </c>
      <c r="E15" s="95">
        <v>0.6451388888888889</v>
      </c>
      <c r="F15" s="95">
        <v>0.8013888888888889</v>
      </c>
      <c r="G15" s="94"/>
      <c r="H15" s="94"/>
      <c r="I15" s="94"/>
      <c r="J15" s="94"/>
      <c r="K15" s="94"/>
      <c r="L15" s="94"/>
      <c r="M15" s="49"/>
      <c r="N15" s="49"/>
    </row>
    <row r="16">
      <c r="A16" s="1" t="s">
        <v>14</v>
      </c>
      <c r="B16" s="9" t="s">
        <v>15</v>
      </c>
      <c r="C16" s="95">
        <v>0.27708333333333335</v>
      </c>
      <c r="D16" s="95">
        <v>0.40208333333333335</v>
      </c>
      <c r="E16" s="95">
        <v>0.6486111111111111</v>
      </c>
      <c r="F16" s="95">
        <v>0.8048611111111111</v>
      </c>
      <c r="G16" s="94"/>
      <c r="H16" s="94"/>
      <c r="I16" s="94"/>
      <c r="J16" s="94"/>
      <c r="K16" s="94"/>
      <c r="L16" s="94"/>
      <c r="M16" s="94"/>
      <c r="N16" s="94"/>
      <c r="O16" s="8"/>
      <c r="P16" s="8"/>
      <c r="Q16" s="8"/>
      <c r="R16" s="8"/>
      <c r="S16" s="8"/>
      <c r="T16" s="8"/>
      <c r="U16" s="8"/>
    </row>
    <row r="17">
      <c r="A17" s="1" t="s">
        <v>12</v>
      </c>
      <c r="B17" s="9" t="s">
        <v>13</v>
      </c>
      <c r="C17" s="95">
        <v>0.28125</v>
      </c>
      <c r="D17" s="95">
        <v>0.40625</v>
      </c>
      <c r="E17" s="95">
        <v>0.6527777777777778</v>
      </c>
      <c r="F17" s="95">
        <v>0.8090277777777778</v>
      </c>
      <c r="G17" s="94"/>
      <c r="H17" s="94"/>
      <c r="I17" s="94"/>
      <c r="J17" s="94"/>
      <c r="K17" s="94"/>
      <c r="L17" s="94"/>
      <c r="M17" s="94"/>
      <c r="N17" s="94"/>
      <c r="O17" s="8"/>
      <c r="P17" s="8"/>
      <c r="Q17" s="8"/>
      <c r="R17" s="8"/>
      <c r="S17" s="8"/>
      <c r="T17" s="8"/>
      <c r="U17" s="8"/>
    </row>
    <row r="18">
      <c r="A18" s="7" t="s">
        <v>10</v>
      </c>
      <c r="B18" s="9" t="s">
        <v>11</v>
      </c>
      <c r="C18" s="95">
        <v>0.28402777777777777</v>
      </c>
      <c r="D18" s="95">
        <v>0.40902777777777777</v>
      </c>
      <c r="E18" s="95">
        <v>0.6555555555555556</v>
      </c>
      <c r="F18" s="95">
        <v>0.8118055555555556</v>
      </c>
      <c r="G18" s="94"/>
      <c r="H18" s="94"/>
      <c r="I18" s="94"/>
      <c r="J18" s="94"/>
      <c r="K18" s="94"/>
      <c r="L18" s="94"/>
      <c r="M18" s="94"/>
      <c r="N18" s="94"/>
      <c r="O18" s="8"/>
      <c r="P18" s="8"/>
      <c r="Q18" s="8"/>
      <c r="R18" s="8"/>
      <c r="S18" s="8"/>
      <c r="T18" s="8"/>
      <c r="U18" s="8"/>
    </row>
    <row r="19">
      <c r="A19" s="7" t="s">
        <v>127</v>
      </c>
      <c r="B19" s="7" t="s">
        <v>128</v>
      </c>
      <c r="C19" s="49"/>
      <c r="D19" s="49"/>
      <c r="E19" s="49"/>
      <c r="F19" s="49"/>
      <c r="G19" s="94"/>
      <c r="H19" s="94"/>
      <c r="I19" s="94"/>
      <c r="J19" s="94"/>
      <c r="K19" s="94"/>
      <c r="L19" s="94"/>
      <c r="M19" s="94"/>
      <c r="N19" s="94"/>
      <c r="O19" s="8"/>
      <c r="P19" s="8"/>
      <c r="Q19" s="8"/>
      <c r="R19" s="8"/>
      <c r="S19" s="8"/>
      <c r="T19" s="8"/>
      <c r="U19" s="8"/>
    </row>
    <row r="20">
      <c r="A20" s="7" t="s">
        <v>129</v>
      </c>
      <c r="B20" s="7" t="s">
        <v>130</v>
      </c>
      <c r="C20" s="49"/>
      <c r="D20" s="49"/>
      <c r="E20" s="49"/>
      <c r="F20" s="49"/>
      <c r="G20" s="94"/>
      <c r="H20" s="94"/>
      <c r="I20" s="94"/>
      <c r="J20" s="94"/>
      <c r="K20" s="94"/>
      <c r="L20" s="94"/>
      <c r="M20" s="94"/>
      <c r="N20" s="94"/>
      <c r="O20" s="8"/>
      <c r="P20" s="8"/>
      <c r="Q20" s="8"/>
      <c r="R20" s="8"/>
      <c r="S20" s="8"/>
      <c r="T20" s="8"/>
      <c r="U20" s="8"/>
    </row>
    <row r="21">
      <c r="A21" s="1" t="s">
        <v>8</v>
      </c>
      <c r="B21" s="9" t="s">
        <v>9</v>
      </c>
      <c r="C21" s="95">
        <v>0.2923611111111111</v>
      </c>
      <c r="D21" s="95">
        <v>0.4173611111111111</v>
      </c>
      <c r="E21" s="95">
        <v>0.6638888888888889</v>
      </c>
      <c r="F21" s="95">
        <v>0.8201388888888889</v>
      </c>
      <c r="G21" s="94"/>
      <c r="H21" s="94"/>
      <c r="I21" s="94"/>
      <c r="J21" s="94"/>
      <c r="K21" s="94"/>
      <c r="L21" s="94"/>
      <c r="M21" s="94"/>
      <c r="N21" s="94"/>
      <c r="O21" s="8"/>
      <c r="P21" s="8"/>
      <c r="Q21" s="8"/>
      <c r="R21" s="8"/>
      <c r="S21" s="8"/>
      <c r="T21" s="8"/>
      <c r="U21" s="8"/>
    </row>
    <row r="22">
      <c r="A22" s="1" t="s">
        <v>6</v>
      </c>
      <c r="B22" s="9" t="s">
        <v>7</v>
      </c>
      <c r="C22" s="95">
        <v>0.2951388888888889</v>
      </c>
      <c r="D22" s="95">
        <v>0.4201388888888889</v>
      </c>
      <c r="E22" s="95">
        <v>0.6666666666666666</v>
      </c>
      <c r="F22" s="95">
        <v>0.8229166666666666</v>
      </c>
      <c r="G22" s="94"/>
      <c r="H22" s="94"/>
      <c r="I22" s="94"/>
      <c r="J22" s="94"/>
      <c r="K22" s="94"/>
      <c r="L22" s="94"/>
      <c r="M22" s="94"/>
      <c r="N22" s="94"/>
      <c r="O22" s="8"/>
      <c r="P22" s="8"/>
      <c r="Q22" s="8"/>
      <c r="R22" s="8"/>
      <c r="S22" s="8"/>
      <c r="T22" s="8"/>
      <c r="U22" s="8"/>
    </row>
    <row r="23">
      <c r="A23" s="7" t="s">
        <v>4</v>
      </c>
      <c r="B23" s="9" t="s">
        <v>5</v>
      </c>
      <c r="C23" s="95">
        <v>0.2986111111111111</v>
      </c>
      <c r="D23" s="95">
        <v>0.4236111111111111</v>
      </c>
      <c r="E23" s="95">
        <v>0.6701388888888888</v>
      </c>
      <c r="F23" s="95">
        <v>0.8263888888888888</v>
      </c>
      <c r="G23" s="94"/>
      <c r="H23" s="94"/>
      <c r="I23" s="94"/>
      <c r="J23" s="49"/>
      <c r="K23" s="49"/>
      <c r="L23" s="49"/>
      <c r="M23" s="49"/>
      <c r="N23" s="49"/>
    </row>
    <row r="24">
      <c r="C24" s="99"/>
      <c r="H24" s="8"/>
    </row>
    <row r="25">
      <c r="A25" s="1"/>
      <c r="C25" s="100"/>
      <c r="D25" s="8"/>
      <c r="E25" s="8"/>
      <c r="F25" s="8"/>
      <c r="G25" s="8"/>
      <c r="H25" s="8"/>
    </row>
    <row r="26">
      <c r="H26" s="8"/>
    </row>
    <row r="27">
      <c r="A27" s="11"/>
      <c r="C27" s="8"/>
      <c r="D27" s="8"/>
      <c r="E27" s="8"/>
      <c r="F27" s="8"/>
      <c r="G27" s="8"/>
      <c r="H27" s="8"/>
    </row>
    <row r="28">
      <c r="A28" s="13"/>
      <c r="C28" s="8"/>
      <c r="D28" s="8"/>
      <c r="E28" s="8"/>
      <c r="F28" s="8"/>
      <c r="G28" s="8"/>
      <c r="H28" s="8"/>
    </row>
    <row r="29">
      <c r="A29" s="13"/>
      <c r="C29" s="8"/>
      <c r="D29" s="8"/>
      <c r="E29" s="8"/>
      <c r="F29" s="8"/>
      <c r="G29" s="8"/>
      <c r="H29" s="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11"/>
      <c r="B30" s="17"/>
      <c r="C30" s="12"/>
      <c r="D30" s="8"/>
      <c r="E30" s="8"/>
      <c r="F30" s="8"/>
      <c r="G30" s="8"/>
      <c r="H30" s="8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13"/>
      <c r="B31" s="11"/>
      <c r="C31" s="17"/>
      <c r="H31" s="8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13"/>
      <c r="B32" s="11"/>
      <c r="C32" s="17"/>
      <c r="H32" s="8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>
      <c r="A33" s="13"/>
      <c r="B33" s="17"/>
      <c r="C33" s="12"/>
      <c r="D33" s="8"/>
      <c r="E33" s="8"/>
      <c r="F33" s="8"/>
      <c r="G33" s="8"/>
      <c r="H33" s="8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>
      <c r="A34" s="13"/>
      <c r="B34" s="17"/>
      <c r="C34" s="12"/>
      <c r="D34" s="8"/>
      <c r="E34" s="8"/>
      <c r="F34" s="8"/>
      <c r="G34" s="8"/>
      <c r="H34" s="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>
      <c r="A35" s="13"/>
      <c r="B35" s="17"/>
      <c r="C35" s="12"/>
      <c r="D35" s="8"/>
      <c r="E35" s="8"/>
      <c r="F35" s="8"/>
      <c r="G35" s="8"/>
      <c r="H35" s="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>
      <c r="B36" s="14"/>
      <c r="C36" s="14"/>
      <c r="D36" s="14"/>
      <c r="E36" s="14"/>
      <c r="F36" s="14"/>
      <c r="G36" s="14"/>
      <c r="H36" s="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4400.0</v>
      </c>
      <c r="D2" s="159">
        <v>4402.0</v>
      </c>
      <c r="E2" s="159">
        <v>4420.0</v>
      </c>
      <c r="F2" s="111"/>
      <c r="G2" s="111"/>
      <c r="H2" s="111"/>
      <c r="I2" s="111"/>
      <c r="J2" s="111"/>
      <c r="K2" s="111"/>
      <c r="L2" s="111"/>
      <c r="M2" s="11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101" t="s">
        <v>4</v>
      </c>
      <c r="B3" s="6" t="s">
        <v>5</v>
      </c>
      <c r="C3" s="93">
        <v>0.19444444444444445</v>
      </c>
      <c r="D3" s="93">
        <v>0.3125</v>
      </c>
      <c r="E3" s="93">
        <v>0.6840277777777778</v>
      </c>
      <c r="F3" s="148"/>
      <c r="G3" s="148"/>
      <c r="H3" s="148"/>
      <c r="I3" s="148"/>
      <c r="J3" s="148"/>
      <c r="K3" s="148"/>
      <c r="L3" s="148"/>
      <c r="M3" s="148"/>
      <c r="N3" s="6"/>
      <c r="O3" s="6"/>
      <c r="P3" s="6"/>
      <c r="Q3" s="6"/>
      <c r="R3" s="6"/>
      <c r="S3" s="6"/>
      <c r="T3" s="6"/>
      <c r="U3" s="6"/>
    </row>
    <row r="4">
      <c r="A4" s="102" t="s">
        <v>6</v>
      </c>
      <c r="B4" s="8" t="s">
        <v>7</v>
      </c>
      <c r="C4" s="95">
        <v>0.19791666666666666</v>
      </c>
      <c r="D4" s="95">
        <v>0.3159722222222222</v>
      </c>
      <c r="E4" s="95">
        <v>0.6875</v>
      </c>
      <c r="F4" s="94"/>
      <c r="G4" s="94"/>
      <c r="H4" s="94"/>
      <c r="I4" s="94"/>
      <c r="J4" s="94"/>
      <c r="K4" s="94"/>
      <c r="L4" s="94"/>
      <c r="M4" s="94"/>
      <c r="N4" s="8"/>
      <c r="O4" s="8"/>
      <c r="P4" s="8"/>
      <c r="Q4" s="8"/>
      <c r="R4" s="8"/>
      <c r="S4" s="8"/>
      <c r="T4" s="8"/>
      <c r="U4" s="8"/>
    </row>
    <row r="5">
      <c r="A5" s="102" t="s">
        <v>8</v>
      </c>
      <c r="B5" s="8" t="s">
        <v>9</v>
      </c>
      <c r="C5" s="95">
        <v>0.2</v>
      </c>
      <c r="D5" s="95">
        <v>0.31805555555555554</v>
      </c>
      <c r="E5" s="95">
        <v>0.6895833333333333</v>
      </c>
      <c r="F5" s="94"/>
      <c r="G5" s="94"/>
      <c r="H5" s="94"/>
      <c r="I5" s="94"/>
      <c r="J5" s="94"/>
      <c r="K5" s="94"/>
      <c r="L5" s="94"/>
      <c r="M5" s="94"/>
      <c r="N5" s="8"/>
      <c r="O5" s="8"/>
      <c r="P5" s="8"/>
      <c r="Q5" s="8"/>
      <c r="R5" s="8"/>
      <c r="S5" s="8"/>
      <c r="T5" s="8"/>
      <c r="U5" s="8"/>
    </row>
    <row r="6">
      <c r="A6" s="8" t="s">
        <v>129</v>
      </c>
      <c r="B6" s="8" t="s">
        <v>130</v>
      </c>
      <c r="C6" s="49"/>
      <c r="D6" s="49"/>
      <c r="E6" s="94"/>
      <c r="F6" s="94"/>
      <c r="G6" s="94"/>
      <c r="H6" s="94"/>
      <c r="I6" s="94"/>
      <c r="J6" s="94"/>
      <c r="K6" s="94"/>
      <c r="L6" s="94"/>
      <c r="M6" s="94"/>
      <c r="N6" s="8"/>
      <c r="O6" s="8"/>
      <c r="P6" s="8"/>
      <c r="Q6" s="8"/>
      <c r="R6" s="8"/>
      <c r="S6" s="8"/>
      <c r="T6" s="8"/>
      <c r="U6" s="8"/>
    </row>
    <row r="7">
      <c r="A7" s="8" t="s">
        <v>127</v>
      </c>
      <c r="B7" s="8" t="s">
        <v>128</v>
      </c>
      <c r="C7" s="49"/>
      <c r="D7" s="49"/>
      <c r="E7" s="94"/>
      <c r="F7" s="94"/>
      <c r="G7" s="94"/>
      <c r="H7" s="94"/>
      <c r="I7" s="94"/>
      <c r="J7" s="94"/>
      <c r="K7" s="94"/>
      <c r="L7" s="94"/>
      <c r="M7" s="94"/>
      <c r="N7" s="8"/>
      <c r="O7" s="8"/>
      <c r="P7" s="8"/>
      <c r="Q7" s="8"/>
      <c r="R7" s="8"/>
      <c r="S7" s="8"/>
      <c r="T7" s="8"/>
      <c r="U7" s="8"/>
    </row>
    <row r="8">
      <c r="A8" s="8" t="s">
        <v>10</v>
      </c>
      <c r="B8" s="8" t="s">
        <v>11</v>
      </c>
      <c r="C8" s="95">
        <v>0.20833333333333334</v>
      </c>
      <c r="D8" s="95">
        <v>0.3263888888888889</v>
      </c>
      <c r="E8" s="95">
        <v>0.6979166666666666</v>
      </c>
      <c r="F8" s="94"/>
      <c r="G8" s="94"/>
      <c r="H8" s="94"/>
      <c r="I8" s="94"/>
      <c r="J8" s="94"/>
      <c r="K8" s="94"/>
      <c r="L8" s="94"/>
      <c r="M8" s="94"/>
      <c r="N8" s="8"/>
      <c r="O8" s="8"/>
      <c r="P8" s="8"/>
      <c r="Q8" s="8"/>
      <c r="R8" s="8"/>
      <c r="S8" s="8"/>
      <c r="T8" s="8"/>
      <c r="U8" s="8"/>
    </row>
    <row r="9">
      <c r="A9" s="102" t="s">
        <v>12</v>
      </c>
      <c r="B9" s="8" t="s">
        <v>13</v>
      </c>
      <c r="C9" s="95">
        <v>0.21180555555555555</v>
      </c>
      <c r="D9" s="95">
        <v>0.3298611111111111</v>
      </c>
      <c r="E9" s="95">
        <v>0.7013888888888888</v>
      </c>
      <c r="F9" s="94"/>
      <c r="G9" s="94"/>
      <c r="H9" s="94"/>
      <c r="I9" s="94"/>
      <c r="J9" s="94"/>
      <c r="K9" s="94"/>
      <c r="L9" s="94"/>
      <c r="M9" s="94"/>
      <c r="N9" s="8"/>
      <c r="O9" s="8"/>
      <c r="P9" s="8"/>
      <c r="Q9" s="8"/>
      <c r="R9" s="8"/>
      <c r="S9" s="8"/>
      <c r="T9" s="8"/>
      <c r="U9" s="8"/>
    </row>
    <row r="10">
      <c r="A10" s="102" t="s">
        <v>14</v>
      </c>
      <c r="B10" s="8" t="s">
        <v>15</v>
      </c>
      <c r="C10" s="95">
        <v>0.21597222222222223</v>
      </c>
      <c r="D10" s="95">
        <v>0.33402777777777776</v>
      </c>
      <c r="E10" s="95">
        <v>0.7055555555555556</v>
      </c>
      <c r="F10" s="94"/>
      <c r="G10" s="94"/>
      <c r="H10" s="94"/>
      <c r="I10" s="94"/>
      <c r="J10" s="94"/>
      <c r="K10" s="94"/>
      <c r="L10" s="94"/>
      <c r="M10" s="94"/>
      <c r="N10" s="8"/>
      <c r="O10" s="8"/>
      <c r="P10" s="8"/>
      <c r="Q10" s="8"/>
      <c r="R10" s="8"/>
      <c r="S10" s="8"/>
      <c r="T10" s="8"/>
      <c r="U10" s="8"/>
    </row>
    <row r="11">
      <c r="A11" s="7" t="s">
        <v>16</v>
      </c>
      <c r="B11" s="7" t="s">
        <v>17</v>
      </c>
      <c r="C11" s="95">
        <v>0.21875</v>
      </c>
      <c r="D11" s="95">
        <v>0.3368055555555556</v>
      </c>
      <c r="E11" s="95">
        <v>0.7083333333333334</v>
      </c>
      <c r="F11" s="94"/>
      <c r="G11" s="94"/>
      <c r="H11" s="94"/>
      <c r="I11" s="94"/>
      <c r="J11" s="94"/>
      <c r="K11" s="94"/>
      <c r="L11" s="94"/>
      <c r="M11" s="94"/>
      <c r="N11" s="8"/>
      <c r="O11" s="8"/>
      <c r="P11" s="8"/>
      <c r="Q11" s="8"/>
      <c r="R11" s="8"/>
      <c r="S11" s="8"/>
      <c r="T11" s="8"/>
      <c r="U11" s="8"/>
    </row>
    <row r="12">
      <c r="A12" s="83" t="s">
        <v>105</v>
      </c>
      <c r="B12" s="83" t="s">
        <v>106</v>
      </c>
      <c r="C12" s="49"/>
      <c r="D12" s="49"/>
      <c r="E12" s="94"/>
      <c r="F12" s="94"/>
      <c r="G12" s="94"/>
      <c r="H12" s="94"/>
      <c r="I12" s="94"/>
      <c r="J12" s="94"/>
      <c r="K12" s="94"/>
      <c r="L12" s="94"/>
      <c r="M12" s="94"/>
      <c r="N12" s="8"/>
      <c r="O12" s="8"/>
      <c r="P12" s="8"/>
      <c r="Q12" s="8"/>
      <c r="R12" s="8"/>
      <c r="S12" s="8"/>
      <c r="T12" s="8"/>
      <c r="U12" s="8"/>
    </row>
    <row r="13">
      <c r="A13" s="103" t="s">
        <v>18</v>
      </c>
      <c r="B13" s="83" t="s">
        <v>19</v>
      </c>
      <c r="C13" s="95">
        <v>0.22361111111111112</v>
      </c>
      <c r="D13" s="95">
        <v>0.3416666666666667</v>
      </c>
      <c r="E13" s="95">
        <v>0.7131944444444445</v>
      </c>
      <c r="F13" s="94"/>
      <c r="G13" s="94"/>
      <c r="H13" s="94"/>
      <c r="I13" s="94"/>
      <c r="J13" s="94"/>
      <c r="K13" s="94"/>
      <c r="L13" s="94"/>
      <c r="M13" s="94"/>
      <c r="N13" s="8"/>
      <c r="O13" s="8"/>
      <c r="P13" s="8"/>
      <c r="Q13" s="8"/>
      <c r="R13" s="8"/>
      <c r="S13" s="8"/>
      <c r="T13" s="8"/>
      <c r="U13" s="8"/>
    </row>
    <row r="14">
      <c r="A14" s="83" t="s">
        <v>103</v>
      </c>
      <c r="B14" s="83" t="s">
        <v>104</v>
      </c>
      <c r="C14" s="49"/>
      <c r="D14" s="49"/>
      <c r="E14" s="94"/>
      <c r="F14" s="94"/>
      <c r="G14" s="94"/>
      <c r="H14" s="94"/>
      <c r="I14" s="94"/>
      <c r="J14" s="94"/>
      <c r="K14" s="94"/>
      <c r="L14" s="94"/>
      <c r="M14" s="49"/>
    </row>
    <row r="15">
      <c r="A15" s="1" t="s">
        <v>20</v>
      </c>
      <c r="B15" s="7" t="s">
        <v>21</v>
      </c>
      <c r="C15" s="95">
        <v>0.22708333333333333</v>
      </c>
      <c r="D15" s="95">
        <v>0.3451388888888889</v>
      </c>
      <c r="E15" s="95">
        <v>0.7166666666666667</v>
      </c>
      <c r="F15" s="94"/>
      <c r="G15" s="94"/>
      <c r="H15" s="94"/>
      <c r="I15" s="94"/>
      <c r="J15" s="94"/>
      <c r="K15" s="94"/>
      <c r="L15" s="94"/>
      <c r="M15" s="49"/>
    </row>
    <row r="16">
      <c r="A16" s="1" t="s">
        <v>101</v>
      </c>
      <c r="B16" s="7" t="s">
        <v>102</v>
      </c>
      <c r="C16" s="49"/>
      <c r="D16" s="49"/>
      <c r="E16" s="94"/>
      <c r="F16" s="94"/>
      <c r="G16" s="94"/>
      <c r="H16" s="94"/>
      <c r="I16" s="94"/>
      <c r="J16" s="94"/>
      <c r="K16" s="94"/>
      <c r="L16" s="94"/>
      <c r="M16" s="94"/>
      <c r="N16" s="8"/>
      <c r="O16" s="8"/>
      <c r="P16" s="8"/>
      <c r="Q16" s="8"/>
      <c r="R16" s="8"/>
      <c r="S16" s="8"/>
      <c r="T16" s="8"/>
      <c r="U16" s="8"/>
    </row>
    <row r="17">
      <c r="A17" s="1" t="s">
        <v>99</v>
      </c>
      <c r="B17" s="7" t="s">
        <v>100</v>
      </c>
      <c r="C17" s="49"/>
      <c r="D17" s="49"/>
      <c r="E17" s="94"/>
      <c r="F17" s="94"/>
      <c r="G17" s="94"/>
      <c r="H17" s="94"/>
      <c r="I17" s="94"/>
      <c r="J17" s="94"/>
      <c r="K17" s="94"/>
      <c r="L17" s="94"/>
      <c r="M17" s="94"/>
      <c r="N17" s="8"/>
      <c r="O17" s="8"/>
      <c r="P17" s="8"/>
      <c r="Q17" s="8"/>
      <c r="R17" s="8"/>
      <c r="S17" s="8"/>
      <c r="T17" s="8"/>
      <c r="U17" s="8"/>
    </row>
    <row r="18">
      <c r="A18" s="103" t="s">
        <v>97</v>
      </c>
      <c r="B18" s="83" t="s">
        <v>98</v>
      </c>
      <c r="C18" s="111"/>
      <c r="D18" s="111"/>
      <c r="E18" s="94"/>
      <c r="F18" s="94"/>
      <c r="G18" s="94"/>
      <c r="H18" s="94"/>
      <c r="I18" s="94"/>
      <c r="J18" s="94"/>
      <c r="K18" s="94"/>
      <c r="L18" s="94"/>
      <c r="M18" s="94"/>
      <c r="N18" s="8"/>
      <c r="O18" s="8"/>
      <c r="P18" s="8"/>
      <c r="Q18" s="8"/>
      <c r="R18" s="8"/>
      <c r="S18" s="8"/>
      <c r="T18" s="8"/>
      <c r="U18" s="8"/>
    </row>
    <row r="19">
      <c r="A19" s="83" t="s">
        <v>95</v>
      </c>
      <c r="B19" s="83" t="s">
        <v>96</v>
      </c>
      <c r="C19" s="111"/>
      <c r="D19" s="111"/>
      <c r="E19" s="94"/>
      <c r="F19" s="94"/>
      <c r="G19" s="94"/>
      <c r="H19" s="94"/>
      <c r="I19" s="94"/>
      <c r="J19" s="94"/>
      <c r="K19" s="94"/>
      <c r="L19" s="94"/>
      <c r="M19" s="94"/>
      <c r="N19" s="8"/>
      <c r="O19" s="8"/>
      <c r="P19" s="8"/>
      <c r="Q19" s="8"/>
      <c r="R19" s="8"/>
      <c r="S19" s="8"/>
      <c r="T19" s="8"/>
      <c r="U19" s="8"/>
    </row>
    <row r="20">
      <c r="A20" s="7" t="s">
        <v>22</v>
      </c>
      <c r="B20" s="11" t="s">
        <v>23</v>
      </c>
      <c r="C20" s="167">
        <v>0.23194444444444445</v>
      </c>
      <c r="D20" s="167">
        <v>0.35</v>
      </c>
      <c r="E20" s="167">
        <v>0.7215277777777778</v>
      </c>
      <c r="F20" s="94"/>
      <c r="G20" s="111"/>
      <c r="H20" s="94"/>
      <c r="I20" s="111"/>
      <c r="J20" s="111"/>
      <c r="K20" s="111"/>
      <c r="L20" s="111"/>
      <c r="M20" s="111"/>
      <c r="N20" s="11"/>
      <c r="O20" s="11"/>
      <c r="P20" s="11"/>
      <c r="Q20" s="11"/>
      <c r="R20" s="11"/>
      <c r="S20" s="11"/>
      <c r="T20" s="11"/>
      <c r="U20" s="11"/>
    </row>
    <row r="21">
      <c r="A21" s="11" t="s">
        <v>93</v>
      </c>
      <c r="B21" s="11" t="s">
        <v>94</v>
      </c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12"/>
      <c r="O21" s="12"/>
      <c r="P21" s="12"/>
      <c r="Q21" s="12"/>
      <c r="R21" s="12"/>
      <c r="S21" s="12"/>
      <c r="T21" s="12"/>
      <c r="U21" s="12"/>
    </row>
    <row r="22">
      <c r="A22" s="18" t="s">
        <v>91</v>
      </c>
      <c r="B22" s="14" t="s">
        <v>92</v>
      </c>
      <c r="C22" s="168"/>
      <c r="D22" s="168"/>
      <c r="E22" s="168"/>
      <c r="F22" s="94"/>
      <c r="G22" s="94"/>
      <c r="H22" s="94"/>
      <c r="I22" s="94"/>
      <c r="J22" s="94"/>
      <c r="K22" s="94"/>
      <c r="L22" s="94"/>
      <c r="M22" s="94"/>
      <c r="N22" s="12"/>
      <c r="O22" s="12"/>
      <c r="P22" s="12"/>
      <c r="Q22" s="12"/>
      <c r="R22" s="12"/>
      <c r="S22" s="12"/>
      <c r="T22" s="12"/>
      <c r="U22" s="12"/>
    </row>
    <row r="23">
      <c r="A23" s="13" t="s">
        <v>24</v>
      </c>
      <c r="B23" s="12" t="s">
        <v>25</v>
      </c>
      <c r="C23" s="167">
        <v>0.2361111111111111</v>
      </c>
      <c r="D23" s="167">
        <v>0.3541666666666667</v>
      </c>
      <c r="E23" s="167">
        <v>0.7256944444444444</v>
      </c>
      <c r="F23" s="94"/>
      <c r="G23" s="94"/>
      <c r="H23" s="94"/>
      <c r="I23" s="94"/>
      <c r="J23" s="94"/>
      <c r="K23" s="94"/>
      <c r="L23" s="94"/>
      <c r="M23" s="94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B25" s="1"/>
      <c r="C25" s="1"/>
      <c r="D25" s="1"/>
      <c r="E25" s="1"/>
      <c r="F25" s="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02"/>
      <c r="B27" s="8"/>
      <c r="C27" s="8"/>
      <c r="D27" s="8"/>
      <c r="E27" s="8"/>
      <c r="F27" s="8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02"/>
      <c r="B28" s="8"/>
      <c r="C28" s="8"/>
      <c r="D28" s="8"/>
      <c r="E28" s="8"/>
      <c r="F28" s="8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8"/>
      <c r="B29" s="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8"/>
      <c r="B30" s="8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8"/>
      <c r="B31" s="8"/>
      <c r="C31" s="8"/>
      <c r="D31" s="8"/>
      <c r="E31" s="8"/>
      <c r="F31" s="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02"/>
      <c r="B32" s="8"/>
      <c r="C32" s="8"/>
      <c r="D32" s="8"/>
      <c r="E32" s="8"/>
      <c r="F32" s="8"/>
      <c r="H32" s="11"/>
      <c r="I32" s="11"/>
      <c r="J32" s="11"/>
      <c r="K32" s="11"/>
    </row>
    <row r="33">
      <c r="A33" s="102"/>
      <c r="B33" s="8"/>
      <c r="C33" s="8"/>
      <c r="D33" s="8"/>
      <c r="E33" s="8"/>
      <c r="F33" s="8"/>
      <c r="H33" s="14"/>
      <c r="I33" s="14"/>
      <c r="J33" s="14"/>
      <c r="K33" s="14"/>
    </row>
    <row r="34">
      <c r="C34" s="8"/>
      <c r="D34" s="8"/>
      <c r="E34" s="8"/>
      <c r="F34" s="8"/>
      <c r="H34" s="14"/>
      <c r="I34" s="14"/>
      <c r="J34" s="14"/>
      <c r="K34" s="14"/>
    </row>
    <row r="35">
      <c r="A35" s="83"/>
      <c r="B35" s="83"/>
      <c r="H35" s="14"/>
      <c r="I35" s="14"/>
      <c r="J35" s="14"/>
      <c r="K35" s="14"/>
    </row>
    <row r="36">
      <c r="A36" s="103"/>
      <c r="B36" s="83"/>
      <c r="C36" s="8"/>
      <c r="D36" s="8"/>
      <c r="E36" s="8"/>
      <c r="F36" s="8"/>
      <c r="H36" s="11"/>
      <c r="I36" s="11"/>
      <c r="J36" s="11"/>
      <c r="K36" s="11"/>
    </row>
    <row r="37">
      <c r="A37" s="83"/>
      <c r="B37" s="83"/>
      <c r="H37" s="11"/>
      <c r="I37" s="11"/>
      <c r="J37" s="11"/>
      <c r="K37" s="11"/>
    </row>
    <row r="38">
      <c r="A38" s="1"/>
      <c r="C38" s="8"/>
      <c r="D38" s="8"/>
      <c r="E38" s="8"/>
      <c r="F38" s="8"/>
      <c r="H38" s="11"/>
      <c r="I38" s="11"/>
      <c r="J38" s="11"/>
      <c r="K38" s="11"/>
    </row>
    <row r="39">
      <c r="A39" s="1"/>
      <c r="H39" s="14"/>
      <c r="I39" s="14"/>
      <c r="J39" s="14"/>
      <c r="K39" s="14"/>
    </row>
    <row r="40">
      <c r="A40" s="1"/>
      <c r="H40" s="14"/>
      <c r="I40" s="14"/>
      <c r="J40" s="14"/>
      <c r="K40" s="14"/>
    </row>
    <row r="41">
      <c r="A41" s="103"/>
      <c r="B41" s="83"/>
      <c r="C41" s="11"/>
      <c r="D41" s="11"/>
      <c r="E41" s="11"/>
      <c r="F41" s="11"/>
      <c r="H41" s="11"/>
      <c r="I41" s="11"/>
      <c r="J41" s="11"/>
      <c r="K41" s="11"/>
    </row>
    <row r="42">
      <c r="A42" s="14"/>
      <c r="B42" s="14"/>
      <c r="C42" s="11"/>
      <c r="D42" s="11"/>
      <c r="E42" s="11"/>
      <c r="F42" s="11"/>
      <c r="H42" s="11"/>
      <c r="I42" s="11"/>
      <c r="J42" s="11"/>
      <c r="K42" s="11"/>
    </row>
    <row r="43">
      <c r="A43" s="13"/>
      <c r="B43" s="11"/>
      <c r="C43" s="8"/>
      <c r="D43" s="8"/>
      <c r="E43" s="8"/>
      <c r="F43" s="8"/>
      <c r="H43" s="14"/>
      <c r="I43" s="14"/>
      <c r="J43" s="14"/>
      <c r="K43" s="14"/>
    </row>
    <row r="44">
      <c r="A44" s="13"/>
      <c r="B44" s="11"/>
      <c r="H44" s="11"/>
      <c r="I44" s="11"/>
      <c r="J44" s="11"/>
      <c r="K44" s="11"/>
    </row>
    <row r="45">
      <c r="A45" s="18"/>
      <c r="B45" s="14"/>
      <c r="C45" s="14"/>
      <c r="D45" s="14"/>
      <c r="E45" s="14"/>
      <c r="F45" s="14"/>
      <c r="H45" s="14"/>
      <c r="I45" s="14"/>
      <c r="J45" s="14"/>
      <c r="K45" s="14"/>
    </row>
    <row r="46">
      <c r="A46" s="13"/>
      <c r="B46" s="12"/>
      <c r="C46" s="8"/>
      <c r="D46" s="8"/>
      <c r="E46" s="8"/>
      <c r="F46" s="8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46184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279</v>
      </c>
      <c r="D2" s="102" t="s">
        <v>280</v>
      </c>
      <c r="E2" s="102" t="s">
        <v>281</v>
      </c>
      <c r="F2" s="102" t="s">
        <v>282</v>
      </c>
      <c r="G2" s="102" t="s">
        <v>283</v>
      </c>
      <c r="H2" s="102" t="s">
        <v>284</v>
      </c>
      <c r="I2" s="102" t="s">
        <v>285</v>
      </c>
      <c r="J2" s="102" t="s">
        <v>286</v>
      </c>
      <c r="K2" s="102" t="s">
        <v>287</v>
      </c>
      <c r="L2" s="102" t="s">
        <v>288</v>
      </c>
      <c r="M2" s="102" t="s">
        <v>289</v>
      </c>
      <c r="N2" s="102" t="s">
        <v>290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0.2152777777777778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8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0.22361111111111112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0.2263888888888889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0.2326388888888889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46184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3" t="s">
        <v>292</v>
      </c>
      <c r="E2" s="3" t="s">
        <v>293</v>
      </c>
      <c r="F2" s="3" t="s">
        <v>294</v>
      </c>
      <c r="G2" s="3" t="s">
        <v>295</v>
      </c>
      <c r="H2" s="3" t="s">
        <v>296</v>
      </c>
      <c r="I2" s="3" t="s">
        <v>297</v>
      </c>
      <c r="J2" s="3" t="s">
        <v>298</v>
      </c>
      <c r="K2" s="3" t="s">
        <v>299</v>
      </c>
      <c r="L2" s="3" t="s">
        <v>300</v>
      </c>
      <c r="M2" s="3" t="s">
        <v>301</v>
      </c>
      <c r="N2" s="3" t="s">
        <v>302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279</v>
      </c>
      <c r="D2" s="104" t="s">
        <v>280</v>
      </c>
      <c r="E2" s="104" t="s">
        <v>281</v>
      </c>
      <c r="F2" s="104" t="s">
        <v>287</v>
      </c>
      <c r="G2" s="104" t="s">
        <v>288</v>
      </c>
      <c r="H2" s="104" t="s">
        <v>289</v>
      </c>
      <c r="I2" s="104" t="s">
        <v>290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104" t="s">
        <v>292</v>
      </c>
      <c r="E2" s="1" t="s">
        <v>293</v>
      </c>
      <c r="F2" s="104" t="s">
        <v>299</v>
      </c>
      <c r="G2" s="104" t="s">
        <v>300</v>
      </c>
      <c r="H2" s="1" t="s">
        <v>301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305</v>
      </c>
      <c r="B4" s="7" t="s">
        <v>306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311</v>
      </c>
      <c r="B7" s="7" t="s">
        <v>312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323</v>
      </c>
      <c r="B13" s="7" t="s">
        <v>324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B18" s="10"/>
      <c r="C18" s="17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  <c r="U18" s="8"/>
    </row>
    <row r="19">
      <c r="A19" s="13"/>
      <c r="B19" s="11"/>
      <c r="C19" s="17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8"/>
      <c r="U19" s="8"/>
    </row>
    <row r="20">
      <c r="B20" s="10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3"/>
      <c r="B21" s="11"/>
      <c r="C21" s="165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  <c r="U21" s="12"/>
    </row>
    <row r="22">
      <c r="B22" s="10"/>
      <c r="C22" s="165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  <c r="U22" s="12"/>
    </row>
    <row r="23">
      <c r="A23" s="13"/>
      <c r="B23" s="11"/>
      <c r="C23" s="165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  <c r="U23" s="12"/>
    </row>
    <row r="24">
      <c r="B24" s="10"/>
      <c r="C24" s="165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  <c r="U24" s="12"/>
    </row>
    <row r="25">
      <c r="A25" s="13"/>
      <c r="B25" s="11"/>
      <c r="C25" s="165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2"/>
      <c r="U25" s="12"/>
    </row>
    <row r="26">
      <c r="B26" s="10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1"/>
      <c r="C27" s="165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  <c r="U27" s="12"/>
    </row>
    <row r="28">
      <c r="B28" s="10"/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0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B32" s="10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13"/>
      <c r="B33" s="11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321</v>
      </c>
      <c r="B5" s="7" t="s">
        <v>322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319</v>
      </c>
      <c r="B6" s="7" t="s">
        <v>320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</row>
    <row r="7">
      <c r="A7" s="7" t="s">
        <v>317</v>
      </c>
      <c r="B7" s="7" t="s">
        <v>318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315</v>
      </c>
      <c r="B8" s="7" t="s">
        <v>316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313</v>
      </c>
      <c r="B9" s="7" t="s">
        <v>314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311</v>
      </c>
      <c r="B10" s="7" t="s">
        <v>312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309</v>
      </c>
      <c r="B11" s="7" t="s">
        <v>310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307</v>
      </c>
      <c r="B12" s="7" t="s">
        <v>308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305</v>
      </c>
      <c r="B13" s="7" t="s">
        <v>306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303</v>
      </c>
      <c r="B14" s="7" t="s">
        <v>304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65"/>
      <c r="R20" s="165"/>
      <c r="S20" s="165"/>
      <c r="T20" s="11"/>
    </row>
    <row r="21">
      <c r="A21" s="13"/>
      <c r="B21" s="165"/>
      <c r="C21" s="165"/>
      <c r="D21" s="165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</row>
    <row r="22">
      <c r="A22" s="13"/>
      <c r="B22" s="144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3"/>
      <c r="B23" s="144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</row>
    <row r="24">
      <c r="A24" s="13"/>
      <c r="B24" s="144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2"/>
    </row>
    <row r="27">
      <c r="A27" s="13"/>
      <c r="B27" s="144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66"/>
      <c r="D29" s="166"/>
      <c r="E29" s="166"/>
      <c r="F29" s="166"/>
      <c r="G29" s="166"/>
      <c r="H29" s="166"/>
      <c r="I29" s="166"/>
      <c r="J29" s="166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66"/>
      <c r="D30" s="166"/>
      <c r="E30" s="166"/>
      <c r="F30" s="166"/>
      <c r="G30" s="166"/>
      <c r="H30" s="166"/>
      <c r="I30" s="166"/>
      <c r="J30" s="166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305</v>
      </c>
      <c r="B4" s="7" t="s">
        <v>306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169"/>
      <c r="D5" s="169"/>
      <c r="E5" s="169"/>
      <c r="F5" s="169"/>
      <c r="G5" s="169"/>
      <c r="H5" s="169"/>
      <c r="I5" s="169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170">
        <f t="shared" ref="C6:I6" si="1">C3+TIME(0,7,0)</f>
        <v>0.2409722222</v>
      </c>
      <c r="D6" s="170">
        <f t="shared" si="1"/>
        <v>0.2965277778</v>
      </c>
      <c r="E6" s="170">
        <f t="shared" si="1"/>
        <v>0.3520833333</v>
      </c>
      <c r="F6" s="170">
        <f t="shared" si="1"/>
        <v>0.4388888889</v>
      </c>
      <c r="G6" s="170">
        <f t="shared" si="1"/>
        <v>0.6576388889</v>
      </c>
      <c r="H6" s="170">
        <f t="shared" si="1"/>
        <v>0.7131944444</v>
      </c>
      <c r="I6" s="170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311</v>
      </c>
      <c r="B7" s="7" t="s">
        <v>312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323</v>
      </c>
      <c r="B13" s="7" t="s">
        <v>324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6"/>
      <c r="D19" s="166"/>
      <c r="E19" s="166"/>
      <c r="F19" s="166"/>
      <c r="G19" s="166"/>
      <c r="H19" s="16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66"/>
      <c r="G28" s="166"/>
      <c r="H28" s="166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323</v>
      </c>
      <c r="B4" s="7" t="s">
        <v>324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321</v>
      </c>
      <c r="B5" s="7" t="s">
        <v>322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319</v>
      </c>
      <c r="B6" s="7" t="s">
        <v>320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317</v>
      </c>
      <c r="B7" s="7" t="s">
        <v>318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315</v>
      </c>
      <c r="B8" s="7" t="s">
        <v>316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313</v>
      </c>
      <c r="B9" s="7" t="s">
        <v>314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309</v>
      </c>
      <c r="B11" s="7" t="s">
        <v>310</v>
      </c>
      <c r="C11" s="171">
        <f t="shared" ref="C11:I11" si="1">C14-TIME(0,7,0)</f>
        <v>0.2256944444</v>
      </c>
      <c r="D11" s="171">
        <f t="shared" si="1"/>
        <v>0.28125</v>
      </c>
      <c r="E11" s="171">
        <f t="shared" si="1"/>
        <v>0.3368055556</v>
      </c>
      <c r="F11" s="171">
        <f t="shared" si="1"/>
        <v>0.4201388889</v>
      </c>
      <c r="G11" s="171">
        <f t="shared" si="1"/>
        <v>0.6423611111</v>
      </c>
      <c r="H11" s="171">
        <f t="shared" si="1"/>
        <v>0.6979166667</v>
      </c>
      <c r="I11" s="171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307</v>
      </c>
      <c r="B12" s="7" t="s">
        <v>308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305</v>
      </c>
      <c r="B13" s="7" t="s">
        <v>306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303</v>
      </c>
      <c r="B14" s="7" t="s">
        <v>304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6"/>
      <c r="D18" s="166"/>
      <c r="E18" s="166"/>
      <c r="F18" s="166"/>
      <c r="G18" s="166"/>
      <c r="H18" s="16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66"/>
      <c r="D27" s="166"/>
      <c r="E27" s="166"/>
      <c r="F27" s="166"/>
      <c r="G27" s="166"/>
      <c r="H27" s="16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46184.0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4" t="s">
        <v>2</v>
      </c>
      <c r="B2" s="4" t="s">
        <v>3</v>
      </c>
      <c r="C2" s="4">
        <v>624.0</v>
      </c>
      <c r="D2" s="4">
        <v>606.0</v>
      </c>
      <c r="E2" s="4">
        <v>604.0</v>
      </c>
      <c r="F2" s="4">
        <v>626.0</v>
      </c>
      <c r="G2" s="4">
        <v>628.0</v>
      </c>
      <c r="H2" s="4">
        <v>616.0</v>
      </c>
      <c r="I2" s="4">
        <v>630.0</v>
      </c>
      <c r="J2" s="4">
        <v>632.0</v>
      </c>
      <c r="K2" s="4">
        <v>634.0</v>
      </c>
      <c r="L2" s="4">
        <v>618.0</v>
      </c>
      <c r="M2" s="4">
        <v>636.0</v>
      </c>
      <c r="N2" s="4">
        <v>638.0</v>
      </c>
      <c r="O2" s="4">
        <v>640.0</v>
      </c>
      <c r="P2" s="4">
        <v>620.0</v>
      </c>
      <c r="Q2" s="4">
        <v>642.0</v>
      </c>
      <c r="R2" s="4">
        <v>644.0</v>
      </c>
      <c r="S2" s="4">
        <v>622.0</v>
      </c>
      <c r="T2" s="4">
        <v>646.0</v>
      </c>
      <c r="U2" s="4">
        <v>654.0</v>
      </c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172" t="s">
        <v>24</v>
      </c>
      <c r="B3" s="173" t="s">
        <v>25</v>
      </c>
      <c r="C3" s="8">
        <v>0.21875</v>
      </c>
      <c r="D3" s="8">
        <v>0.2361111111111111</v>
      </c>
      <c r="E3" s="8"/>
      <c r="F3" s="8">
        <v>0.2708333333333333</v>
      </c>
      <c r="G3" s="8">
        <v>0.3194444444444444</v>
      </c>
      <c r="H3" s="8"/>
      <c r="I3" s="8">
        <v>0.3715277777777778</v>
      </c>
      <c r="J3" s="8">
        <v>0.4201388888888889</v>
      </c>
      <c r="K3" s="8">
        <v>0.46875</v>
      </c>
      <c r="L3" s="8"/>
      <c r="M3" s="8">
        <v>0.5173611111111112</v>
      </c>
      <c r="N3" s="8">
        <v>0.5659722222222222</v>
      </c>
      <c r="O3" s="8">
        <v>0.6145833333333334</v>
      </c>
      <c r="P3" s="8"/>
      <c r="Q3" s="8">
        <v>0.6631944444444444</v>
      </c>
      <c r="R3" s="8">
        <v>0.7118055555555556</v>
      </c>
      <c r="S3" s="8"/>
      <c r="T3" s="8">
        <v>0.7604166666666666</v>
      </c>
      <c r="U3" s="8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1" t="s">
        <v>31</v>
      </c>
      <c r="B6" s="8" t="s">
        <v>121</v>
      </c>
      <c r="C6" s="8">
        <v>0.2263888888888889</v>
      </c>
      <c r="D6" s="8">
        <v>0.24375</v>
      </c>
      <c r="E6" s="8"/>
      <c r="F6" s="8">
        <v>0.27847222222222223</v>
      </c>
      <c r="G6" s="8">
        <v>0.32708333333333334</v>
      </c>
      <c r="H6" s="8"/>
      <c r="I6" s="8">
        <v>0.37916666666666665</v>
      </c>
      <c r="J6" s="8">
        <v>0.42777777777777776</v>
      </c>
      <c r="K6" s="8">
        <v>0.47638888888888886</v>
      </c>
      <c r="L6" s="8"/>
      <c r="M6" s="8">
        <v>0.525</v>
      </c>
      <c r="N6" s="8">
        <v>0.5736111111111111</v>
      </c>
      <c r="O6" s="8">
        <v>0.6222222222222222</v>
      </c>
      <c r="P6" s="8"/>
      <c r="Q6" s="8">
        <v>0.6708333333333333</v>
      </c>
      <c r="R6" s="8">
        <v>0.7194444444444444</v>
      </c>
      <c r="S6" s="8"/>
      <c r="T6" s="8">
        <v>0.7680555555555556</v>
      </c>
      <c r="U6" s="8"/>
    </row>
    <row r="7">
      <c r="A7" s="1" t="s">
        <v>32</v>
      </c>
      <c r="B7" s="7" t="s">
        <v>122</v>
      </c>
      <c r="C7" s="8">
        <v>0.22916666666666666</v>
      </c>
      <c r="D7" s="8">
        <v>0.2465277777777778</v>
      </c>
      <c r="E7" s="8"/>
      <c r="F7" s="8">
        <v>0.28125</v>
      </c>
      <c r="G7" s="8">
        <v>0.3298611111111111</v>
      </c>
      <c r="H7" s="8"/>
      <c r="I7" s="8">
        <v>0.3819444444444444</v>
      </c>
      <c r="J7" s="8">
        <v>0.4305555555555556</v>
      </c>
      <c r="K7" s="8">
        <v>0.4791666666666667</v>
      </c>
      <c r="L7" s="8"/>
      <c r="M7" s="8">
        <v>0.5277777777777778</v>
      </c>
      <c r="N7" s="8">
        <v>0.5763888888888888</v>
      </c>
      <c r="O7" s="8">
        <v>0.625</v>
      </c>
      <c r="P7" s="8"/>
      <c r="Q7" s="8">
        <v>0.6736111111111112</v>
      </c>
      <c r="R7" s="8">
        <v>0.7222222222222222</v>
      </c>
      <c r="S7" s="8"/>
      <c r="T7" s="8">
        <v>0.7708333333333334</v>
      </c>
      <c r="U7" s="8"/>
    </row>
    <row r="8">
      <c r="A8" s="1" t="s">
        <v>33</v>
      </c>
      <c r="B8" s="7" t="s">
        <v>123</v>
      </c>
      <c r="C8" s="8"/>
      <c r="D8" s="8"/>
      <c r="E8" s="8">
        <v>0.2520833333333333</v>
      </c>
      <c r="F8" s="8"/>
      <c r="G8" s="8"/>
      <c r="H8" s="8">
        <v>0.36319444444444443</v>
      </c>
      <c r="I8" s="8"/>
      <c r="J8" s="8"/>
      <c r="K8" s="8"/>
      <c r="L8" s="8">
        <v>0.4708333333333333</v>
      </c>
      <c r="M8" s="8"/>
      <c r="N8" s="8"/>
      <c r="O8" s="8"/>
      <c r="P8" s="8">
        <v>0.6166666666666667</v>
      </c>
      <c r="Q8" s="8"/>
      <c r="R8" s="8"/>
      <c r="S8" s="8">
        <v>0.7173611111111111</v>
      </c>
      <c r="T8" s="8"/>
      <c r="U8" s="8">
        <v>0.8229166666666666</v>
      </c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35</v>
      </c>
      <c r="B10" s="7" t="s">
        <v>141</v>
      </c>
      <c r="C10" s="8"/>
      <c r="D10" s="8"/>
      <c r="E10" s="8">
        <v>0.2611111111111111</v>
      </c>
      <c r="F10" s="8"/>
      <c r="G10" s="8"/>
      <c r="H10" s="8">
        <v>0.37222222222222223</v>
      </c>
      <c r="I10" s="8"/>
      <c r="J10" s="8"/>
      <c r="K10" s="8"/>
      <c r="L10" s="8">
        <v>0.4798611111111111</v>
      </c>
      <c r="M10" s="8"/>
      <c r="N10" s="8"/>
      <c r="O10" s="8"/>
      <c r="P10" s="8">
        <v>0.6256944444444444</v>
      </c>
      <c r="Q10" s="8"/>
      <c r="R10" s="8"/>
      <c r="S10" s="8">
        <v>0.7263888888888889</v>
      </c>
      <c r="T10" s="8"/>
      <c r="U10" s="8">
        <v>0.8326388888888889</v>
      </c>
    </row>
    <row r="11">
      <c r="A11" s="1" t="s">
        <v>36</v>
      </c>
      <c r="B11" s="7" t="s">
        <v>142</v>
      </c>
      <c r="C11" s="8"/>
      <c r="D11" s="8"/>
      <c r="E11" s="8">
        <v>0.26666666666666666</v>
      </c>
      <c r="F11" s="8"/>
      <c r="G11" s="8"/>
      <c r="H11" s="8">
        <v>0.37777777777777777</v>
      </c>
      <c r="I11" s="8"/>
      <c r="J11" s="8"/>
      <c r="K11" s="8"/>
      <c r="L11" s="8">
        <v>0.48541666666666666</v>
      </c>
      <c r="M11" s="8"/>
      <c r="N11" s="8"/>
      <c r="O11" s="8"/>
      <c r="P11" s="8">
        <v>0.63125</v>
      </c>
      <c r="Q11" s="8"/>
      <c r="R11" s="8"/>
      <c r="S11" s="8">
        <v>0.7319444444444444</v>
      </c>
      <c r="T11" s="8"/>
      <c r="U11" s="8">
        <v>0.8388888888888889</v>
      </c>
    </row>
    <row r="12">
      <c r="A12" s="3" t="s">
        <v>37</v>
      </c>
      <c r="B12" s="7" t="s">
        <v>262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3" t="s">
        <v>38</v>
      </c>
      <c r="B13" s="7" t="s">
        <v>261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3" t="s">
        <v>39</v>
      </c>
      <c r="B14" s="7" t="s">
        <v>260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1" t="s">
        <v>40</v>
      </c>
      <c r="B15" s="7" t="s">
        <v>143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1" t="s">
        <v>41</v>
      </c>
      <c r="B16" s="7" t="s">
        <v>144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1" t="s">
        <v>42</v>
      </c>
      <c r="B17" s="7" t="s">
        <v>145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1" t="s">
        <v>43</v>
      </c>
      <c r="B18" s="7" t="s">
        <v>146</v>
      </c>
      <c r="C18" s="8"/>
      <c r="D18" s="8"/>
      <c r="E18" s="8">
        <v>0.2777777777777778</v>
      </c>
      <c r="F18" s="8"/>
      <c r="G18" s="8"/>
      <c r="H18" s="8">
        <v>0.3888888888888889</v>
      </c>
      <c r="I18" s="8"/>
      <c r="J18" s="8"/>
      <c r="K18" s="8"/>
      <c r="L18" s="8">
        <v>0.4965277777777778</v>
      </c>
      <c r="M18" s="8"/>
      <c r="N18" s="8"/>
      <c r="O18" s="8"/>
      <c r="P18" s="8">
        <v>0.6423611111111112</v>
      </c>
      <c r="Q18" s="8"/>
      <c r="R18" s="8"/>
      <c r="S18" s="8">
        <v>0.7430555555555556</v>
      </c>
      <c r="T18" s="8"/>
      <c r="U18" s="8">
        <v>0.8513888888888889</v>
      </c>
    </row>
    <row r="19">
      <c r="A19" s="1" t="s">
        <v>44</v>
      </c>
      <c r="B19" s="7" t="s">
        <v>147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1" t="s">
        <v>46</v>
      </c>
      <c r="B20" s="7" t="s">
        <v>148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11"/>
      <c r="B24" s="11"/>
      <c r="C24" s="12"/>
      <c r="D24" s="12"/>
      <c r="E24" s="12"/>
      <c r="F24" s="12"/>
      <c r="G24" s="12"/>
      <c r="H24" s="12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8">
      <c r="A28" s="1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46184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3"/>
      <c r="AA1" s="3"/>
      <c r="AB1" s="3"/>
      <c r="AC1" s="3"/>
      <c r="AD1" s="3"/>
    </row>
    <row r="2">
      <c r="A2" s="4" t="s">
        <v>2</v>
      </c>
      <c r="B2" s="4" t="s">
        <v>3</v>
      </c>
      <c r="C2" s="4">
        <v>603.0</v>
      </c>
      <c r="D2" s="175">
        <v>625.0</v>
      </c>
      <c r="E2" s="175">
        <v>607.0</v>
      </c>
      <c r="F2" s="176">
        <v>627.0</v>
      </c>
      <c r="G2" s="176">
        <v>615.0</v>
      </c>
      <c r="H2" s="4">
        <v>629.0</v>
      </c>
      <c r="I2" s="4"/>
      <c r="J2" s="4">
        <v>617.0</v>
      </c>
      <c r="K2" s="4">
        <v>633.0</v>
      </c>
      <c r="L2" s="5">
        <v>635.0</v>
      </c>
      <c r="M2" s="5">
        <v>619.0</v>
      </c>
      <c r="N2" s="5">
        <v>637.0</v>
      </c>
      <c r="O2" s="5">
        <v>639.0</v>
      </c>
      <c r="P2" s="5">
        <v>641.0</v>
      </c>
      <c r="Q2" s="4">
        <v>621.0</v>
      </c>
      <c r="R2" s="4">
        <v>643.0</v>
      </c>
      <c r="S2" s="4">
        <v>645.0</v>
      </c>
      <c r="T2" s="4">
        <v>623.0</v>
      </c>
      <c r="U2" s="4">
        <v>647.0</v>
      </c>
      <c r="V2" s="1"/>
      <c r="W2" s="1"/>
      <c r="X2" s="3"/>
      <c r="Y2" s="3"/>
      <c r="Z2" s="3"/>
      <c r="AA2" s="3"/>
      <c r="AB2" s="3"/>
      <c r="AC2" s="3"/>
      <c r="AD2" s="3"/>
    </row>
    <row r="3">
      <c r="A3" s="172" t="s">
        <v>46</v>
      </c>
      <c r="B3" s="177" t="s">
        <v>148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178"/>
      <c r="W3" s="178"/>
      <c r="X3" s="174"/>
      <c r="Y3" s="174"/>
      <c r="Z3" s="174"/>
      <c r="AA3" s="174"/>
      <c r="AB3" s="174"/>
      <c r="AC3" s="174"/>
      <c r="AD3" s="174"/>
    </row>
    <row r="4">
      <c r="A4" s="105" t="s">
        <v>44</v>
      </c>
      <c r="B4" s="106" t="s">
        <v>147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107"/>
      <c r="W4" s="107"/>
      <c r="X4" s="108"/>
      <c r="Y4" s="108"/>
      <c r="Z4" s="108"/>
      <c r="AA4" s="108"/>
      <c r="AB4" s="108"/>
      <c r="AC4" s="108"/>
      <c r="AD4" s="108"/>
    </row>
    <row r="5">
      <c r="A5" s="105" t="s">
        <v>43</v>
      </c>
      <c r="B5" s="106" t="s">
        <v>146</v>
      </c>
      <c r="C5" s="8">
        <v>0.18125</v>
      </c>
      <c r="D5" s="8"/>
      <c r="E5" s="8"/>
      <c r="F5" s="8"/>
      <c r="G5" s="8">
        <v>0.29375</v>
      </c>
      <c r="H5" s="8"/>
      <c r="I5" s="8"/>
      <c r="J5" s="8">
        <v>0.40625</v>
      </c>
      <c r="K5" s="8"/>
      <c r="L5" s="8"/>
      <c r="M5" s="8">
        <v>0.5277777777777778</v>
      </c>
      <c r="N5" s="8"/>
      <c r="O5" s="8"/>
      <c r="P5" s="8"/>
      <c r="Q5" s="8">
        <v>0.6493055555555556</v>
      </c>
      <c r="R5" s="8"/>
      <c r="S5" s="8"/>
      <c r="T5" s="8">
        <v>0.7534722222222222</v>
      </c>
      <c r="U5" s="8"/>
      <c r="V5" s="107"/>
      <c r="W5" s="107"/>
      <c r="X5" s="108"/>
      <c r="Y5" s="108"/>
      <c r="Z5" s="108"/>
      <c r="AA5" s="108"/>
      <c r="AB5" s="108"/>
      <c r="AC5" s="108"/>
      <c r="AD5" s="10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9" t="s">
        <v>39</v>
      </c>
      <c r="B9" s="7" t="s">
        <v>260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9" t="s">
        <v>38</v>
      </c>
      <c r="B10" s="7" t="s">
        <v>261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9" t="s">
        <v>37</v>
      </c>
      <c r="B11" s="7" t="s">
        <v>262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7" t="s">
        <v>36</v>
      </c>
      <c r="B12" s="9" t="s">
        <v>142</v>
      </c>
      <c r="C12" s="8">
        <v>0.1951388888888889</v>
      </c>
      <c r="D12" s="8"/>
      <c r="E12" s="8"/>
      <c r="F12" s="8"/>
      <c r="G12" s="8">
        <v>0.3055555555555556</v>
      </c>
      <c r="H12" s="8"/>
      <c r="I12" s="8"/>
      <c r="J12" s="8">
        <v>0.41805555555555557</v>
      </c>
      <c r="K12" s="8"/>
      <c r="L12" s="8"/>
      <c r="M12" s="8">
        <v>0.5395833333333333</v>
      </c>
      <c r="N12" s="8"/>
      <c r="O12" s="8"/>
      <c r="P12" s="8"/>
      <c r="Q12" s="8">
        <v>0.6611111111111111</v>
      </c>
      <c r="R12" s="8"/>
      <c r="S12" s="8"/>
      <c r="T12" s="8">
        <v>0.7652777777777777</v>
      </c>
      <c r="U12" s="8"/>
      <c r="V12" s="8"/>
      <c r="W12" s="8"/>
    </row>
    <row r="13">
      <c r="A13" s="9" t="s">
        <v>35</v>
      </c>
      <c r="B13" s="8" t="s">
        <v>141</v>
      </c>
      <c r="C13" s="8">
        <v>0.20069444444444445</v>
      </c>
      <c r="D13" s="8"/>
      <c r="E13" s="8"/>
      <c r="F13" s="8"/>
      <c r="G13" s="8">
        <v>0.3111111111111111</v>
      </c>
      <c r="H13" s="8"/>
      <c r="I13" s="8"/>
      <c r="J13" s="8">
        <v>0.4236111111111111</v>
      </c>
      <c r="K13" s="8"/>
      <c r="L13" s="8"/>
      <c r="M13" s="8">
        <v>0.5451388888888888</v>
      </c>
      <c r="N13" s="8"/>
      <c r="O13" s="8"/>
      <c r="P13" s="8"/>
      <c r="Q13" s="8">
        <v>0.6666666666666666</v>
      </c>
      <c r="R13" s="8"/>
      <c r="S13" s="8"/>
      <c r="T13" s="8">
        <v>0.7708333333333334</v>
      </c>
      <c r="U13" s="8"/>
      <c r="V13" s="8"/>
      <c r="W13" s="8"/>
    </row>
    <row r="14">
      <c r="A14" s="3" t="s">
        <v>34</v>
      </c>
      <c r="B14" s="9" t="s">
        <v>140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3" t="s">
        <v>33</v>
      </c>
      <c r="B15" s="8" t="s">
        <v>123</v>
      </c>
      <c r="C15" s="8">
        <v>0.20972222222222223</v>
      </c>
      <c r="D15" s="8"/>
      <c r="E15" s="8"/>
      <c r="F15" s="8"/>
      <c r="G15" s="8">
        <v>0.3194444444444444</v>
      </c>
      <c r="H15" s="8"/>
      <c r="I15" s="8"/>
      <c r="J15" s="8">
        <v>0.43194444444444446</v>
      </c>
      <c r="K15" s="8"/>
      <c r="L15" s="8"/>
      <c r="M15" s="8">
        <v>0.5534722222222223</v>
      </c>
      <c r="N15" s="8"/>
      <c r="O15" s="8"/>
      <c r="P15" s="8"/>
      <c r="Q15" s="8">
        <v>0.675</v>
      </c>
      <c r="R15" s="8"/>
      <c r="S15" s="8"/>
      <c r="T15" s="8">
        <v>0.7791666666666667</v>
      </c>
      <c r="U15" s="8"/>
      <c r="V15" s="8"/>
      <c r="W15" s="8"/>
    </row>
    <row r="16">
      <c r="A16" s="9" t="s">
        <v>32</v>
      </c>
      <c r="B16" s="9" t="s">
        <v>122</v>
      </c>
      <c r="C16" s="8"/>
      <c r="D16" s="8">
        <v>0.2361111111111111</v>
      </c>
      <c r="E16" s="8">
        <v>0.2534722222222222</v>
      </c>
      <c r="F16" s="8">
        <v>0.2881944444444444</v>
      </c>
      <c r="G16" s="8"/>
      <c r="H16" s="8">
        <v>0.3506944444444444</v>
      </c>
      <c r="I16" s="8">
        <v>0.4027777777777778</v>
      </c>
      <c r="J16" s="8"/>
      <c r="K16" s="8">
        <v>0.4513888888888889</v>
      </c>
      <c r="L16" s="8">
        <v>0.5</v>
      </c>
      <c r="M16" s="8"/>
      <c r="N16" s="8">
        <v>0.5486111111111112</v>
      </c>
      <c r="O16" s="8">
        <v>0.5972222222222222</v>
      </c>
      <c r="P16" s="8">
        <v>0.6458333333333334</v>
      </c>
      <c r="Q16" s="8"/>
      <c r="R16" s="8">
        <v>0.6944444444444444</v>
      </c>
      <c r="S16" s="8">
        <v>0.7430555555555556</v>
      </c>
      <c r="T16" s="8"/>
      <c r="U16" s="8">
        <v>0.7916666666666666</v>
      </c>
      <c r="V16" s="8"/>
      <c r="W16" s="8"/>
    </row>
    <row r="17">
      <c r="A17" s="9" t="s">
        <v>31</v>
      </c>
      <c r="B17" s="10" t="s">
        <v>121</v>
      </c>
      <c r="C17" s="8"/>
      <c r="D17" s="8">
        <v>0.23819444444444443</v>
      </c>
      <c r="E17" s="8">
        <v>0.25555555555555554</v>
      </c>
      <c r="F17" s="8">
        <v>0.2902777777777778</v>
      </c>
      <c r="G17" s="8"/>
      <c r="H17" s="8">
        <v>0.3527777777777778</v>
      </c>
      <c r="I17" s="8">
        <v>0.4048611111111111</v>
      </c>
      <c r="J17" s="8"/>
      <c r="K17" s="8">
        <v>0.4534722222222222</v>
      </c>
      <c r="L17" s="8">
        <v>0.5020833333333333</v>
      </c>
      <c r="M17" s="8"/>
      <c r="N17" s="8">
        <v>0.5506944444444445</v>
      </c>
      <c r="O17" s="8">
        <v>0.5993055555555555</v>
      </c>
      <c r="P17" s="8">
        <v>0.6479166666666667</v>
      </c>
      <c r="Q17" s="8"/>
      <c r="R17" s="8">
        <v>0.6965277777777777</v>
      </c>
      <c r="S17" s="8">
        <v>0.7451388888888889</v>
      </c>
      <c r="T17" s="8"/>
      <c r="U17" s="8">
        <v>0.79375</v>
      </c>
      <c r="V17" s="8"/>
      <c r="W17" s="8"/>
    </row>
    <row r="18">
      <c r="A18" s="3" t="s">
        <v>30</v>
      </c>
      <c r="B18" s="10" t="s">
        <v>120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9" t="s">
        <v>29</v>
      </c>
      <c r="B19" s="9" t="s">
        <v>139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9" t="s">
        <v>24</v>
      </c>
      <c r="B20" s="10" t="s">
        <v>25</v>
      </c>
      <c r="C20" s="8"/>
      <c r="D20" s="8">
        <v>0.2465277777777778</v>
      </c>
      <c r="E20" s="8">
        <v>0.2638888888888889</v>
      </c>
      <c r="F20" s="8">
        <v>0.2986111111111111</v>
      </c>
      <c r="G20" s="8"/>
      <c r="H20" s="8">
        <v>0.3611111111111111</v>
      </c>
      <c r="I20" s="8">
        <v>0.4131944444444444</v>
      </c>
      <c r="J20" s="8"/>
      <c r="K20" s="8">
        <v>0.4618055555555556</v>
      </c>
      <c r="L20" s="8">
        <v>0.5104166666666666</v>
      </c>
      <c r="M20" s="8"/>
      <c r="N20" s="8">
        <v>0.5590277777777778</v>
      </c>
      <c r="O20" s="8">
        <v>0.6076388888888888</v>
      </c>
      <c r="P20" s="8">
        <v>0.65625</v>
      </c>
      <c r="Q20" s="8"/>
      <c r="R20" s="8">
        <v>0.7048611111111112</v>
      </c>
      <c r="S20" s="8">
        <v>0.7534722222222222</v>
      </c>
      <c r="T20" s="8"/>
      <c r="U20" s="8">
        <v>0.8020833333333334</v>
      </c>
    </row>
    <row r="26">
      <c r="C26" s="13"/>
    </row>
    <row r="27">
      <c r="R27" s="8"/>
      <c r="S27" s="8"/>
      <c r="T27" s="8"/>
      <c r="U27" s="8"/>
      <c r="V27" s="8"/>
      <c r="W27" s="8"/>
    </row>
    <row r="28">
      <c r="R28" s="8"/>
      <c r="S28" s="8"/>
      <c r="T28" s="8"/>
      <c r="U28" s="8"/>
      <c r="V28" s="8"/>
      <c r="W28" s="8"/>
    </row>
    <row r="29">
      <c r="A29" s="50"/>
      <c r="C29" s="51"/>
      <c r="D29" s="51"/>
      <c r="E29" s="51"/>
      <c r="F29" s="51"/>
      <c r="G29" s="51"/>
      <c r="H29" s="51"/>
      <c r="I29" s="51"/>
      <c r="J29" s="51"/>
      <c r="R29" s="8"/>
      <c r="S29" s="8"/>
      <c r="T29" s="8"/>
      <c r="U29" s="8"/>
      <c r="V29" s="8"/>
      <c r="W29" s="8"/>
    </row>
    <row r="30">
      <c r="A30" s="52"/>
      <c r="C30" s="53"/>
      <c r="D30" s="53"/>
      <c r="E30" s="53"/>
      <c r="F30" s="53"/>
      <c r="G30" s="53"/>
      <c r="H30" s="53"/>
      <c r="I30" s="53"/>
      <c r="J30" s="53"/>
      <c r="R30" s="8"/>
      <c r="S30" s="8"/>
      <c r="T30" s="8"/>
      <c r="U30" s="8"/>
      <c r="V30" s="8"/>
      <c r="W30" s="8"/>
    </row>
    <row r="31">
      <c r="A31" s="50"/>
      <c r="C31" s="49"/>
      <c r="D31" s="49"/>
      <c r="E31" s="49"/>
      <c r="F31" s="49"/>
      <c r="G31" s="49"/>
      <c r="H31" s="49"/>
      <c r="I31" s="49"/>
      <c r="J31" s="49"/>
      <c r="R31" s="11"/>
      <c r="S31" s="11"/>
      <c r="T31" s="11"/>
      <c r="U31" s="11"/>
      <c r="V31" s="11"/>
      <c r="W31" s="11"/>
    </row>
    <row r="32">
      <c r="A32" s="50"/>
      <c r="C32" s="49"/>
      <c r="D32" s="49"/>
      <c r="E32" s="49"/>
      <c r="F32" s="49"/>
      <c r="G32" s="49"/>
      <c r="H32" s="49"/>
      <c r="I32" s="49"/>
      <c r="J32" s="49"/>
      <c r="R32" s="12"/>
      <c r="S32" s="12"/>
      <c r="T32" s="12"/>
      <c r="U32" s="12"/>
      <c r="V32" s="12"/>
      <c r="W32" s="12"/>
    </row>
    <row r="33">
      <c r="A33" s="50"/>
      <c r="C33" s="49"/>
      <c r="D33" s="49"/>
      <c r="E33" s="49"/>
      <c r="F33" s="49"/>
      <c r="G33" s="49"/>
      <c r="H33" s="49"/>
      <c r="I33" s="49"/>
      <c r="J33" s="49"/>
      <c r="R33" s="12"/>
      <c r="S33" s="12"/>
      <c r="T33" s="12"/>
      <c r="U33" s="12"/>
      <c r="V33" s="12"/>
      <c r="W33" s="12"/>
    </row>
    <row r="34">
      <c r="A34" s="50"/>
      <c r="C34" s="54"/>
      <c r="D34" s="54"/>
      <c r="E34" s="54"/>
      <c r="F34" s="54"/>
      <c r="G34" s="54"/>
      <c r="H34" s="54"/>
      <c r="I34" s="54"/>
      <c r="J34" s="54"/>
      <c r="R34" s="12"/>
      <c r="S34" s="12"/>
      <c r="T34" s="12"/>
      <c r="U34" s="12"/>
      <c r="V34" s="12"/>
      <c r="W34" s="12"/>
    </row>
    <row r="35">
      <c r="A35" s="50"/>
      <c r="C35" s="54"/>
      <c r="D35" s="54"/>
      <c r="E35" s="54"/>
      <c r="F35" s="54"/>
      <c r="G35" s="54"/>
      <c r="H35" s="54"/>
      <c r="I35" s="54"/>
      <c r="J35" s="54"/>
      <c r="R35" s="12"/>
      <c r="S35" s="12"/>
      <c r="T35" s="12"/>
      <c r="U35" s="12"/>
      <c r="V35" s="12"/>
      <c r="W35" s="12"/>
    </row>
    <row r="36">
      <c r="A36" s="50"/>
      <c r="C36" s="49"/>
      <c r="D36" s="49"/>
      <c r="E36" s="49"/>
      <c r="F36" s="49"/>
      <c r="G36" s="49"/>
      <c r="H36" s="49"/>
      <c r="I36" s="49"/>
      <c r="J36" s="49"/>
      <c r="R36" s="12"/>
      <c r="S36" s="12"/>
      <c r="T36" s="12"/>
      <c r="U36" s="12"/>
      <c r="V36" s="12"/>
      <c r="W36" s="12"/>
    </row>
    <row r="37">
      <c r="A37" s="50"/>
      <c r="C37" s="54"/>
      <c r="D37" s="54"/>
      <c r="E37" s="54"/>
      <c r="F37" s="54"/>
      <c r="G37" s="54"/>
      <c r="H37" s="54"/>
      <c r="I37" s="54"/>
      <c r="J37" s="54"/>
      <c r="R37" s="12"/>
      <c r="S37" s="12"/>
      <c r="T37" s="12"/>
      <c r="U37" s="12"/>
      <c r="V37" s="12"/>
      <c r="W37" s="12"/>
    </row>
    <row r="38">
      <c r="A38" s="50"/>
      <c r="C38" s="54"/>
      <c r="D38" s="54"/>
      <c r="E38" s="54"/>
      <c r="F38" s="54"/>
      <c r="G38" s="54"/>
      <c r="H38" s="54"/>
      <c r="I38" s="54"/>
      <c r="J38" s="54"/>
      <c r="R38" s="12"/>
      <c r="S38" s="12"/>
      <c r="T38" s="12"/>
      <c r="U38" s="12"/>
      <c r="V38" s="12"/>
      <c r="W38" s="12"/>
    </row>
    <row r="39">
      <c r="A39" s="50"/>
      <c r="C39" s="54"/>
      <c r="D39" s="54"/>
      <c r="E39" s="54"/>
      <c r="F39" s="54"/>
      <c r="G39" s="54"/>
      <c r="H39" s="54"/>
      <c r="I39" s="54"/>
      <c r="J39" s="54"/>
      <c r="R39" s="12"/>
      <c r="S39" s="12"/>
      <c r="T39" s="12"/>
      <c r="U39" s="12"/>
      <c r="V39" s="12"/>
      <c r="W39" s="12"/>
    </row>
    <row r="40">
      <c r="A40" s="50"/>
      <c r="C40" s="49"/>
      <c r="D40" s="49"/>
      <c r="E40" s="49"/>
      <c r="F40" s="49"/>
      <c r="G40" s="49"/>
      <c r="H40" s="49"/>
      <c r="I40" s="49"/>
      <c r="J40" s="49"/>
      <c r="R40" s="12"/>
      <c r="S40" s="12"/>
      <c r="T40" s="12"/>
      <c r="U40" s="12"/>
      <c r="V40" s="12"/>
      <c r="W40" s="12"/>
    </row>
    <row r="41">
      <c r="A41" s="50"/>
      <c r="C41" s="49"/>
      <c r="D41" s="49"/>
      <c r="E41" s="49"/>
      <c r="F41" s="49"/>
      <c r="G41" s="49"/>
      <c r="H41" s="49"/>
      <c r="I41" s="49"/>
      <c r="J41" s="49"/>
      <c r="R41" s="12"/>
      <c r="S41" s="12"/>
      <c r="T41" s="12"/>
      <c r="U41" s="12"/>
      <c r="V41" s="12"/>
      <c r="W41" s="12"/>
    </row>
    <row r="42">
      <c r="A42" s="50"/>
      <c r="C42" s="54"/>
      <c r="D42" s="54"/>
      <c r="E42" s="54"/>
      <c r="F42" s="54"/>
      <c r="G42" s="54"/>
      <c r="H42" s="54"/>
      <c r="I42" s="54"/>
      <c r="J42" s="54"/>
      <c r="R42" s="12"/>
      <c r="S42" s="12"/>
      <c r="T42" s="12"/>
      <c r="U42" s="12"/>
      <c r="V42" s="12"/>
      <c r="W42" s="12"/>
    </row>
    <row r="43">
      <c r="A43" s="50"/>
      <c r="B43" s="14"/>
      <c r="C43" s="14"/>
      <c r="D43" s="14"/>
      <c r="E43" s="14"/>
      <c r="F43" s="14"/>
      <c r="G43" s="14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>
      <c r="A44" s="50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5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50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>
      <c r="A49" s="5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325</v>
      </c>
      <c r="E2" s="104" t="s">
        <v>326</v>
      </c>
      <c r="F2" s="104" t="s">
        <v>327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179">
        <v>0.6041666666666666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0.6118055555555555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0.6145833333333333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0.6201388888888888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0.6291666666666665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0.6347222222222221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0.6458333333333331</v>
      </c>
      <c r="F15" s="8">
        <v>0.7986111111111109</v>
      </c>
      <c r="G15" s="8"/>
      <c r="H15" s="8"/>
      <c r="I15" s="8"/>
      <c r="J15" s="8"/>
      <c r="K15" s="8"/>
    </row>
    <row r="16">
      <c r="A16" s="7" t="s">
        <v>44</v>
      </c>
      <c r="B16" s="7" t="s">
        <v>147</v>
      </c>
      <c r="C16" s="8"/>
      <c r="D16" s="8"/>
      <c r="E16" s="8"/>
      <c r="F16" s="8">
        <v>0.8166666666666667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>
        <v>0.8194444444444444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8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8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82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83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8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83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8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83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83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8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8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8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8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328</v>
      </c>
      <c r="E2" s="104" t="s">
        <v>329</v>
      </c>
      <c r="F2" s="104" t="s">
        <v>153</v>
      </c>
      <c r="G2" s="104" t="s">
        <v>330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</v>
      </c>
      <c r="B3" s="5" t="s">
        <v>148</v>
      </c>
      <c r="C3" s="8">
        <v>0.18055555555555555</v>
      </c>
      <c r="D3" s="8"/>
      <c r="E3" s="8"/>
      <c r="F3" s="8"/>
      <c r="G3" s="8"/>
      <c r="H3" s="8"/>
      <c r="I3" s="8"/>
      <c r="J3" s="8"/>
      <c r="K3" s="8"/>
      <c r="L3" s="8"/>
    </row>
    <row r="4">
      <c r="A4" s="105" t="s">
        <v>44</v>
      </c>
      <c r="B4" s="106" t="s">
        <v>147</v>
      </c>
      <c r="C4" s="8">
        <v>0.18541666666666667</v>
      </c>
      <c r="D4" s="8"/>
      <c r="E4" s="8"/>
      <c r="F4" s="8"/>
      <c r="G4" s="8"/>
      <c r="H4" s="8"/>
      <c r="I4" s="8"/>
      <c r="J4" s="8"/>
      <c r="K4" s="8"/>
      <c r="L4" s="8"/>
    </row>
    <row r="5">
      <c r="A5" s="3" t="s">
        <v>43</v>
      </c>
      <c r="B5" s="9" t="s">
        <v>146</v>
      </c>
      <c r="C5" s="8">
        <v>0.18819444444444444</v>
      </c>
      <c r="D5" s="8">
        <v>0.2986111111111111</v>
      </c>
      <c r="E5" s="8">
        <v>0.4340277777777778</v>
      </c>
      <c r="F5" s="8">
        <v>0.6493055555555556</v>
      </c>
      <c r="G5" s="8">
        <v>0.7083333333333334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36</v>
      </c>
      <c r="B9" s="9" t="s">
        <v>142</v>
      </c>
      <c r="C9" s="8">
        <v>0.2</v>
      </c>
      <c r="D9" s="8">
        <v>0.3104166666666667</v>
      </c>
      <c r="E9" s="8">
        <v>0.44583333333333336</v>
      </c>
      <c r="F9" s="8">
        <f>F5+(G9-G5)</f>
        <v>0.6611111111</v>
      </c>
      <c r="G9" s="8">
        <v>0.7201388888888889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9" t="s">
        <v>35</v>
      </c>
      <c r="B10" s="8" t="s">
        <v>141</v>
      </c>
      <c r="C10" s="8">
        <v>0.20555555555555555</v>
      </c>
      <c r="D10" s="8">
        <v>0.3159722222222222</v>
      </c>
      <c r="E10" s="8">
        <v>0.4513888888888889</v>
      </c>
      <c r="F10" s="8">
        <f>F9+(G10-G9)</f>
        <v>0.6666666667</v>
      </c>
      <c r="G10" s="8">
        <v>0.7256944444444444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3" t="s">
        <v>33</v>
      </c>
      <c r="B12" s="8" t="s">
        <v>123</v>
      </c>
      <c r="C12" s="8">
        <v>0.2138888888888889</v>
      </c>
      <c r="D12" s="8">
        <v>0.32430555555555557</v>
      </c>
      <c r="E12" s="8">
        <v>0.45972222222222225</v>
      </c>
      <c r="F12" s="8">
        <f>F10+(G12-G10)</f>
        <v>0.675</v>
      </c>
      <c r="G12" s="8">
        <v>0.7340277777777777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9" t="s">
        <v>32</v>
      </c>
      <c r="B13" s="9" t="s">
        <v>122</v>
      </c>
      <c r="C13" s="8">
        <v>0.22013888888888888</v>
      </c>
      <c r="D13" s="8">
        <v>0.33055555555555555</v>
      </c>
      <c r="E13" s="8">
        <v>0.46597222222222223</v>
      </c>
      <c r="F13" s="8">
        <f t="shared" ref="F13:F14" si="1">F12+(G13-G12)</f>
        <v>0.68125</v>
      </c>
      <c r="G13" s="8">
        <v>0.7402777777777777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31</v>
      </c>
      <c r="B14" s="10" t="s">
        <v>121</v>
      </c>
      <c r="C14" s="8">
        <v>0.2222222222222222</v>
      </c>
      <c r="D14" s="8">
        <v>0.3326388888888889</v>
      </c>
      <c r="E14" s="8">
        <v>0.46805555555555556</v>
      </c>
      <c r="F14" s="8">
        <f t="shared" si="1"/>
        <v>0.6833333333</v>
      </c>
      <c r="G14" s="8">
        <v>0.742361111111111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3" t="s">
        <v>24</v>
      </c>
      <c r="B17" s="10" t="s">
        <v>25</v>
      </c>
      <c r="C17" s="8">
        <v>0.22986111111111113</v>
      </c>
      <c r="D17" s="8">
        <v>0.3402777777777778</v>
      </c>
      <c r="E17" s="8">
        <v>0.4756944444444445</v>
      </c>
      <c r="F17" s="8">
        <f>F14+(G17-G14)</f>
        <v>0.6909722222</v>
      </c>
      <c r="G17" s="8">
        <v>0.75</v>
      </c>
      <c r="H17" s="8"/>
      <c r="I17" s="8"/>
      <c r="J17" s="8"/>
      <c r="K17" s="8"/>
      <c r="L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8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7"/>
      <c r="B23" s="17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4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4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26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26"/>
      <c r="B34" s="14"/>
      <c r="C34" s="14"/>
      <c r="D34" s="14"/>
      <c r="E34" s="11"/>
      <c r="F34" s="11"/>
      <c r="G34" s="11"/>
      <c r="H34" s="11"/>
      <c r="I34" s="11"/>
      <c r="J34" s="11"/>
      <c r="K34" s="11"/>
    </row>
    <row r="35">
      <c r="A35" s="26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26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0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46170.0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84" t="s">
        <v>331</v>
      </c>
      <c r="D2" s="184" t="s">
        <v>332</v>
      </c>
      <c r="E2" s="184" t="s">
        <v>333</v>
      </c>
      <c r="F2" s="184" t="s">
        <v>334</v>
      </c>
      <c r="G2" s="184" t="s">
        <v>335</v>
      </c>
      <c r="H2" s="184" t="s">
        <v>336</v>
      </c>
      <c r="I2" s="184" t="s">
        <v>337</v>
      </c>
      <c r="J2" s="184" t="s">
        <v>338</v>
      </c>
      <c r="K2" s="184" t="s">
        <v>339</v>
      </c>
      <c r="L2" s="184" t="s">
        <v>340</v>
      </c>
      <c r="M2" s="184" t="s">
        <v>341</v>
      </c>
      <c r="N2" s="184" t="s">
        <v>342</v>
      </c>
      <c r="O2" s="184" t="s">
        <v>343</v>
      </c>
      <c r="P2" s="184" t="s">
        <v>344</v>
      </c>
      <c r="Q2" s="184" t="s">
        <v>345</v>
      </c>
      <c r="R2" s="184" t="s">
        <v>346</v>
      </c>
      <c r="S2" s="184" t="s">
        <v>347</v>
      </c>
      <c r="T2" s="184" t="s">
        <v>348</v>
      </c>
      <c r="U2" s="184" t="s">
        <v>349</v>
      </c>
      <c r="V2" s="184" t="s">
        <v>350</v>
      </c>
      <c r="W2" s="184" t="s">
        <v>351</v>
      </c>
      <c r="X2" s="184" t="s">
        <v>352</v>
      </c>
      <c r="Y2" s="184" t="s">
        <v>353</v>
      </c>
      <c r="Z2" s="184" t="s">
        <v>354</v>
      </c>
      <c r="AA2" s="184" t="s">
        <v>355</v>
      </c>
      <c r="AB2" s="184" t="s">
        <v>356</v>
      </c>
      <c r="AC2" s="184" t="s">
        <v>357</v>
      </c>
      <c r="AD2" s="184" t="s">
        <v>358</v>
      </c>
      <c r="AE2" s="184" t="s">
        <v>359</v>
      </c>
      <c r="AF2" s="184" t="s">
        <v>360</v>
      </c>
      <c r="AG2" s="184" t="s">
        <v>361</v>
      </c>
      <c r="AH2" s="184" t="s">
        <v>362</v>
      </c>
      <c r="AI2" s="184" t="s">
        <v>363</v>
      </c>
      <c r="AJ2" s="184" t="s">
        <v>364</v>
      </c>
      <c r="AK2" s="184" t="s">
        <v>365</v>
      </c>
      <c r="AL2" s="184" t="s">
        <v>366</v>
      </c>
      <c r="AM2" s="184" t="s">
        <v>367</v>
      </c>
      <c r="AN2" s="184" t="s">
        <v>368</v>
      </c>
      <c r="AO2" s="184" t="s">
        <v>369</v>
      </c>
      <c r="AP2" s="184" t="s">
        <v>370</v>
      </c>
      <c r="AQ2" s="184" t="s">
        <v>371</v>
      </c>
      <c r="AR2" s="184" t="s">
        <v>372</v>
      </c>
      <c r="AS2" s="184" t="s">
        <v>373</v>
      </c>
      <c r="AT2" s="184" t="s">
        <v>374</v>
      </c>
    </row>
    <row r="3">
      <c r="A3" s="4" t="s">
        <v>24</v>
      </c>
      <c r="B3" s="80" t="s">
        <v>25</v>
      </c>
      <c r="C3" s="6">
        <v>0.21875</v>
      </c>
      <c r="D3" s="6">
        <v>0.22847222222222222</v>
      </c>
      <c r="E3" s="6">
        <v>0.2375</v>
      </c>
      <c r="F3" s="6">
        <v>0.24791666666666667</v>
      </c>
      <c r="G3" s="6">
        <v>0.25833333333333336</v>
      </c>
      <c r="H3" s="6">
        <v>0.2673611111111111</v>
      </c>
      <c r="I3" s="6">
        <v>0.27708333333333335</v>
      </c>
      <c r="J3" s="6">
        <v>0.2861111111111111</v>
      </c>
      <c r="K3" s="6">
        <v>0.2965277777777778</v>
      </c>
      <c r="L3" s="6">
        <v>0.30694444444444446</v>
      </c>
      <c r="M3" s="6">
        <v>0.3159722222222222</v>
      </c>
      <c r="N3" s="6">
        <v>0.32569444444444445</v>
      </c>
      <c r="O3" s="6">
        <v>0.3347222222222222</v>
      </c>
      <c r="P3" s="6">
        <v>0.3451388888888889</v>
      </c>
      <c r="Q3" s="6">
        <v>0.35555555555555557</v>
      </c>
      <c r="R3" s="6">
        <v>0.38333333333333336</v>
      </c>
      <c r="S3" s="6">
        <v>0.4083333333333333</v>
      </c>
      <c r="T3" s="6">
        <v>0.43194444444444446</v>
      </c>
      <c r="U3" s="6">
        <v>0.45694444444444443</v>
      </c>
      <c r="V3" s="6">
        <v>0.48055555555555557</v>
      </c>
      <c r="W3" s="6">
        <v>0.5055555555555555</v>
      </c>
      <c r="X3" s="6">
        <v>0.5291666666666667</v>
      </c>
      <c r="Y3" s="6">
        <v>0.5541666666666667</v>
      </c>
      <c r="Z3" s="6">
        <v>0.5777777777777777</v>
      </c>
      <c r="AA3" s="6">
        <v>0.6027777777777777</v>
      </c>
      <c r="AB3" s="6">
        <v>0.6263888888888889</v>
      </c>
      <c r="AC3" s="6">
        <v>0.6368055555555555</v>
      </c>
      <c r="AD3" s="6">
        <v>0.6472222222222223</v>
      </c>
      <c r="AE3" s="6">
        <v>0.65625</v>
      </c>
      <c r="AF3" s="6">
        <v>0.6659722222222222</v>
      </c>
      <c r="AG3" s="6">
        <v>0.675</v>
      </c>
      <c r="AH3" s="6">
        <v>0.6854166666666667</v>
      </c>
      <c r="AI3" s="6">
        <v>0.6958333333333333</v>
      </c>
      <c r="AJ3" s="6">
        <v>0.7048611111111112</v>
      </c>
      <c r="AK3" s="6">
        <v>0.7145833333333333</v>
      </c>
      <c r="AL3" s="6">
        <v>0.7236111111111111</v>
      </c>
      <c r="AM3" s="6">
        <v>0.7340277777777777</v>
      </c>
      <c r="AN3" s="6">
        <v>0.7444444444444445</v>
      </c>
      <c r="AO3" s="6">
        <v>0.7534722222222222</v>
      </c>
      <c r="AP3" s="6">
        <v>0.7631944444444444</v>
      </c>
      <c r="AQ3" s="6">
        <v>0.7722222222222223</v>
      </c>
      <c r="AR3" s="6">
        <v>0.7826388888888889</v>
      </c>
      <c r="AS3" s="6">
        <v>0.7923611111111111</v>
      </c>
      <c r="AT3" s="6">
        <v>0.8055555555555556</v>
      </c>
    </row>
    <row r="4">
      <c r="A4" s="1" t="s">
        <v>91</v>
      </c>
      <c r="B4" s="7" t="s">
        <v>92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</row>
    <row r="5">
      <c r="A5" s="1" t="s">
        <v>93</v>
      </c>
      <c r="B5" s="7" t="s">
        <v>94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</row>
    <row r="6">
      <c r="A6" s="7" t="s">
        <v>22</v>
      </c>
      <c r="B6" s="9" t="s">
        <v>23</v>
      </c>
      <c r="C6" s="8">
        <v>0.2222222222222222</v>
      </c>
      <c r="D6" s="8">
        <v>0.23194444444444445</v>
      </c>
      <c r="E6" s="8">
        <v>0.24097222222222223</v>
      </c>
      <c r="F6" s="8">
        <v>0.2513888888888889</v>
      </c>
      <c r="G6" s="8">
        <v>0.26180555555555557</v>
      </c>
      <c r="H6" s="8">
        <v>0.2708333333333333</v>
      </c>
      <c r="I6" s="8">
        <v>0.28055555555555556</v>
      </c>
      <c r="J6" s="8">
        <v>0.28958333333333336</v>
      </c>
      <c r="K6" s="8">
        <v>0.3</v>
      </c>
      <c r="L6" s="8">
        <v>0.3104166666666667</v>
      </c>
      <c r="M6" s="8">
        <v>0.3194444444444444</v>
      </c>
      <c r="N6" s="8">
        <v>0.32916666666666666</v>
      </c>
      <c r="O6" s="8">
        <v>0.33819444444444446</v>
      </c>
      <c r="P6" s="8">
        <v>0.3486111111111111</v>
      </c>
      <c r="Q6" s="8">
        <v>0.3590277777777778</v>
      </c>
      <c r="R6" s="8">
        <v>0.38680555555555557</v>
      </c>
      <c r="S6" s="8">
        <v>0.41180555555555554</v>
      </c>
      <c r="T6" s="8">
        <v>0.4354166666666667</v>
      </c>
      <c r="U6" s="8">
        <v>0.46041666666666664</v>
      </c>
      <c r="V6" s="8">
        <v>0.4840277777777778</v>
      </c>
      <c r="W6" s="8">
        <v>0.5090277777777777</v>
      </c>
      <c r="X6" s="8">
        <v>0.5326388888888889</v>
      </c>
      <c r="Y6" s="8">
        <v>0.5576388888888889</v>
      </c>
      <c r="Z6" s="8">
        <v>0.58125</v>
      </c>
      <c r="AA6" s="8">
        <v>0.60625</v>
      </c>
      <c r="AB6" s="8">
        <v>0.6298611111111111</v>
      </c>
      <c r="AC6" s="8">
        <v>0.6402777777777777</v>
      </c>
      <c r="AD6" s="8">
        <v>0.6506944444444445</v>
      </c>
      <c r="AE6" s="8">
        <v>0.6597222222222222</v>
      </c>
      <c r="AF6" s="8">
        <v>0.6694444444444444</v>
      </c>
      <c r="AG6" s="8">
        <v>0.6784722222222223</v>
      </c>
      <c r="AH6" s="8">
        <v>0.6888888888888889</v>
      </c>
      <c r="AI6" s="8">
        <v>0.6993055555555555</v>
      </c>
      <c r="AJ6" s="8">
        <v>0.7083333333333334</v>
      </c>
      <c r="AK6" s="8">
        <v>0.7180555555555556</v>
      </c>
      <c r="AL6" s="8">
        <v>0.7270833333333333</v>
      </c>
      <c r="AM6" s="8">
        <v>0.7375</v>
      </c>
      <c r="AN6" s="8">
        <v>0.7479166666666667</v>
      </c>
      <c r="AO6" s="8">
        <v>0.7569444444444444</v>
      </c>
      <c r="AP6" s="8">
        <v>0.7666666666666667</v>
      </c>
      <c r="AQ6" s="8">
        <v>0.7756944444444445</v>
      </c>
      <c r="AR6" s="8">
        <v>0.7861111111111111</v>
      </c>
      <c r="AS6" s="8">
        <v>0.7958333333333333</v>
      </c>
      <c r="AT6" s="8">
        <v>0.8090277777777778</v>
      </c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>
      <c r="A8" s="7" t="s">
        <v>160</v>
      </c>
      <c r="B8" s="7" t="s">
        <v>375</v>
      </c>
      <c r="C8" s="8">
        <v>0.225</v>
      </c>
      <c r="D8" s="8">
        <v>0.23472222222222222</v>
      </c>
      <c r="E8" s="8">
        <v>0.24375</v>
      </c>
      <c r="F8" s="8">
        <v>0.25416666666666665</v>
      </c>
      <c r="G8" s="8">
        <v>0.26458333333333334</v>
      </c>
      <c r="H8" s="8">
        <v>0.27361111111111114</v>
      </c>
      <c r="I8" s="8">
        <v>0.2833333333333333</v>
      </c>
      <c r="J8" s="8">
        <v>0.2923611111111111</v>
      </c>
      <c r="K8" s="8">
        <v>0.30277777777777776</v>
      </c>
      <c r="L8" s="8">
        <v>0.31319444444444444</v>
      </c>
      <c r="M8" s="8">
        <v>0.32222222222222224</v>
      </c>
      <c r="N8" s="8">
        <v>0.33194444444444443</v>
      </c>
      <c r="O8" s="8">
        <v>0.34097222222222223</v>
      </c>
      <c r="P8" s="8">
        <v>0.35138888888888886</v>
      </c>
      <c r="Q8" s="8">
        <v>0.36180555555555555</v>
      </c>
      <c r="R8" s="8">
        <v>0.38958333333333334</v>
      </c>
      <c r="S8" s="8">
        <v>0.41458333333333336</v>
      </c>
      <c r="T8" s="8">
        <v>0.43819444444444444</v>
      </c>
      <c r="U8" s="8">
        <v>0.46319444444444446</v>
      </c>
      <c r="V8" s="8">
        <v>0.48680555555555555</v>
      </c>
      <c r="W8" s="8">
        <v>0.5118055555555555</v>
      </c>
      <c r="X8" s="8">
        <v>0.5354166666666667</v>
      </c>
      <c r="Y8" s="8">
        <v>0.5604166666666667</v>
      </c>
      <c r="Z8" s="8">
        <v>0.5840277777777778</v>
      </c>
      <c r="AA8" s="8">
        <v>0.6090277777777777</v>
      </c>
      <c r="AB8" s="8">
        <v>0.6326388888888889</v>
      </c>
      <c r="AC8" s="8">
        <v>0.6430555555555556</v>
      </c>
      <c r="AD8" s="8">
        <v>0.6534722222222222</v>
      </c>
      <c r="AE8" s="8">
        <v>0.6625</v>
      </c>
      <c r="AF8" s="8">
        <v>0.6722222222222223</v>
      </c>
      <c r="AG8" s="8">
        <v>0.68125</v>
      </c>
      <c r="AH8" s="8">
        <v>0.6916666666666667</v>
      </c>
      <c r="AI8" s="8">
        <v>0.7020833333333333</v>
      </c>
      <c r="AJ8" s="8">
        <v>0.7111111111111111</v>
      </c>
      <c r="AK8" s="8">
        <v>0.7208333333333333</v>
      </c>
      <c r="AL8" s="8">
        <v>0.7298611111111111</v>
      </c>
      <c r="AM8" s="8">
        <v>0.7402777777777778</v>
      </c>
      <c r="AN8" s="8">
        <v>0.7506944444444444</v>
      </c>
      <c r="AO8" s="8">
        <v>0.7597222222222222</v>
      </c>
      <c r="AP8" s="8">
        <v>0.7694444444444445</v>
      </c>
      <c r="AQ8" s="8">
        <v>0.7784722222222222</v>
      </c>
      <c r="AR8" s="8">
        <v>0.7888888888888889</v>
      </c>
      <c r="AS8" s="8">
        <v>0.7986111111111112</v>
      </c>
      <c r="AT8" s="8">
        <v>0.8118055555555556</v>
      </c>
    </row>
    <row r="9">
      <c r="A9" s="1" t="s">
        <v>159</v>
      </c>
      <c r="B9" s="7" t="s">
        <v>376</v>
      </c>
      <c r="C9" s="8">
        <v>0.2263888888888889</v>
      </c>
      <c r="D9" s="8">
        <v>0.2361111111111111</v>
      </c>
      <c r="E9" s="8">
        <v>0.24513888888888888</v>
      </c>
      <c r="F9" s="8">
        <v>0.25555555555555554</v>
      </c>
      <c r="G9" s="8">
        <v>0.2659722222222222</v>
      </c>
      <c r="H9" s="8">
        <v>0.275</v>
      </c>
      <c r="I9" s="8">
        <v>0.2847222222222222</v>
      </c>
      <c r="J9" s="8">
        <v>0.29375</v>
      </c>
      <c r="K9" s="8">
        <v>0.30416666666666664</v>
      </c>
      <c r="L9" s="8">
        <v>0.3145833333333333</v>
      </c>
      <c r="M9" s="8">
        <v>0.3236111111111111</v>
      </c>
      <c r="N9" s="8">
        <v>0.3333333333333333</v>
      </c>
      <c r="O9" s="8">
        <v>0.3423611111111111</v>
      </c>
      <c r="P9" s="8">
        <v>0.3527777777777778</v>
      </c>
      <c r="Q9" s="8">
        <v>0.36319444444444443</v>
      </c>
      <c r="R9" s="8">
        <v>0.3909722222222222</v>
      </c>
      <c r="S9" s="8">
        <v>0.41597222222222224</v>
      </c>
      <c r="T9" s="8">
        <v>0.4395833333333333</v>
      </c>
      <c r="U9" s="8">
        <v>0.46458333333333335</v>
      </c>
      <c r="V9" s="8">
        <v>0.48819444444444443</v>
      </c>
      <c r="W9" s="8">
        <v>0.5131944444444444</v>
      </c>
      <c r="X9" s="8">
        <v>0.5368055555555555</v>
      </c>
      <c r="Y9" s="8">
        <v>0.5618055555555556</v>
      </c>
      <c r="Z9" s="8">
        <v>0.5854166666666667</v>
      </c>
      <c r="AA9" s="8">
        <v>0.6104166666666667</v>
      </c>
      <c r="AB9" s="8">
        <v>0.6340277777777777</v>
      </c>
      <c r="AC9" s="8">
        <v>0.6444444444444445</v>
      </c>
      <c r="AD9" s="8">
        <v>0.6548611111111111</v>
      </c>
      <c r="AE9" s="8">
        <v>0.6638888888888889</v>
      </c>
      <c r="AF9" s="8">
        <v>0.6736111111111112</v>
      </c>
      <c r="AG9" s="8">
        <v>0.6826388888888889</v>
      </c>
      <c r="AH9" s="8">
        <v>0.6930555555555555</v>
      </c>
      <c r="AI9" s="8">
        <v>0.7034722222222223</v>
      </c>
      <c r="AJ9" s="8">
        <v>0.7125</v>
      </c>
      <c r="AK9" s="8">
        <v>0.7222222222222222</v>
      </c>
      <c r="AL9" s="8">
        <v>0.73125</v>
      </c>
      <c r="AM9" s="8">
        <v>0.7416666666666667</v>
      </c>
      <c r="AN9" s="8">
        <v>0.7520833333333333</v>
      </c>
      <c r="AO9" s="8">
        <v>0.7611111111111111</v>
      </c>
      <c r="AP9" s="8">
        <v>0.7708333333333334</v>
      </c>
      <c r="AQ9" s="8">
        <v>0.7798611111111111</v>
      </c>
      <c r="AR9" s="8">
        <v>0.7902777777777777</v>
      </c>
      <c r="AS9" s="8">
        <v>0.8</v>
      </c>
      <c r="AT9" s="8">
        <v>0.8131944444444444</v>
      </c>
    </row>
    <row r="10">
      <c r="A10" s="1" t="s">
        <v>158</v>
      </c>
      <c r="B10" s="7" t="s">
        <v>377</v>
      </c>
      <c r="C10" s="8">
        <v>0.22847222222222222</v>
      </c>
      <c r="D10" s="8">
        <v>0.23819444444444443</v>
      </c>
      <c r="E10" s="8">
        <v>0.24722222222222223</v>
      </c>
      <c r="F10" s="8">
        <v>0.25763888888888886</v>
      </c>
      <c r="G10" s="8">
        <v>0.26805555555555555</v>
      </c>
      <c r="H10" s="8">
        <v>0.27708333333333335</v>
      </c>
      <c r="I10" s="8">
        <v>0.28680555555555554</v>
      </c>
      <c r="J10" s="8">
        <v>0.29583333333333334</v>
      </c>
      <c r="K10" s="8">
        <v>0.30625</v>
      </c>
      <c r="L10" s="8">
        <v>0.31666666666666665</v>
      </c>
      <c r="M10" s="8">
        <v>0.32569444444444445</v>
      </c>
      <c r="N10" s="8">
        <v>0.33541666666666664</v>
      </c>
      <c r="O10" s="8">
        <v>0.34444444444444444</v>
      </c>
      <c r="P10" s="8">
        <v>0.3548611111111111</v>
      </c>
      <c r="Q10" s="8">
        <v>0.36527777777777776</v>
      </c>
      <c r="R10" s="8">
        <v>0.39305555555555555</v>
      </c>
      <c r="S10" s="8">
        <v>0.41805555555555557</v>
      </c>
      <c r="T10" s="8">
        <v>0.44166666666666665</v>
      </c>
      <c r="U10" s="8">
        <v>0.4666666666666667</v>
      </c>
      <c r="V10" s="8">
        <v>0.49027777777777776</v>
      </c>
      <c r="W10" s="8">
        <v>0.5152777777777777</v>
      </c>
      <c r="X10" s="8">
        <v>0.5388888888888889</v>
      </c>
      <c r="Y10" s="8">
        <v>0.5638888888888889</v>
      </c>
      <c r="Z10" s="8">
        <v>0.5875</v>
      </c>
      <c r="AA10" s="8">
        <v>0.6125</v>
      </c>
      <c r="AB10" s="8">
        <v>0.6361111111111111</v>
      </c>
      <c r="AC10" s="8">
        <v>0.6465277777777778</v>
      </c>
      <c r="AD10" s="8">
        <v>0.6569444444444444</v>
      </c>
      <c r="AE10" s="8">
        <v>0.6659722222222222</v>
      </c>
      <c r="AF10" s="8">
        <v>0.6756944444444445</v>
      </c>
      <c r="AG10" s="8">
        <v>0.6847222222222222</v>
      </c>
      <c r="AH10" s="8">
        <v>0.6951388888888889</v>
      </c>
      <c r="AI10" s="8">
        <v>0.7055555555555556</v>
      </c>
      <c r="AJ10" s="8">
        <v>0.7145833333333333</v>
      </c>
      <c r="AK10" s="8">
        <v>0.7243055555555555</v>
      </c>
      <c r="AL10" s="8">
        <v>0.7333333333333333</v>
      </c>
      <c r="AM10" s="8">
        <v>0.74375</v>
      </c>
      <c r="AN10" s="8">
        <v>0.7541666666666667</v>
      </c>
      <c r="AO10" s="8">
        <v>0.7631944444444444</v>
      </c>
      <c r="AP10" s="8">
        <v>0.7729166666666667</v>
      </c>
      <c r="AQ10" s="8">
        <v>0.7819444444444444</v>
      </c>
      <c r="AR10" s="8">
        <v>0.7923611111111111</v>
      </c>
      <c r="AS10" s="8">
        <v>0.8020833333333334</v>
      </c>
      <c r="AT10" s="8">
        <v>0.8131944444444444</v>
      </c>
    </row>
    <row r="11">
      <c r="A11" s="7" t="s">
        <v>157</v>
      </c>
      <c r="B11" s="7" t="s">
        <v>378</v>
      </c>
      <c r="C11" s="8">
        <v>0.2326388888888889</v>
      </c>
      <c r="D11" s="8">
        <v>0.2423611111111111</v>
      </c>
      <c r="E11" s="8">
        <v>0.2513888888888889</v>
      </c>
      <c r="F11" s="8">
        <v>0.26180555555555557</v>
      </c>
      <c r="G11" s="8">
        <v>0.2722222222222222</v>
      </c>
      <c r="H11" s="8">
        <v>0.28125</v>
      </c>
      <c r="I11" s="8">
        <v>0.29097222222222224</v>
      </c>
      <c r="J11" s="8">
        <v>0.3</v>
      </c>
      <c r="K11" s="8">
        <v>0.3104166666666667</v>
      </c>
      <c r="L11" s="8">
        <v>0.32083333333333336</v>
      </c>
      <c r="M11" s="8">
        <v>0.3298611111111111</v>
      </c>
      <c r="N11" s="8">
        <v>0.33958333333333335</v>
      </c>
      <c r="O11" s="8">
        <v>0.3486111111111111</v>
      </c>
      <c r="P11" s="8">
        <v>0.3590277777777778</v>
      </c>
      <c r="Q11" s="8">
        <v>0.36944444444444446</v>
      </c>
      <c r="R11" s="8">
        <v>0.3972222222222222</v>
      </c>
      <c r="S11" s="8">
        <v>0.4222222222222222</v>
      </c>
      <c r="T11" s="8">
        <v>0.44583333333333336</v>
      </c>
      <c r="U11" s="8">
        <v>0.4708333333333333</v>
      </c>
      <c r="V11" s="8">
        <v>0.49444444444444446</v>
      </c>
      <c r="W11" s="8">
        <v>0.5194444444444445</v>
      </c>
      <c r="X11" s="8">
        <v>0.5430555555555555</v>
      </c>
      <c r="Y11" s="8">
        <v>0.5680555555555555</v>
      </c>
      <c r="Z11" s="8">
        <v>0.5916666666666667</v>
      </c>
      <c r="AA11" s="8">
        <v>0.6166666666666667</v>
      </c>
      <c r="AB11" s="8">
        <v>0.6402777777777777</v>
      </c>
      <c r="AC11" s="8">
        <v>0.6506944444444445</v>
      </c>
      <c r="AD11" s="8">
        <v>0.6611111111111111</v>
      </c>
      <c r="AE11" s="8">
        <v>0.6701388888888888</v>
      </c>
      <c r="AF11" s="8">
        <v>0.6798611111111111</v>
      </c>
      <c r="AG11" s="8">
        <v>0.6888888888888889</v>
      </c>
      <c r="AH11" s="8">
        <v>0.6993055555555555</v>
      </c>
      <c r="AI11" s="8">
        <v>0.7097222222222223</v>
      </c>
      <c r="AJ11" s="8">
        <v>0.71875</v>
      </c>
      <c r="AK11" s="8">
        <v>0.7284722222222222</v>
      </c>
      <c r="AL11" s="8">
        <v>0.7375</v>
      </c>
      <c r="AM11" s="8">
        <v>0.7479166666666667</v>
      </c>
      <c r="AN11" s="8">
        <v>0.7583333333333333</v>
      </c>
      <c r="AO11" s="8">
        <v>0.7673611111111112</v>
      </c>
      <c r="AP11" s="8">
        <v>0.7770833333333333</v>
      </c>
      <c r="AQ11" s="8">
        <v>0.7861111111111111</v>
      </c>
      <c r="AR11" s="8">
        <v>0.7965277777777777</v>
      </c>
      <c r="AS11" s="8">
        <v>0.80625</v>
      </c>
      <c r="AT11" s="8">
        <v>0.8194444444444444</v>
      </c>
    </row>
    <row r="12">
      <c r="A12" s="7" t="s">
        <v>156</v>
      </c>
      <c r="B12" s="7" t="s">
        <v>379</v>
      </c>
      <c r="C12" s="8">
        <v>0.23402777777777778</v>
      </c>
      <c r="D12" s="8">
        <v>0.24375</v>
      </c>
      <c r="E12" s="8">
        <v>0.25277777777777777</v>
      </c>
      <c r="F12" s="8">
        <v>0.26319444444444445</v>
      </c>
      <c r="G12" s="8">
        <v>0.27361111111111114</v>
      </c>
      <c r="H12" s="8">
        <v>0.2826388888888889</v>
      </c>
      <c r="I12" s="8">
        <v>0.2923611111111111</v>
      </c>
      <c r="J12" s="8">
        <v>0.3013888888888889</v>
      </c>
      <c r="K12" s="8">
        <v>0.31180555555555556</v>
      </c>
      <c r="L12" s="8">
        <v>0.32222222222222224</v>
      </c>
      <c r="M12" s="8">
        <v>0.33125</v>
      </c>
      <c r="N12" s="8">
        <v>0.34097222222222223</v>
      </c>
      <c r="O12" s="8">
        <v>0.35</v>
      </c>
      <c r="P12" s="8">
        <v>0.36041666666666666</v>
      </c>
      <c r="Q12" s="8">
        <v>0.37083333333333335</v>
      </c>
      <c r="R12" s="8">
        <v>0.39861111111111114</v>
      </c>
      <c r="S12" s="8">
        <v>0.4236111111111111</v>
      </c>
      <c r="T12" s="8">
        <v>0.44722222222222224</v>
      </c>
      <c r="U12" s="8">
        <v>0.4722222222222222</v>
      </c>
      <c r="V12" s="8">
        <v>0.49583333333333335</v>
      </c>
      <c r="W12" s="8">
        <v>0.5208333333333334</v>
      </c>
      <c r="X12" s="8">
        <v>0.5444444444444444</v>
      </c>
      <c r="Y12" s="8">
        <v>0.5694444444444444</v>
      </c>
      <c r="Z12" s="8">
        <v>0.5930555555555556</v>
      </c>
      <c r="AA12" s="8">
        <v>0.6180555555555556</v>
      </c>
      <c r="AB12" s="8">
        <v>0.6416666666666667</v>
      </c>
      <c r="AC12" s="8">
        <v>0.6520833333333333</v>
      </c>
      <c r="AD12" s="8">
        <v>0.6625</v>
      </c>
      <c r="AE12" s="8">
        <v>0.6715277777777777</v>
      </c>
      <c r="AF12" s="8">
        <v>0.68125</v>
      </c>
      <c r="AG12" s="8">
        <v>0.6902777777777778</v>
      </c>
      <c r="AH12" s="8">
        <v>0.7006944444444444</v>
      </c>
      <c r="AI12" s="8">
        <v>0.7111111111111111</v>
      </c>
      <c r="AJ12" s="8">
        <v>0.7201388888888889</v>
      </c>
      <c r="AK12" s="8">
        <v>0.7298611111111111</v>
      </c>
      <c r="AL12" s="8">
        <v>0.7388888888888889</v>
      </c>
      <c r="AM12" s="8">
        <v>0.7493055555555556</v>
      </c>
      <c r="AN12" s="8">
        <v>0.7597222222222222</v>
      </c>
      <c r="AO12" s="8">
        <v>0.76875</v>
      </c>
      <c r="AP12" s="8">
        <v>0.7784722222222222</v>
      </c>
      <c r="AQ12" s="8">
        <v>0.7875</v>
      </c>
      <c r="AR12" s="8">
        <v>0.7979166666666667</v>
      </c>
      <c r="AS12" s="8">
        <v>0.8076388888888889</v>
      </c>
      <c r="AT12" s="8">
        <v>0.8208333333333333</v>
      </c>
    </row>
    <row r="13">
      <c r="A13" s="1" t="s">
        <v>155</v>
      </c>
      <c r="B13" s="7" t="s">
        <v>380</v>
      </c>
      <c r="C13" s="8">
        <v>0.2361111111111111</v>
      </c>
      <c r="D13" s="8">
        <v>0.24583333333333332</v>
      </c>
      <c r="E13" s="8">
        <v>0.2548611111111111</v>
      </c>
      <c r="F13" s="8">
        <v>0.2652777777777778</v>
      </c>
      <c r="G13" s="8">
        <v>0.27569444444444446</v>
      </c>
      <c r="H13" s="8">
        <v>0.2847222222222222</v>
      </c>
      <c r="I13" s="8">
        <v>0.29444444444444445</v>
      </c>
      <c r="J13" s="8">
        <v>0.3034722222222222</v>
      </c>
      <c r="K13" s="8">
        <v>0.3138888888888889</v>
      </c>
      <c r="L13" s="8">
        <v>0.32430555555555557</v>
      </c>
      <c r="M13" s="8">
        <v>0.3333333333333333</v>
      </c>
      <c r="N13" s="8">
        <v>0.34305555555555556</v>
      </c>
      <c r="O13" s="8">
        <v>0.35208333333333336</v>
      </c>
      <c r="P13" s="8">
        <v>0.3625</v>
      </c>
      <c r="Q13" s="8">
        <v>0.3729166666666667</v>
      </c>
      <c r="R13" s="8">
        <v>0.40069444444444446</v>
      </c>
      <c r="S13" s="8">
        <v>0.42569444444444443</v>
      </c>
      <c r="T13" s="8">
        <v>0.44930555555555557</v>
      </c>
      <c r="U13" s="8">
        <v>0.47430555555555554</v>
      </c>
      <c r="V13" s="8">
        <v>0.4979166666666667</v>
      </c>
      <c r="W13" s="8">
        <v>0.5229166666666667</v>
      </c>
      <c r="X13" s="8">
        <v>0.5465277777777777</v>
      </c>
      <c r="Y13" s="8">
        <v>0.5715277777777777</v>
      </c>
      <c r="Z13" s="8">
        <v>0.5951388888888889</v>
      </c>
      <c r="AA13" s="8">
        <v>0.6201388888888889</v>
      </c>
      <c r="AB13" s="8">
        <v>0.64375</v>
      </c>
      <c r="AC13" s="8">
        <v>0.6541666666666667</v>
      </c>
      <c r="AD13" s="8">
        <v>0.6645833333333333</v>
      </c>
      <c r="AE13" s="8">
        <v>0.6736111111111112</v>
      </c>
      <c r="AF13" s="8">
        <v>0.6833333333333333</v>
      </c>
      <c r="AG13" s="8">
        <v>0.6923611111111111</v>
      </c>
      <c r="AH13" s="8">
        <v>0.7027777777777777</v>
      </c>
      <c r="AI13" s="8">
        <v>0.7131944444444445</v>
      </c>
      <c r="AJ13" s="8">
        <v>0.7222222222222222</v>
      </c>
      <c r="AK13" s="8">
        <v>0.7319444444444444</v>
      </c>
      <c r="AL13" s="8">
        <v>0.7409722222222223</v>
      </c>
      <c r="AM13" s="8">
        <v>0.7513888888888889</v>
      </c>
      <c r="AN13" s="8">
        <v>0.7618055555555555</v>
      </c>
      <c r="AO13" s="8">
        <v>0.7708333333333334</v>
      </c>
      <c r="AP13" s="8">
        <v>0.7805555555555556</v>
      </c>
      <c r="AQ13" s="8">
        <v>0.7895833333333333</v>
      </c>
      <c r="AR13" s="8">
        <v>0.8</v>
      </c>
      <c r="AS13" s="8">
        <v>0.8097222222222222</v>
      </c>
      <c r="AT13" s="8">
        <v>0.8229166666666666</v>
      </c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</row>
    <row r="16">
      <c r="A16" s="11"/>
      <c r="B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</row>
    <row r="17">
      <c r="A17" s="13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>
      <c r="A19" s="1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</row>
    <row r="20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>
      <c r="A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>
      <c r="A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>
      <c r="A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>
      <c r="A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>
      <c r="A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>
      <c r="A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>
      <c r="A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>
      <c r="A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>
      <c r="A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46170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84" t="s">
        <v>381</v>
      </c>
      <c r="D2" s="184" t="s">
        <v>382</v>
      </c>
      <c r="E2" s="184" t="s">
        <v>383</v>
      </c>
      <c r="F2" s="184" t="s">
        <v>384</v>
      </c>
      <c r="G2" s="184" t="s">
        <v>385</v>
      </c>
      <c r="H2" s="184" t="s">
        <v>386</v>
      </c>
      <c r="I2" s="184" t="s">
        <v>387</v>
      </c>
      <c r="J2" s="184" t="s">
        <v>388</v>
      </c>
      <c r="K2" s="184" t="s">
        <v>389</v>
      </c>
      <c r="L2" s="184" t="s">
        <v>390</v>
      </c>
      <c r="M2" s="184" t="s">
        <v>391</v>
      </c>
      <c r="N2" s="184" t="s">
        <v>392</v>
      </c>
      <c r="O2" s="184" t="s">
        <v>393</v>
      </c>
      <c r="P2" s="184" t="s">
        <v>394</v>
      </c>
      <c r="Q2" s="184" t="s">
        <v>395</v>
      </c>
      <c r="R2" s="184" t="s">
        <v>396</v>
      </c>
      <c r="S2" s="184" t="s">
        <v>397</v>
      </c>
      <c r="T2" s="184" t="s">
        <v>398</v>
      </c>
      <c r="U2" s="184" t="s">
        <v>399</v>
      </c>
      <c r="V2" s="184" t="s">
        <v>400</v>
      </c>
      <c r="W2" s="184" t="s">
        <v>401</v>
      </c>
      <c r="X2" s="184" t="s">
        <v>402</v>
      </c>
      <c r="Y2" s="184" t="s">
        <v>403</v>
      </c>
      <c r="Z2" s="184" t="s">
        <v>404</v>
      </c>
      <c r="AA2" s="184" t="s">
        <v>405</v>
      </c>
      <c r="AB2" s="184" t="s">
        <v>406</v>
      </c>
      <c r="AC2" s="184" t="s">
        <v>407</v>
      </c>
      <c r="AD2" s="184" t="s">
        <v>408</v>
      </c>
      <c r="AE2" s="184" t="s">
        <v>409</v>
      </c>
      <c r="AF2" s="184" t="s">
        <v>410</v>
      </c>
      <c r="AG2" s="184" t="s">
        <v>411</v>
      </c>
      <c r="AH2" s="184" t="s">
        <v>412</v>
      </c>
      <c r="AI2" s="184" t="s">
        <v>413</v>
      </c>
      <c r="AJ2" s="184" t="s">
        <v>414</v>
      </c>
      <c r="AK2" s="184" t="s">
        <v>415</v>
      </c>
      <c r="AL2" s="184" t="s">
        <v>416</v>
      </c>
      <c r="AM2" s="184" t="s">
        <v>417</v>
      </c>
      <c r="AN2" s="184" t="s">
        <v>418</v>
      </c>
      <c r="AO2" s="184" t="s">
        <v>419</v>
      </c>
      <c r="AP2" s="184" t="s">
        <v>420</v>
      </c>
      <c r="AQ2" s="184" t="s">
        <v>421</v>
      </c>
      <c r="AR2" s="184" t="s">
        <v>422</v>
      </c>
      <c r="AS2" s="184" t="s">
        <v>423</v>
      </c>
      <c r="AT2" s="184" t="s">
        <v>424</v>
      </c>
    </row>
    <row r="3">
      <c r="A3" s="4" t="s">
        <v>155</v>
      </c>
      <c r="B3" s="5" t="s">
        <v>380</v>
      </c>
      <c r="C3" s="6">
        <v>0.19444444444444445</v>
      </c>
      <c r="D3" s="6">
        <v>0.20416666666666666</v>
      </c>
      <c r="E3" s="6">
        <v>0.21319444444444444</v>
      </c>
      <c r="F3" s="6">
        <v>0.22361111111111112</v>
      </c>
      <c r="G3" s="6">
        <v>0.23402777777777778</v>
      </c>
      <c r="H3" s="6">
        <v>0.24305555555555555</v>
      </c>
      <c r="I3" s="6">
        <v>0.25277777777777777</v>
      </c>
      <c r="J3" s="6">
        <v>0.26180555555555557</v>
      </c>
      <c r="K3" s="6">
        <v>0.2722222222222222</v>
      </c>
      <c r="L3" s="6">
        <v>0.2826388888888889</v>
      </c>
      <c r="M3" s="6">
        <v>0.2916666666666667</v>
      </c>
      <c r="N3" s="6">
        <v>0.3013888888888889</v>
      </c>
      <c r="O3" s="6">
        <v>0.3104166666666667</v>
      </c>
      <c r="P3" s="6">
        <v>0.32083333333333336</v>
      </c>
      <c r="Q3" s="6">
        <v>0.33125</v>
      </c>
      <c r="R3" s="6">
        <v>0.3402777777777778</v>
      </c>
      <c r="S3" s="6">
        <v>0.35</v>
      </c>
      <c r="T3" s="6">
        <v>0.3590277777777778</v>
      </c>
      <c r="U3" s="6">
        <v>0.36944444444444446</v>
      </c>
      <c r="V3" s="6">
        <v>0.3798611111111111</v>
      </c>
      <c r="W3" s="6">
        <v>0.4076388888888889</v>
      </c>
      <c r="X3" s="6">
        <v>0.4326388888888889</v>
      </c>
      <c r="Y3" s="6">
        <v>0.45625</v>
      </c>
      <c r="Z3" s="6">
        <v>0.48125</v>
      </c>
      <c r="AA3" s="6">
        <v>0.5048611111111111</v>
      </c>
      <c r="AB3" s="6">
        <v>0.5298611111111111</v>
      </c>
      <c r="AC3" s="6">
        <v>0.5534722222222223</v>
      </c>
      <c r="AD3" s="6">
        <v>0.5784722222222223</v>
      </c>
      <c r="AE3" s="6">
        <v>0.6020833333333333</v>
      </c>
      <c r="AF3" s="6">
        <v>0.6319444444444444</v>
      </c>
      <c r="AG3" s="6">
        <v>0.6506944444444445</v>
      </c>
      <c r="AH3" s="6">
        <v>0.6611111111111111</v>
      </c>
      <c r="AI3" s="6">
        <v>0.6715277777777777</v>
      </c>
      <c r="AJ3" s="6">
        <v>0.6805555555555556</v>
      </c>
      <c r="AK3" s="6">
        <v>0.6902777777777778</v>
      </c>
      <c r="AL3" s="6">
        <v>0.6993055555555555</v>
      </c>
      <c r="AM3" s="6">
        <v>0.7097222222222223</v>
      </c>
      <c r="AN3" s="6">
        <v>0.7201388888888889</v>
      </c>
      <c r="AO3" s="6">
        <v>0.7291666666666666</v>
      </c>
      <c r="AP3" s="6">
        <v>0.7388888888888889</v>
      </c>
      <c r="AQ3" s="6">
        <v>0.7479166666666667</v>
      </c>
      <c r="AR3" s="6">
        <v>0.7583333333333333</v>
      </c>
      <c r="AS3" s="6">
        <v>0.76875</v>
      </c>
      <c r="AT3" s="6">
        <v>0.7777777777777778</v>
      </c>
    </row>
    <row r="4">
      <c r="A4" s="1" t="s">
        <v>156</v>
      </c>
      <c r="B4" s="8" t="s">
        <v>379</v>
      </c>
      <c r="C4" s="107">
        <v>0.19652777777777777</v>
      </c>
      <c r="D4" s="107">
        <v>0.20625</v>
      </c>
      <c r="E4" s="107">
        <v>0.2152777777777778</v>
      </c>
      <c r="F4" s="107">
        <v>0.22569444444444445</v>
      </c>
      <c r="G4" s="107">
        <v>0.2361111111111111</v>
      </c>
      <c r="H4" s="107">
        <v>0.24513888888888888</v>
      </c>
      <c r="I4" s="107">
        <v>0.2548611111111111</v>
      </c>
      <c r="J4" s="107">
        <v>0.2638888888888889</v>
      </c>
      <c r="K4" s="107">
        <v>0.2743055555555556</v>
      </c>
      <c r="L4" s="107">
        <v>0.2847222222222222</v>
      </c>
      <c r="M4" s="107">
        <v>0.29375</v>
      </c>
      <c r="N4" s="107">
        <v>0.3034722222222222</v>
      </c>
      <c r="O4" s="107">
        <v>0.3125</v>
      </c>
      <c r="P4" s="107">
        <v>0.3229166666666667</v>
      </c>
      <c r="Q4" s="107">
        <v>0.3333333333333333</v>
      </c>
      <c r="R4" s="107">
        <v>0.3423611111111111</v>
      </c>
      <c r="S4" s="107">
        <v>0.35208333333333336</v>
      </c>
      <c r="T4" s="107">
        <v>0.3611111111111111</v>
      </c>
      <c r="U4" s="107">
        <v>0.3715277777777778</v>
      </c>
      <c r="V4" s="107">
        <v>0.3819444444444444</v>
      </c>
      <c r="W4" s="107">
        <v>0.4097222222222222</v>
      </c>
      <c r="X4" s="107">
        <v>0.43472222222222223</v>
      </c>
      <c r="Y4" s="107">
        <v>0.4583333333333333</v>
      </c>
      <c r="Z4" s="107">
        <v>0.48333333333333334</v>
      </c>
      <c r="AA4" s="107">
        <v>0.5069444444444444</v>
      </c>
      <c r="AB4" s="8">
        <v>0.5319444444444444</v>
      </c>
      <c r="AC4" s="8">
        <v>0.5555555555555556</v>
      </c>
      <c r="AD4" s="8">
        <v>0.5805555555555556</v>
      </c>
      <c r="AE4" s="8">
        <v>0.6041666666666666</v>
      </c>
      <c r="AF4" s="8">
        <v>0.6340277777777777</v>
      </c>
      <c r="AG4" s="8">
        <v>0.6527777777777778</v>
      </c>
      <c r="AH4" s="8">
        <v>0.6631944444444444</v>
      </c>
      <c r="AI4" s="8">
        <v>0.6736111111111112</v>
      </c>
      <c r="AJ4" s="8">
        <v>0.6826388888888889</v>
      </c>
      <c r="AK4" s="8">
        <v>0.6923611111111111</v>
      </c>
      <c r="AL4" s="8">
        <v>0.7013888888888888</v>
      </c>
      <c r="AM4" s="8">
        <v>0.7118055555555556</v>
      </c>
      <c r="AN4" s="8">
        <v>0.7222222222222222</v>
      </c>
      <c r="AO4" s="8">
        <v>0.73125</v>
      </c>
      <c r="AP4" s="8">
        <v>0.7409722222222223</v>
      </c>
      <c r="AQ4" s="8">
        <v>0.75</v>
      </c>
      <c r="AR4" s="8">
        <v>0.7604166666666666</v>
      </c>
      <c r="AS4" s="8">
        <v>0.7708333333333334</v>
      </c>
      <c r="AT4" s="8">
        <v>0.7798611111111111</v>
      </c>
    </row>
    <row r="5">
      <c r="A5" s="1" t="s">
        <v>157</v>
      </c>
      <c r="B5" s="8" t="s">
        <v>378</v>
      </c>
      <c r="C5" s="107">
        <v>0.19791666666666666</v>
      </c>
      <c r="D5" s="107">
        <v>0.2076388888888889</v>
      </c>
      <c r="E5" s="107">
        <v>0.21666666666666667</v>
      </c>
      <c r="F5" s="107">
        <v>0.22708333333333333</v>
      </c>
      <c r="G5" s="107">
        <v>0.2375</v>
      </c>
      <c r="H5" s="107">
        <v>0.2465277777777778</v>
      </c>
      <c r="I5" s="107">
        <v>0.25625</v>
      </c>
      <c r="J5" s="107">
        <v>0.2652777777777778</v>
      </c>
      <c r="K5" s="107">
        <v>0.27569444444444446</v>
      </c>
      <c r="L5" s="107">
        <v>0.2861111111111111</v>
      </c>
      <c r="M5" s="107">
        <v>0.2951388888888889</v>
      </c>
      <c r="N5" s="107">
        <v>0.30486111111111114</v>
      </c>
      <c r="O5" s="107">
        <v>0.3138888888888889</v>
      </c>
      <c r="P5" s="107">
        <v>0.32430555555555557</v>
      </c>
      <c r="Q5" s="107">
        <v>0.3347222222222222</v>
      </c>
      <c r="R5" s="107">
        <v>0.34375</v>
      </c>
      <c r="S5" s="107">
        <v>0.35347222222222224</v>
      </c>
      <c r="T5" s="107">
        <v>0.3625</v>
      </c>
      <c r="U5" s="107">
        <v>0.3729166666666667</v>
      </c>
      <c r="V5" s="107">
        <v>0.38333333333333336</v>
      </c>
      <c r="W5" s="107">
        <v>0.4111111111111111</v>
      </c>
      <c r="X5" s="107">
        <v>0.4361111111111111</v>
      </c>
      <c r="Y5" s="107">
        <v>0.4597222222222222</v>
      </c>
      <c r="Z5" s="107">
        <v>0.4847222222222222</v>
      </c>
      <c r="AA5" s="107">
        <v>0.5083333333333333</v>
      </c>
      <c r="AB5" s="8">
        <v>0.5333333333333333</v>
      </c>
      <c r="AC5" s="8">
        <v>0.5569444444444445</v>
      </c>
      <c r="AD5" s="8">
        <v>0.5819444444444445</v>
      </c>
      <c r="AE5" s="8">
        <v>0.6055555555555555</v>
      </c>
      <c r="AF5" s="8">
        <v>0.6354166666666666</v>
      </c>
      <c r="AG5" s="8">
        <v>0.6541666666666667</v>
      </c>
      <c r="AH5" s="8">
        <v>0.6645833333333333</v>
      </c>
      <c r="AI5" s="8">
        <v>0.675</v>
      </c>
      <c r="AJ5" s="8">
        <v>0.6840277777777778</v>
      </c>
      <c r="AK5" s="8">
        <v>0.69375</v>
      </c>
      <c r="AL5" s="8">
        <v>0.7027777777777777</v>
      </c>
      <c r="AM5" s="8">
        <v>0.7131944444444445</v>
      </c>
      <c r="AN5" s="8">
        <v>0.7236111111111111</v>
      </c>
      <c r="AO5" s="8">
        <v>0.7326388888888888</v>
      </c>
      <c r="AP5" s="8">
        <v>0.7423611111111111</v>
      </c>
      <c r="AQ5" s="8">
        <v>0.7513888888888889</v>
      </c>
      <c r="AR5" s="8">
        <v>0.7618055555555555</v>
      </c>
      <c r="AS5" s="8">
        <v>0.7722222222222223</v>
      </c>
      <c r="AT5" s="8">
        <v>0.78125</v>
      </c>
    </row>
    <row r="6">
      <c r="A6" s="7" t="s">
        <v>158</v>
      </c>
      <c r="B6" s="8" t="s">
        <v>377</v>
      </c>
      <c r="C6" s="8">
        <v>0.20277777777777778</v>
      </c>
      <c r="D6" s="8">
        <v>0.2125</v>
      </c>
      <c r="E6" s="8">
        <v>0.22152777777777777</v>
      </c>
      <c r="F6" s="8">
        <v>0.23194444444444445</v>
      </c>
      <c r="G6" s="8">
        <v>0.2423611111111111</v>
      </c>
      <c r="H6" s="8">
        <v>0.2513888888888889</v>
      </c>
      <c r="I6" s="8">
        <v>0.2611111111111111</v>
      </c>
      <c r="J6" s="8">
        <v>0.2701388888888889</v>
      </c>
      <c r="K6" s="8">
        <v>0.28055555555555556</v>
      </c>
      <c r="L6" s="8">
        <v>0.29097222222222224</v>
      </c>
      <c r="M6" s="8">
        <v>0.3</v>
      </c>
      <c r="N6" s="8">
        <v>0.30972222222222223</v>
      </c>
      <c r="O6" s="8">
        <v>0.31875</v>
      </c>
      <c r="P6" s="8">
        <v>0.32916666666666666</v>
      </c>
      <c r="Q6" s="8">
        <v>0.33958333333333335</v>
      </c>
      <c r="R6" s="8">
        <v>0.3486111111111111</v>
      </c>
      <c r="S6" s="8">
        <v>0.35833333333333334</v>
      </c>
      <c r="T6" s="8">
        <v>0.36736111111111114</v>
      </c>
      <c r="U6" s="8">
        <v>0.37777777777777777</v>
      </c>
      <c r="V6" s="8">
        <v>0.38819444444444445</v>
      </c>
      <c r="W6" s="8">
        <v>0.41597222222222224</v>
      </c>
      <c r="X6" s="8">
        <v>0.4409722222222222</v>
      </c>
      <c r="Y6" s="8">
        <v>0.46458333333333335</v>
      </c>
      <c r="Z6" s="8">
        <v>0.4895833333333333</v>
      </c>
      <c r="AA6" s="8">
        <v>0.5131944444444444</v>
      </c>
      <c r="AB6" s="8">
        <v>0.5381944444444444</v>
      </c>
      <c r="AC6" s="8">
        <v>0.5618055555555556</v>
      </c>
      <c r="AD6" s="8">
        <v>0.5868055555555556</v>
      </c>
      <c r="AE6" s="8">
        <v>0.6104166666666667</v>
      </c>
      <c r="AF6" s="8">
        <v>0.6402777777777777</v>
      </c>
      <c r="AG6" s="8">
        <v>0.6590277777777778</v>
      </c>
      <c r="AH6" s="8">
        <v>0.6694444444444444</v>
      </c>
      <c r="AI6" s="8">
        <v>0.6798611111111111</v>
      </c>
      <c r="AJ6" s="8">
        <v>0.6888888888888889</v>
      </c>
      <c r="AK6" s="8">
        <v>0.6986111111111111</v>
      </c>
      <c r="AL6" s="8">
        <v>0.7076388888888889</v>
      </c>
      <c r="AM6" s="8">
        <v>0.7180555555555556</v>
      </c>
      <c r="AN6" s="8">
        <v>0.7284722222222222</v>
      </c>
      <c r="AO6" s="8">
        <v>0.7375</v>
      </c>
      <c r="AP6" s="8">
        <v>0.7472222222222222</v>
      </c>
      <c r="AQ6" s="8">
        <v>0.75625</v>
      </c>
      <c r="AR6" s="8">
        <v>0.7666666666666667</v>
      </c>
      <c r="AS6" s="8">
        <v>0.7770833333333333</v>
      </c>
      <c r="AT6" s="8">
        <v>0.7861111111111111</v>
      </c>
    </row>
    <row r="7">
      <c r="A7" s="7" t="s">
        <v>159</v>
      </c>
      <c r="B7" s="8" t="s">
        <v>376</v>
      </c>
      <c r="C7" s="8">
        <v>0.20416666666666666</v>
      </c>
      <c r="D7" s="8">
        <v>0.21388888888888888</v>
      </c>
      <c r="E7" s="8">
        <v>0.22291666666666668</v>
      </c>
      <c r="F7" s="8">
        <v>0.23333333333333334</v>
      </c>
      <c r="G7" s="8">
        <v>0.24375</v>
      </c>
      <c r="H7" s="8">
        <v>0.25277777777777777</v>
      </c>
      <c r="I7" s="8">
        <v>0.2625</v>
      </c>
      <c r="J7" s="8">
        <v>0.27152777777777776</v>
      </c>
      <c r="K7" s="8">
        <v>0.28194444444444444</v>
      </c>
      <c r="L7" s="8">
        <v>0.2923611111111111</v>
      </c>
      <c r="M7" s="8">
        <v>0.3013888888888889</v>
      </c>
      <c r="N7" s="8">
        <v>0.3111111111111111</v>
      </c>
      <c r="O7" s="8">
        <v>0.32013888888888886</v>
      </c>
      <c r="P7" s="8">
        <v>0.33055555555555555</v>
      </c>
      <c r="Q7" s="8">
        <v>0.34097222222222223</v>
      </c>
      <c r="R7" s="8">
        <v>0.35</v>
      </c>
      <c r="S7" s="8">
        <v>0.3597222222222222</v>
      </c>
      <c r="T7" s="8">
        <v>0.36875</v>
      </c>
      <c r="U7" s="8">
        <v>0.37916666666666665</v>
      </c>
      <c r="V7" s="8">
        <v>0.38958333333333334</v>
      </c>
      <c r="W7" s="8">
        <v>0.4173611111111111</v>
      </c>
      <c r="X7" s="8">
        <v>0.4423611111111111</v>
      </c>
      <c r="Y7" s="8">
        <v>0.46597222222222223</v>
      </c>
      <c r="Z7" s="8">
        <v>0.4909722222222222</v>
      </c>
      <c r="AA7" s="8">
        <v>0.5145833333333333</v>
      </c>
      <c r="AB7" s="8">
        <v>0.5395833333333333</v>
      </c>
      <c r="AC7" s="8">
        <v>0.5631944444444444</v>
      </c>
      <c r="AD7" s="8">
        <v>0.5881944444444445</v>
      </c>
      <c r="AE7" s="8">
        <v>0.6118055555555556</v>
      </c>
      <c r="AF7" s="8">
        <v>0.6416666666666667</v>
      </c>
      <c r="AG7" s="8">
        <v>0.6604166666666667</v>
      </c>
      <c r="AH7" s="8">
        <v>0.6708333333333333</v>
      </c>
      <c r="AI7" s="8">
        <v>0.68125</v>
      </c>
      <c r="AJ7" s="8">
        <v>0.6902777777777778</v>
      </c>
      <c r="AK7" s="8">
        <v>0.7</v>
      </c>
      <c r="AL7" s="8">
        <v>0.7090277777777778</v>
      </c>
      <c r="AM7" s="8">
        <v>0.7194444444444444</v>
      </c>
      <c r="AN7" s="8">
        <v>0.7298611111111111</v>
      </c>
      <c r="AO7" s="8">
        <v>0.7388888888888889</v>
      </c>
      <c r="AP7" s="8">
        <v>0.7486111111111111</v>
      </c>
      <c r="AQ7" s="8">
        <v>0.7576388888888889</v>
      </c>
      <c r="AR7" s="8">
        <v>0.7680555555555556</v>
      </c>
      <c r="AS7" s="8">
        <v>0.7784722222222222</v>
      </c>
      <c r="AT7" s="8">
        <v>0.7875</v>
      </c>
    </row>
    <row r="8">
      <c r="A8" s="7" t="s">
        <v>160</v>
      </c>
      <c r="B8" s="8" t="s">
        <v>375</v>
      </c>
      <c r="C8" s="8">
        <v>0.20555555555555555</v>
      </c>
      <c r="D8" s="8">
        <v>0.2152777777777778</v>
      </c>
      <c r="E8" s="8">
        <v>0.22430555555555556</v>
      </c>
      <c r="F8" s="8">
        <v>0.23472222222222222</v>
      </c>
      <c r="G8" s="8">
        <v>0.24513888888888888</v>
      </c>
      <c r="H8" s="8">
        <v>0.25416666666666665</v>
      </c>
      <c r="I8" s="8">
        <v>0.2638888888888889</v>
      </c>
      <c r="J8" s="8">
        <v>0.27291666666666664</v>
      </c>
      <c r="K8" s="8">
        <v>0.2833333333333333</v>
      </c>
      <c r="L8" s="8">
        <v>0.29375</v>
      </c>
      <c r="M8" s="8">
        <v>0.30277777777777776</v>
      </c>
      <c r="N8" s="8">
        <v>0.3125</v>
      </c>
      <c r="O8" s="8">
        <v>0.3215277777777778</v>
      </c>
      <c r="P8" s="8">
        <v>0.33194444444444443</v>
      </c>
      <c r="Q8" s="8">
        <v>0.3423611111111111</v>
      </c>
      <c r="R8" s="8">
        <v>0.35138888888888886</v>
      </c>
      <c r="S8" s="8">
        <v>0.3611111111111111</v>
      </c>
      <c r="T8" s="8">
        <v>0.3701388888888889</v>
      </c>
      <c r="U8" s="8">
        <v>0.38055555555555554</v>
      </c>
      <c r="V8" s="8">
        <v>0.3909722222222222</v>
      </c>
      <c r="W8" s="8">
        <v>0.41875</v>
      </c>
      <c r="X8" s="8">
        <v>0.44375</v>
      </c>
      <c r="Y8" s="8">
        <v>0.4673611111111111</v>
      </c>
      <c r="Z8" s="8">
        <v>0.49236111111111114</v>
      </c>
      <c r="AA8" s="8">
        <v>0.5159722222222223</v>
      </c>
      <c r="AB8" s="8">
        <v>0.5409722222222222</v>
      </c>
      <c r="AC8" s="8">
        <v>0.5645833333333333</v>
      </c>
      <c r="AD8" s="8">
        <v>0.5895833333333333</v>
      </c>
      <c r="AE8" s="8">
        <v>0.6131944444444445</v>
      </c>
      <c r="AF8" s="8">
        <v>0.6430555555555556</v>
      </c>
      <c r="AG8" s="8">
        <v>0.6618055555555555</v>
      </c>
      <c r="AH8" s="8">
        <v>0.6722222222222223</v>
      </c>
      <c r="AI8" s="8">
        <v>0.6826388888888889</v>
      </c>
      <c r="AJ8" s="8">
        <v>0.6916666666666667</v>
      </c>
      <c r="AK8" s="8">
        <v>0.7013888888888888</v>
      </c>
      <c r="AL8" s="8">
        <v>0.7104166666666667</v>
      </c>
      <c r="AM8" s="8">
        <v>0.7208333333333333</v>
      </c>
      <c r="AN8" s="8">
        <v>0.73125</v>
      </c>
      <c r="AO8" s="8">
        <v>0.7402777777777778</v>
      </c>
      <c r="AP8" s="8">
        <v>0.75</v>
      </c>
      <c r="AQ8" s="8">
        <v>0.7590277777777777</v>
      </c>
      <c r="AR8" s="8">
        <v>0.7694444444444445</v>
      </c>
      <c r="AS8" s="8">
        <v>0.7798611111111111</v>
      </c>
      <c r="AT8" s="8">
        <v>0.7888888888888889</v>
      </c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>
      <c r="A10" s="1" t="s">
        <v>22</v>
      </c>
      <c r="B10" s="8" t="s">
        <v>23</v>
      </c>
      <c r="C10" s="8">
        <v>0.20833333333333334</v>
      </c>
      <c r="D10" s="8">
        <v>0.21805555555555556</v>
      </c>
      <c r="E10" s="8">
        <v>0.22708333333333333</v>
      </c>
      <c r="F10" s="8">
        <v>0.2375</v>
      </c>
      <c r="G10" s="8">
        <v>0.24791666666666667</v>
      </c>
      <c r="H10" s="8">
        <v>0.2569444444444444</v>
      </c>
      <c r="I10" s="8">
        <v>0.26666666666666666</v>
      </c>
      <c r="J10" s="8">
        <v>0.27569444444444446</v>
      </c>
      <c r="K10" s="8">
        <v>0.2861111111111111</v>
      </c>
      <c r="L10" s="8">
        <v>0.2965277777777778</v>
      </c>
      <c r="M10" s="8">
        <v>0.3055555555555556</v>
      </c>
      <c r="N10" s="8">
        <v>0.31527777777777777</v>
      </c>
      <c r="O10" s="8">
        <v>0.32430555555555557</v>
      </c>
      <c r="P10" s="8">
        <v>0.3347222222222222</v>
      </c>
      <c r="Q10" s="8">
        <v>0.3451388888888889</v>
      </c>
      <c r="R10" s="8">
        <v>0.3541666666666667</v>
      </c>
      <c r="S10" s="8">
        <v>0.3638888888888889</v>
      </c>
      <c r="T10" s="8">
        <v>0.3729166666666667</v>
      </c>
      <c r="U10" s="8">
        <v>0.38333333333333336</v>
      </c>
      <c r="V10" s="8">
        <v>0.39375</v>
      </c>
      <c r="W10" s="8">
        <v>0.4215277777777778</v>
      </c>
      <c r="X10" s="8">
        <v>0.4465277777777778</v>
      </c>
      <c r="Y10" s="8">
        <v>0.4701388888888889</v>
      </c>
      <c r="Z10" s="8">
        <v>0.4951388888888889</v>
      </c>
      <c r="AA10" s="8">
        <v>0.51875</v>
      </c>
      <c r="AB10" s="8">
        <v>0.54375</v>
      </c>
      <c r="AC10" s="8">
        <v>0.5673611111111111</v>
      </c>
      <c r="AD10" s="8">
        <v>0.5923611111111111</v>
      </c>
      <c r="AE10" s="8">
        <v>0.6159722222222223</v>
      </c>
      <c r="AF10" s="8">
        <v>0.6458333333333334</v>
      </c>
      <c r="AG10" s="8">
        <v>0.6645833333333333</v>
      </c>
      <c r="AH10" s="8">
        <v>0.675</v>
      </c>
      <c r="AI10" s="8">
        <v>0.6854166666666667</v>
      </c>
      <c r="AJ10" s="8">
        <v>0.6944444444444444</v>
      </c>
      <c r="AK10" s="8">
        <v>0.7041666666666667</v>
      </c>
      <c r="AL10" s="8">
        <v>0.7131944444444445</v>
      </c>
      <c r="AM10" s="8">
        <v>0.7236111111111111</v>
      </c>
      <c r="AN10" s="8">
        <v>0.7340277777777777</v>
      </c>
      <c r="AO10" s="8">
        <v>0.7430555555555556</v>
      </c>
      <c r="AP10" s="8">
        <v>0.7527777777777778</v>
      </c>
      <c r="AQ10" s="8">
        <v>0.7618055555555555</v>
      </c>
      <c r="AR10" s="8">
        <v>0.7722222222222223</v>
      </c>
      <c r="AS10" s="8">
        <v>0.7826388888888889</v>
      </c>
      <c r="AT10" s="8">
        <v>0.7916666666666666</v>
      </c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>
      <c r="A13" s="1" t="s">
        <v>24</v>
      </c>
      <c r="B13" s="8" t="s">
        <v>25</v>
      </c>
      <c r="C13" s="8">
        <v>0.21180555555555555</v>
      </c>
      <c r="D13" s="8">
        <v>0.22152777777777777</v>
      </c>
      <c r="E13" s="8">
        <v>0.23055555555555557</v>
      </c>
      <c r="F13" s="8">
        <v>0.24097222222222223</v>
      </c>
      <c r="G13" s="8">
        <v>0.2513888888888889</v>
      </c>
      <c r="H13" s="8">
        <v>0.2604166666666667</v>
      </c>
      <c r="I13" s="8">
        <v>0.2701388888888889</v>
      </c>
      <c r="J13" s="8">
        <v>0.2791666666666667</v>
      </c>
      <c r="K13" s="8">
        <v>0.28958333333333336</v>
      </c>
      <c r="L13" s="8">
        <v>0.3</v>
      </c>
      <c r="M13" s="8">
        <v>0.3090277777777778</v>
      </c>
      <c r="N13" s="8">
        <v>0.31875</v>
      </c>
      <c r="O13" s="8">
        <v>0.3277777777777778</v>
      </c>
      <c r="P13" s="8">
        <v>0.33819444444444446</v>
      </c>
      <c r="Q13" s="8">
        <v>0.3486111111111111</v>
      </c>
      <c r="R13" s="8">
        <v>0.3576388888888889</v>
      </c>
      <c r="S13" s="8">
        <v>0.36736111111111114</v>
      </c>
      <c r="T13" s="8">
        <v>0.3763888888888889</v>
      </c>
      <c r="U13" s="8">
        <v>0.38680555555555557</v>
      </c>
      <c r="V13" s="8">
        <v>0.3972222222222222</v>
      </c>
      <c r="W13" s="8">
        <v>0.425</v>
      </c>
      <c r="X13" s="8">
        <v>0.45</v>
      </c>
      <c r="Y13" s="8">
        <v>0.4736111111111111</v>
      </c>
      <c r="Z13" s="8">
        <v>0.4986111111111111</v>
      </c>
      <c r="AA13" s="8">
        <v>0.5222222222222223</v>
      </c>
      <c r="AB13" s="8">
        <v>0.5472222222222223</v>
      </c>
      <c r="AC13" s="8">
        <v>0.5708333333333333</v>
      </c>
      <c r="AD13" s="8">
        <v>0.5958333333333333</v>
      </c>
      <c r="AE13" s="8">
        <v>0.6194444444444445</v>
      </c>
      <c r="AF13" s="8">
        <v>0.6493055555555556</v>
      </c>
      <c r="AG13" s="8">
        <v>0.6680555555555555</v>
      </c>
      <c r="AH13" s="8">
        <v>0.6784722222222223</v>
      </c>
      <c r="AI13" s="8">
        <v>0.6888888888888889</v>
      </c>
      <c r="AJ13" s="8">
        <v>0.6979166666666666</v>
      </c>
      <c r="AK13" s="8">
        <v>0.7076388888888889</v>
      </c>
      <c r="AL13" s="8">
        <v>0.7166666666666667</v>
      </c>
      <c r="AM13" s="8">
        <v>0.7270833333333333</v>
      </c>
      <c r="AN13" s="8">
        <v>0.7375</v>
      </c>
      <c r="AO13" s="8">
        <v>0.7465277777777778</v>
      </c>
      <c r="AP13" s="8">
        <v>0.75625</v>
      </c>
      <c r="AQ13" s="8">
        <v>0.7652777777777777</v>
      </c>
      <c r="AR13" s="8">
        <v>0.7756944444444445</v>
      </c>
      <c r="AS13" s="8">
        <v>0.7861111111111111</v>
      </c>
      <c r="AT13" s="8">
        <v>0.7951388888888888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>
      <c r="A19" s="13"/>
      <c r="B19" s="1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</row>
    <row r="20">
      <c r="A20" s="1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B24" s="83"/>
      <c r="C24" s="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1"/>
      <c r="B25" s="83"/>
      <c r="C25" s="8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>
      <c r="A26" s="1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>
      <c r="A27" s="13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>
      <c r="A28" s="1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>
      <c r="A29" s="13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>
      <c r="A30" s="13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>
      <c r="A31" s="1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85" t="s">
        <v>331</v>
      </c>
      <c r="D2" s="185" t="s">
        <v>332</v>
      </c>
      <c r="E2" s="185" t="s">
        <v>333</v>
      </c>
      <c r="F2" s="185" t="s">
        <v>334</v>
      </c>
      <c r="G2" s="186" t="s">
        <v>342</v>
      </c>
      <c r="H2" s="186" t="s">
        <v>343</v>
      </c>
      <c r="I2" s="186" t="s">
        <v>344</v>
      </c>
      <c r="J2" s="111"/>
      <c r="K2" s="111"/>
      <c r="L2" s="111"/>
      <c r="M2" s="111"/>
      <c r="N2" s="111"/>
      <c r="O2" s="11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0.21875</v>
      </c>
      <c r="D3" s="93">
        <v>0.2673611111111111</v>
      </c>
      <c r="E3" s="93">
        <v>0.3159722222222222</v>
      </c>
      <c r="F3" s="93">
        <v>0.3645833333333333</v>
      </c>
      <c r="G3" s="93">
        <v>0.6270833333333333</v>
      </c>
      <c r="H3" s="93">
        <v>0.6979166666666666</v>
      </c>
      <c r="I3" s="93">
        <v>0.7743055555555556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95">
        <v>0.2222222222222222</v>
      </c>
      <c r="D6" s="95">
        <v>0.2708333333333333</v>
      </c>
      <c r="E6" s="95">
        <v>0.3194444444444444</v>
      </c>
      <c r="F6" s="95">
        <v>0.3680555555555555</v>
      </c>
      <c r="G6" s="95">
        <v>0.6305555555555555</v>
      </c>
      <c r="H6" s="95">
        <v>0.7013888888888888</v>
      </c>
      <c r="I6" s="95">
        <v>0.7777777777777778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8"/>
      <c r="Q7" s="8"/>
      <c r="R7" s="8"/>
      <c r="S7" s="8"/>
      <c r="T7" s="8"/>
      <c r="U7" s="8"/>
    </row>
    <row r="8">
      <c r="A8" s="7" t="s">
        <v>160</v>
      </c>
      <c r="B8" s="7" t="s">
        <v>375</v>
      </c>
      <c r="C8" s="95">
        <v>0.22499999999999998</v>
      </c>
      <c r="D8" s="95">
        <v>0.2736111111111111</v>
      </c>
      <c r="E8" s="95">
        <v>0.3222222222222222</v>
      </c>
      <c r="F8" s="95">
        <v>0.3708333333333333</v>
      </c>
      <c r="G8" s="95">
        <v>0.6333333333333333</v>
      </c>
      <c r="H8" s="95">
        <v>0.7041666666666666</v>
      </c>
      <c r="I8" s="95">
        <v>0.7805555555555556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  <c r="U8" s="8"/>
    </row>
    <row r="9">
      <c r="A9" s="1" t="s">
        <v>159</v>
      </c>
      <c r="B9" s="7" t="s">
        <v>376</v>
      </c>
      <c r="C9" s="95">
        <v>0.22638888888888886</v>
      </c>
      <c r="D9" s="95">
        <v>0.27499999999999997</v>
      </c>
      <c r="E9" s="95">
        <v>0.32361111111111107</v>
      </c>
      <c r="F9" s="95">
        <v>0.3722222222222222</v>
      </c>
      <c r="G9" s="95">
        <v>0.6347222222222222</v>
      </c>
      <c r="H9" s="95">
        <v>0.7055555555555555</v>
      </c>
      <c r="I9" s="95">
        <v>0.7819444444444444</v>
      </c>
      <c r="J9" s="94"/>
      <c r="K9" s="94"/>
      <c r="L9" s="94"/>
      <c r="M9" s="94"/>
      <c r="N9" s="94"/>
      <c r="O9" s="94"/>
      <c r="P9" s="8"/>
      <c r="Q9" s="8"/>
      <c r="R9" s="8"/>
      <c r="S9" s="8"/>
      <c r="T9" s="8"/>
      <c r="U9" s="8"/>
    </row>
    <row r="10">
      <c r="A10" s="1" t="s">
        <v>158</v>
      </c>
      <c r="B10" s="7" t="s">
        <v>377</v>
      </c>
      <c r="C10" s="95">
        <v>0.2284722222222222</v>
      </c>
      <c r="D10" s="95">
        <v>0.2770833333333333</v>
      </c>
      <c r="E10" s="95">
        <v>0.3256944444444444</v>
      </c>
      <c r="F10" s="95">
        <v>0.3743055555555555</v>
      </c>
      <c r="G10" s="95">
        <v>0.6368055555555555</v>
      </c>
      <c r="H10" s="95">
        <v>0.7076388888888888</v>
      </c>
      <c r="I10" s="95">
        <v>0.7840277777777778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  <c r="U10" s="8"/>
    </row>
    <row r="11">
      <c r="A11" s="7" t="s">
        <v>157</v>
      </c>
      <c r="B11" s="7" t="s">
        <v>378</v>
      </c>
      <c r="C11" s="95">
        <v>0.2326388888888889</v>
      </c>
      <c r="D11" s="95">
        <v>0.28125</v>
      </c>
      <c r="E11" s="95">
        <v>0.3298611111111111</v>
      </c>
      <c r="F11" s="95">
        <v>0.3784722222222222</v>
      </c>
      <c r="G11" s="95">
        <v>0.6409722222222223</v>
      </c>
      <c r="H11" s="95">
        <v>0.7118055555555556</v>
      </c>
      <c r="I11" s="95">
        <v>0.7881944444444444</v>
      </c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  <c r="U11" s="8"/>
    </row>
    <row r="12">
      <c r="A12" s="7" t="s">
        <v>156</v>
      </c>
      <c r="B12" s="7" t="s">
        <v>379</v>
      </c>
      <c r="C12" s="95">
        <v>0.23402777777777778</v>
      </c>
      <c r="D12" s="95">
        <v>0.2826388888888889</v>
      </c>
      <c r="E12" s="95">
        <v>0.33125</v>
      </c>
      <c r="F12" s="95">
        <v>0.3798611111111111</v>
      </c>
      <c r="G12" s="95">
        <v>0.6423611111111112</v>
      </c>
      <c r="H12" s="95">
        <v>0.7131944444444445</v>
      </c>
      <c r="I12" s="95">
        <v>0.7895833333333333</v>
      </c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  <c r="U12" s="8"/>
    </row>
    <row r="13">
      <c r="A13" s="1" t="s">
        <v>155</v>
      </c>
      <c r="B13" s="7" t="s">
        <v>380</v>
      </c>
      <c r="C13" s="95">
        <v>0.2361111111111111</v>
      </c>
      <c r="D13" s="95">
        <v>0.2847222222222222</v>
      </c>
      <c r="E13" s="95">
        <v>0.3333333333333333</v>
      </c>
      <c r="F13" s="95">
        <v>0.3819444444444444</v>
      </c>
      <c r="G13" s="95">
        <v>0.6444444444444445</v>
      </c>
      <c r="H13" s="95">
        <v>0.7152777777777778</v>
      </c>
      <c r="I13" s="95">
        <v>0.7916666666666666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8"/>
      <c r="Q16" s="8"/>
      <c r="R16" s="8"/>
      <c r="S16" s="8"/>
      <c r="T16" s="8"/>
      <c r="U16" s="8"/>
    </row>
    <row r="17">
      <c r="A17" s="11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8"/>
      <c r="Q17" s="8"/>
      <c r="R17" s="8"/>
      <c r="S17" s="8"/>
      <c r="T17" s="8"/>
      <c r="U17" s="8"/>
    </row>
    <row r="18">
      <c r="A18" s="11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8"/>
      <c r="Q18" s="8"/>
      <c r="R18" s="8"/>
      <c r="S18" s="8"/>
      <c r="T18" s="8"/>
      <c r="U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  <c r="U19" s="8"/>
    </row>
    <row r="20">
      <c r="A20" s="11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1"/>
      <c r="Q20" s="11"/>
      <c r="R20" s="11"/>
      <c r="S20" s="11"/>
      <c r="T20" s="11"/>
      <c r="U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85" t="s">
        <v>381</v>
      </c>
      <c r="D2" s="185" t="s">
        <v>382</v>
      </c>
      <c r="E2" s="185" t="s">
        <v>383</v>
      </c>
      <c r="F2" s="185" t="s">
        <v>384</v>
      </c>
      <c r="G2" s="185" t="s">
        <v>385</v>
      </c>
      <c r="H2" s="187" t="s">
        <v>393</v>
      </c>
      <c r="I2" s="186" t="s">
        <v>394</v>
      </c>
      <c r="J2" s="111"/>
      <c r="K2" s="94"/>
      <c r="L2" s="94"/>
      <c r="M2" s="94"/>
      <c r="N2" s="94"/>
      <c r="O2" s="94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155</v>
      </c>
      <c r="B3" s="5" t="s">
        <v>380</v>
      </c>
      <c r="C3" s="93">
        <v>0.19444444444444445</v>
      </c>
      <c r="D3" s="93">
        <v>0.24305555555555555</v>
      </c>
      <c r="E3" s="93">
        <v>0.2916666666666667</v>
      </c>
      <c r="F3" s="93">
        <v>0.3402777777777778</v>
      </c>
      <c r="G3" s="93">
        <v>0.3888888888888889</v>
      </c>
      <c r="H3" s="93">
        <v>0.6527777777777778</v>
      </c>
      <c r="I3" s="93">
        <v>0.7222222222222222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</row>
    <row r="4">
      <c r="A4" s="1" t="s">
        <v>156</v>
      </c>
      <c r="B4" s="8" t="s">
        <v>379</v>
      </c>
      <c r="C4" s="95">
        <v>0.19652777777777777</v>
      </c>
      <c r="D4" s="95">
        <v>0.24513888888888888</v>
      </c>
      <c r="E4" s="95">
        <v>0.29375</v>
      </c>
      <c r="F4" s="95">
        <v>0.3423611111111111</v>
      </c>
      <c r="G4" s="95">
        <v>0.3909722222222222</v>
      </c>
      <c r="H4" s="95">
        <v>0.6548611111111111</v>
      </c>
      <c r="I4" s="95">
        <v>0.7243055555555555</v>
      </c>
      <c r="J4" s="94"/>
      <c r="K4" s="94"/>
      <c r="L4" s="94"/>
      <c r="M4" s="94"/>
      <c r="N4" s="94"/>
      <c r="O4" s="94"/>
      <c r="P4" s="8"/>
      <c r="Q4" s="8"/>
      <c r="R4" s="8"/>
      <c r="S4" s="8"/>
      <c r="T4" s="8"/>
    </row>
    <row r="5">
      <c r="A5" s="1" t="s">
        <v>157</v>
      </c>
      <c r="B5" s="8" t="s">
        <v>378</v>
      </c>
      <c r="C5" s="95">
        <v>0.19791666666666666</v>
      </c>
      <c r="D5" s="95">
        <v>0.24652777777777776</v>
      </c>
      <c r="E5" s="95">
        <v>0.2951388888888889</v>
      </c>
      <c r="F5" s="95">
        <v>0.34375</v>
      </c>
      <c r="G5" s="95">
        <v>0.3923611111111111</v>
      </c>
      <c r="H5" s="95">
        <v>0.65625</v>
      </c>
      <c r="I5" s="95">
        <v>0.7256944444444444</v>
      </c>
      <c r="J5" s="94"/>
      <c r="K5" s="94"/>
      <c r="L5" s="94"/>
      <c r="M5" s="94"/>
      <c r="N5" s="94"/>
      <c r="O5" s="94"/>
      <c r="P5" s="8"/>
      <c r="Q5" s="8"/>
      <c r="R5" s="8"/>
      <c r="S5" s="8"/>
      <c r="T5" s="8"/>
    </row>
    <row r="6">
      <c r="A6" s="7" t="s">
        <v>158</v>
      </c>
      <c r="B6" s="8" t="s">
        <v>377</v>
      </c>
      <c r="C6" s="95">
        <v>0.20277777777777778</v>
      </c>
      <c r="D6" s="95">
        <v>0.2513888888888889</v>
      </c>
      <c r="E6" s="95">
        <v>0.30000000000000004</v>
      </c>
      <c r="F6" s="95">
        <v>0.3486111111111111</v>
      </c>
      <c r="G6" s="95">
        <v>0.39722222222222225</v>
      </c>
      <c r="H6" s="95">
        <v>0.6611111111111111</v>
      </c>
      <c r="I6" s="95">
        <v>0.7305555555555555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</row>
    <row r="7">
      <c r="A7" s="7" t="s">
        <v>159</v>
      </c>
      <c r="B7" s="8" t="s">
        <v>376</v>
      </c>
      <c r="C7" s="95">
        <v>0.20416666666666666</v>
      </c>
      <c r="D7" s="95">
        <v>0.25277777777777777</v>
      </c>
      <c r="E7" s="95">
        <v>0.30138888888888893</v>
      </c>
      <c r="F7" s="95">
        <v>0.35</v>
      </c>
      <c r="G7" s="95">
        <v>0.39861111111111114</v>
      </c>
      <c r="H7" s="95">
        <v>0.6625</v>
      </c>
      <c r="I7" s="95">
        <v>0.7319444444444444</v>
      </c>
      <c r="J7" s="94"/>
      <c r="K7" s="94"/>
      <c r="L7" s="94"/>
      <c r="M7" s="94"/>
      <c r="N7" s="94"/>
      <c r="O7" s="94"/>
      <c r="P7" s="8"/>
      <c r="Q7" s="8"/>
      <c r="R7" s="8"/>
      <c r="S7" s="8"/>
      <c r="T7" s="8"/>
    </row>
    <row r="8">
      <c r="A8" s="7" t="s">
        <v>160</v>
      </c>
      <c r="B8" s="8" t="s">
        <v>375</v>
      </c>
      <c r="C8" s="95">
        <v>0.20555555555555555</v>
      </c>
      <c r="D8" s="95">
        <v>0.25416666666666665</v>
      </c>
      <c r="E8" s="95">
        <v>0.3027777777777778</v>
      </c>
      <c r="F8" s="95">
        <v>0.35138888888888886</v>
      </c>
      <c r="G8" s="95">
        <v>0.4</v>
      </c>
      <c r="H8" s="95">
        <v>0.6638888888888889</v>
      </c>
      <c r="I8" s="95">
        <v>0.7333333333333333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95">
        <v>0.20833333333333334</v>
      </c>
      <c r="D10" s="95">
        <v>0.2569444444444444</v>
      </c>
      <c r="E10" s="95">
        <v>0.3055555555555556</v>
      </c>
      <c r="F10" s="95">
        <v>0.35416666666666663</v>
      </c>
      <c r="G10" s="95">
        <v>0.4027777777777778</v>
      </c>
      <c r="H10" s="95">
        <v>0.6666666666666666</v>
      </c>
      <c r="I10" s="95">
        <v>0.736111111111111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95">
        <v>0.21180555555555555</v>
      </c>
      <c r="D13" s="95">
        <v>0.26041666666666663</v>
      </c>
      <c r="E13" s="95">
        <v>0.3090277777777778</v>
      </c>
      <c r="F13" s="95">
        <v>0.35763888888888884</v>
      </c>
      <c r="G13" s="95">
        <v>0.40625</v>
      </c>
      <c r="H13" s="95">
        <v>0.6701388888888888</v>
      </c>
      <c r="I13" s="95">
        <v>0.7395833333333333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425</v>
      </c>
      <c r="D2" s="3" t="s">
        <v>426</v>
      </c>
      <c r="E2" s="3" t="s">
        <v>427</v>
      </c>
      <c r="F2" s="3" t="s">
        <v>428</v>
      </c>
      <c r="G2" s="3" t="s">
        <v>429</v>
      </c>
      <c r="H2" s="3" t="s">
        <v>430</v>
      </c>
      <c r="I2" s="3" t="s">
        <v>431</v>
      </c>
      <c r="J2" s="3" t="s">
        <v>432</v>
      </c>
      <c r="K2" s="3" t="s">
        <v>433</v>
      </c>
      <c r="L2" s="3" t="s">
        <v>434</v>
      </c>
      <c r="M2" s="3" t="s">
        <v>435</v>
      </c>
      <c r="N2" s="3" t="s">
        <v>436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437</v>
      </c>
      <c r="B14" s="7" t="s">
        <v>438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8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8"/>
      <c r="T18" s="8"/>
    </row>
    <row r="19">
      <c r="A19" s="13"/>
      <c r="B19" s="14"/>
      <c r="C19" s="16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6"/>
      <c r="Q19" s="166"/>
      <c r="R19" s="166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6"/>
      <c r="Q21" s="166"/>
      <c r="R21" s="166"/>
      <c r="S21" s="166"/>
      <c r="T21" s="166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6"/>
      <c r="Q22" s="166"/>
      <c r="R22" s="166"/>
      <c r="S22" s="166"/>
      <c r="T22" s="166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6"/>
      <c r="Q23" s="166"/>
      <c r="R23" s="166"/>
      <c r="S23" s="166"/>
      <c r="T23" s="166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6"/>
      <c r="Q24" s="166"/>
      <c r="R24" s="166"/>
      <c r="S24" s="166"/>
      <c r="T24" s="166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6"/>
      <c r="Q25" s="166"/>
      <c r="R25" s="166"/>
      <c r="S25" s="166"/>
      <c r="T25" s="166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6"/>
      <c r="Q26" s="166"/>
      <c r="R26" s="166"/>
      <c r="S26" s="166"/>
      <c r="T26" s="166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6"/>
      <c r="Q27" s="166"/>
      <c r="R27" s="166"/>
      <c r="S27" s="166"/>
      <c r="T27" s="166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6"/>
      <c r="Q28" s="166"/>
      <c r="R28" s="166"/>
      <c r="S28" s="166"/>
      <c r="T28" s="166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6"/>
      <c r="Q29" s="166"/>
      <c r="R29" s="166"/>
      <c r="S29" s="166"/>
      <c r="T29" s="166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6"/>
      <c r="Q30" s="166"/>
      <c r="R30" s="166"/>
      <c r="S30" s="166"/>
      <c r="T30" s="166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439</v>
      </c>
      <c r="D2" s="3" t="s">
        <v>440</v>
      </c>
      <c r="E2" s="3" t="s">
        <v>441</v>
      </c>
      <c r="F2" s="3" t="s">
        <v>442</v>
      </c>
      <c r="G2" s="3" t="s">
        <v>443</v>
      </c>
      <c r="H2" s="3" t="s">
        <v>444</v>
      </c>
      <c r="I2" s="3" t="s">
        <v>445</v>
      </c>
      <c r="J2" s="3" t="s">
        <v>446</v>
      </c>
      <c r="K2" s="3" t="s">
        <v>447</v>
      </c>
      <c r="L2" s="3" t="s">
        <v>448</v>
      </c>
      <c r="M2" s="3" t="s">
        <v>449</v>
      </c>
      <c r="N2" s="3" t="s">
        <v>450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437</v>
      </c>
      <c r="B3" s="5" t="s">
        <v>438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</row>
    <row r="22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425</v>
      </c>
      <c r="D2" s="102" t="s">
        <v>426</v>
      </c>
      <c r="E2" s="102" t="s">
        <v>435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437</v>
      </c>
      <c r="B14" s="7" t="s">
        <v>438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439</v>
      </c>
      <c r="D2" s="102" t="s">
        <v>440</v>
      </c>
      <c r="E2" s="102" t="s">
        <v>448</v>
      </c>
      <c r="F2" s="102" t="s">
        <v>449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437</v>
      </c>
      <c r="B3" s="5" t="s">
        <v>438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451</v>
      </c>
      <c r="B5" s="7" t="s">
        <v>452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453</v>
      </c>
      <c r="B6" s="7" t="s">
        <v>454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455</v>
      </c>
      <c r="B7" s="7" t="s">
        <v>456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457</v>
      </c>
      <c r="B8" s="7" t="s">
        <v>458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459</v>
      </c>
      <c r="B9" s="7" t="s">
        <v>460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461</v>
      </c>
      <c r="B10" s="7" t="s">
        <v>462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463</v>
      </c>
      <c r="B11" s="7" t="s">
        <v>464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465</v>
      </c>
      <c r="B12" s="7" t="s">
        <v>466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65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8"/>
      <c r="R18" s="8"/>
      <c r="S18" s="8"/>
      <c r="T18" s="8"/>
    </row>
    <row r="19">
      <c r="A19" s="13"/>
      <c r="C19" s="165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8"/>
      <c r="R19" s="8"/>
      <c r="S19" s="8"/>
      <c r="T19" s="8"/>
    </row>
    <row r="20">
      <c r="A20" s="13"/>
      <c r="C20" s="165"/>
      <c r="D20" s="166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465</v>
      </c>
      <c r="B3" s="5" t="s">
        <v>466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463</v>
      </c>
      <c r="B4" s="9" t="s">
        <v>464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461</v>
      </c>
      <c r="B5" s="9" t="s">
        <v>462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459</v>
      </c>
      <c r="B6" s="9" t="s">
        <v>460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457</v>
      </c>
      <c r="B7" s="7" t="s">
        <v>458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455</v>
      </c>
      <c r="B8" s="7" t="s">
        <v>456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453</v>
      </c>
      <c r="B9" s="7" t="s">
        <v>454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451</v>
      </c>
      <c r="B10" s="7" t="s">
        <v>452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323</v>
      </c>
      <c r="B11" s="7" t="s">
        <v>324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254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  <c r="S30" s="12"/>
      <c r="T30" s="12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3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88">
        <v>46130.0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7607.0</v>
      </c>
      <c r="F2" s="1">
        <v>7641.0</v>
      </c>
      <c r="G2" s="1">
        <v>7643.0</v>
      </c>
      <c r="H2" s="1">
        <v>7645.0</v>
      </c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49</v>
      </c>
      <c r="B3" s="5" t="s">
        <v>254</v>
      </c>
      <c r="C3" s="6">
        <v>0.24305555555555555</v>
      </c>
      <c r="D3" s="6">
        <v>0.3229166666666667</v>
      </c>
      <c r="E3" s="6">
        <v>0.4027777777777778</v>
      </c>
      <c r="F3" s="6">
        <v>0.6041666666666666</v>
      </c>
      <c r="G3" s="6">
        <v>0.6875</v>
      </c>
      <c r="H3" s="6">
        <v>0.7708333333333334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323</v>
      </c>
      <c r="B4" s="7" t="s">
        <v>324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451</v>
      </c>
      <c r="B5" s="7" t="s">
        <v>452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1" t="s">
        <v>453</v>
      </c>
      <c r="B6" s="7" t="s">
        <v>454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1" t="s">
        <v>455</v>
      </c>
      <c r="B7" s="7" t="s">
        <v>456</v>
      </c>
      <c r="C7" s="8">
        <v>0.2548611111111111</v>
      </c>
      <c r="D7" s="8">
        <v>0.33472222222222225</v>
      </c>
      <c r="E7" s="8">
        <v>0.4145833333333333</v>
      </c>
      <c r="F7" s="8">
        <v>0.6159722222222221</v>
      </c>
      <c r="G7" s="8">
        <v>0.6993055555555555</v>
      </c>
      <c r="H7" s="8">
        <v>0.7826388888888889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1" t="s">
        <v>457</v>
      </c>
      <c r="B8" s="7" t="s">
        <v>458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459</v>
      </c>
      <c r="B9" s="7" t="s">
        <v>460</v>
      </c>
      <c r="C9" s="8">
        <v>0.2659722222222222</v>
      </c>
      <c r="D9" s="8">
        <v>0.3458333333333334</v>
      </c>
      <c r="E9" s="8">
        <v>0.4256944444444444</v>
      </c>
      <c r="F9" s="8">
        <v>0.6270833333333332</v>
      </c>
      <c r="G9" s="8">
        <v>0.7104166666666667</v>
      </c>
      <c r="H9" s="8">
        <v>0.79375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461</v>
      </c>
      <c r="B10" s="7" t="s">
        <v>462</v>
      </c>
      <c r="C10" s="8">
        <v>0.26944444444444443</v>
      </c>
      <c r="D10" s="8">
        <v>0.3493055555555556</v>
      </c>
      <c r="E10" s="8">
        <v>0.4291666666666666</v>
      </c>
      <c r="F10" s="8">
        <v>0.6305555555555554</v>
      </c>
      <c r="G10" s="8">
        <v>0.7138888888888889</v>
      </c>
      <c r="H10" s="8">
        <v>0.7972222222222222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1" t="s">
        <v>463</v>
      </c>
      <c r="B11" s="7" t="s">
        <v>464</v>
      </c>
      <c r="C11" s="8">
        <v>0.2722222222222222</v>
      </c>
      <c r="D11" s="8">
        <v>0.35208333333333336</v>
      </c>
      <c r="E11" s="8">
        <v>0.43194444444444435</v>
      </c>
      <c r="F11" s="8">
        <v>0.6333333333333332</v>
      </c>
      <c r="G11" s="8">
        <v>0.7166666666666667</v>
      </c>
      <c r="H11" s="8">
        <v>0.7999999999999999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1" t="s">
        <v>465</v>
      </c>
      <c r="B12" s="7" t="s">
        <v>466</v>
      </c>
      <c r="C12" s="8">
        <v>0.2763888888888889</v>
      </c>
      <c r="D12" s="8">
        <v>0.35625000000000007</v>
      </c>
      <c r="E12" s="8">
        <v>0.4361111111111111</v>
      </c>
      <c r="F12" s="8">
        <v>0.6375</v>
      </c>
      <c r="G12" s="8">
        <v>0.7208333333333334</v>
      </c>
      <c r="H12" s="8">
        <v>0.8041666666666667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"/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"/>
      <c r="C23" s="8"/>
      <c r="D23" s="8"/>
      <c r="E23" s="8"/>
      <c r="F23" s="8"/>
      <c r="G23" s="8"/>
      <c r="H23" s="8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"/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'GERM-to-KWESI_Sat'!B1</f>
        <v>46130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7608.0</v>
      </c>
      <c r="G2" s="1">
        <v>7642.0</v>
      </c>
      <c r="H2" s="1">
        <v>7644.0</v>
      </c>
      <c r="I2" s="1">
        <v>7648.0</v>
      </c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465</v>
      </c>
      <c r="B3" s="5" t="s">
        <v>466</v>
      </c>
      <c r="C3" s="6">
        <v>0.2048611111111111</v>
      </c>
      <c r="D3" s="6">
        <v>0.2847222222222222</v>
      </c>
      <c r="E3" s="6">
        <v>0.3611111111111111</v>
      </c>
      <c r="F3" s="6">
        <v>0.4444444444444444</v>
      </c>
      <c r="G3" s="6">
        <v>0.6423611111111112</v>
      </c>
      <c r="H3" s="6">
        <v>0.7256944444444444</v>
      </c>
      <c r="I3" s="6">
        <v>0.8125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463</v>
      </c>
      <c r="B4" s="9" t="s">
        <v>464</v>
      </c>
      <c r="C4" s="8">
        <v>0.20833333333333331</v>
      </c>
      <c r="D4" s="8">
        <v>0.2881944444444444</v>
      </c>
      <c r="E4" s="8">
        <v>0.3645833333333333</v>
      </c>
      <c r="F4" s="8">
        <v>0.44791666666666663</v>
      </c>
      <c r="G4" s="8">
        <v>0.6458333333333334</v>
      </c>
      <c r="H4" s="8">
        <v>0.7291666666666666</v>
      </c>
      <c r="I4" s="8">
        <v>0.8159722222222222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461</v>
      </c>
      <c r="B5" s="9" t="s">
        <v>462</v>
      </c>
      <c r="C5" s="8">
        <v>0.21111111111111114</v>
      </c>
      <c r="D5" s="8">
        <v>0.29097222222222224</v>
      </c>
      <c r="E5" s="8">
        <v>0.36736111111111114</v>
      </c>
      <c r="F5" s="8">
        <v>0.4506944444444445</v>
      </c>
      <c r="G5" s="8">
        <v>0.6486111111111112</v>
      </c>
      <c r="H5" s="8">
        <v>0.7319444444444445</v>
      </c>
      <c r="I5" s="8">
        <v>0.8187500000000001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459</v>
      </c>
      <c r="B6" s="9" t="s">
        <v>460</v>
      </c>
      <c r="C6" s="8">
        <v>0.2138888888888889</v>
      </c>
      <c r="D6" s="8">
        <v>0.29375</v>
      </c>
      <c r="E6" s="8">
        <v>0.3701388888888889</v>
      </c>
      <c r="F6" s="8">
        <v>0.4534722222222223</v>
      </c>
      <c r="G6" s="8">
        <v>0.651388888888889</v>
      </c>
      <c r="H6" s="8">
        <v>0.7347222222222223</v>
      </c>
      <c r="I6" s="8">
        <v>0.8215277777777779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457</v>
      </c>
      <c r="B7" s="7" t="s">
        <v>458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455</v>
      </c>
      <c r="B8" s="7" t="s">
        <v>456</v>
      </c>
      <c r="C8" s="8">
        <v>0.22569444444444448</v>
      </c>
      <c r="D8" s="8">
        <v>0.3055555555555556</v>
      </c>
      <c r="E8" s="8">
        <v>0.3819444444444445</v>
      </c>
      <c r="F8" s="8">
        <v>0.4652777777777779</v>
      </c>
      <c r="G8" s="8">
        <v>0.6631944444444446</v>
      </c>
      <c r="H8" s="8">
        <v>0.7465277777777779</v>
      </c>
      <c r="I8" s="8">
        <v>0.8333333333333335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453</v>
      </c>
      <c r="B9" s="7" t="s">
        <v>454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451</v>
      </c>
      <c r="B10" s="7" t="s">
        <v>452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323</v>
      </c>
      <c r="B11" s="7" t="s">
        <v>324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49</v>
      </c>
      <c r="B12" s="7" t="s">
        <v>254</v>
      </c>
      <c r="C12" s="8">
        <v>0.23819444444444443</v>
      </c>
      <c r="D12" s="8">
        <v>0.31805555555555554</v>
      </c>
      <c r="E12" s="8">
        <v>0.39444444444444443</v>
      </c>
      <c r="F12" s="8">
        <v>0.47777777777777786</v>
      </c>
      <c r="G12" s="8">
        <v>0.6756944444444446</v>
      </c>
      <c r="H12" s="8">
        <v>0.7590277777777779</v>
      </c>
      <c r="I12" s="8">
        <v>0.8458333333333334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1"/>
      <c r="C20" s="8"/>
      <c r="D20" s="8"/>
      <c r="E20" s="8"/>
      <c r="F20" s="8"/>
      <c r="G20" s="8"/>
      <c r="H20" s="8"/>
      <c r="I20" s="8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C22" s="8"/>
      <c r="D22" s="8"/>
      <c r="E22" s="8"/>
      <c r="F22" s="8"/>
      <c r="G22" s="8"/>
      <c r="H22" s="8"/>
      <c r="I22" s="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C24" s="8"/>
      <c r="D24" s="8"/>
      <c r="E24" s="8"/>
      <c r="F24" s="8"/>
      <c r="G24" s="8"/>
      <c r="H24" s="8"/>
      <c r="I24" s="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C28" s="8"/>
      <c r="D28" s="8"/>
      <c r="E28" s="8"/>
      <c r="F28" s="8"/>
      <c r="G28" s="8"/>
      <c r="H28" s="8"/>
      <c r="I28" s="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467</v>
      </c>
      <c r="D2" s="102" t="s">
        <v>468</v>
      </c>
      <c r="E2" s="102" t="s">
        <v>469</v>
      </c>
      <c r="F2" s="102" t="s">
        <v>470</v>
      </c>
      <c r="G2" s="102" t="s">
        <v>471</v>
      </c>
      <c r="H2" s="102" t="s">
        <v>472</v>
      </c>
      <c r="I2" s="102" t="s">
        <v>473</v>
      </c>
      <c r="J2" s="102" t="s">
        <v>474</v>
      </c>
      <c r="K2" s="102" t="s">
        <v>475</v>
      </c>
      <c r="L2" s="102" t="s">
        <v>476</v>
      </c>
      <c r="M2" s="102" t="s">
        <v>477</v>
      </c>
      <c r="N2" s="102" t="s">
        <v>478</v>
      </c>
      <c r="O2" s="102" t="s">
        <v>479</v>
      </c>
      <c r="P2" s="102" t="s">
        <v>480</v>
      </c>
      <c r="Q2" s="102" t="s">
        <v>481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482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483</v>
      </c>
      <c r="B4" s="9" t="s">
        <v>484</v>
      </c>
      <c r="C4" s="189"/>
      <c r="D4" s="189">
        <f>D3+TIME(0,7,0)</f>
        <v>0.2548611111</v>
      </c>
      <c r="E4" s="189"/>
      <c r="F4" s="189">
        <v>0.3381944444444444</v>
      </c>
      <c r="G4" s="189"/>
      <c r="H4" s="189">
        <f>H3+TIME(0,7,0)</f>
        <v>0.4215277778</v>
      </c>
      <c r="I4" s="189"/>
      <c r="J4" s="189">
        <f>J3+TIME(0,7,0)</f>
        <v>0.5048611111</v>
      </c>
      <c r="K4" s="189"/>
      <c r="L4" s="189">
        <f>L3+TIME(0,7,0)</f>
        <v>0.6090277778</v>
      </c>
      <c r="M4" s="189"/>
      <c r="N4" s="189">
        <f>N3+TIME(0,7,0)</f>
        <v>0.6923611111</v>
      </c>
      <c r="O4" s="189"/>
      <c r="P4" s="189">
        <f>P3+TIME(0,7,0)</f>
        <v>0.7756944444</v>
      </c>
      <c r="Q4" s="189"/>
      <c r="R4" s="8"/>
      <c r="S4" s="8"/>
      <c r="T4" s="8"/>
    </row>
    <row r="5">
      <c r="A5" s="1" t="s">
        <v>485</v>
      </c>
      <c r="B5" s="9" t="s">
        <v>486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487</v>
      </c>
      <c r="B6" s="9" t="s">
        <v>488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489</v>
      </c>
      <c r="B7" s="9" t="s">
        <v>490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491</v>
      </c>
      <c r="B8" s="7" t="s">
        <v>492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493</v>
      </c>
      <c r="B9" s="7" t="s">
        <v>494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495</v>
      </c>
      <c r="B10" s="7" t="s">
        <v>496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497</v>
      </c>
      <c r="B11" s="7" t="s">
        <v>498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499</v>
      </c>
      <c r="B12" s="7" t="s">
        <v>500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501</v>
      </c>
      <c r="B13" s="7" t="s">
        <v>502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503</v>
      </c>
      <c r="B14" s="7" t="s">
        <v>504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505</v>
      </c>
      <c r="B15" s="7" t="s">
        <v>506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507</v>
      </c>
      <c r="B16" s="7" t="s">
        <v>508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90" t="s">
        <v>509</v>
      </c>
      <c r="B17" s="190" t="s">
        <v>510</v>
      </c>
      <c r="C17" s="191">
        <v>0.20833333333333334</v>
      </c>
      <c r="D17" s="191">
        <v>0.2847222222222222</v>
      </c>
      <c r="E17" s="191">
        <v>0.2916666666666667</v>
      </c>
      <c r="F17" s="191">
        <v>0.3680555555555555</v>
      </c>
      <c r="G17" s="191">
        <v>0.375</v>
      </c>
      <c r="H17" s="191">
        <v>0.4513888888888889</v>
      </c>
      <c r="I17" s="191">
        <v>0.4583333333333333</v>
      </c>
      <c r="J17" s="191">
        <v>0.5347222222222222</v>
      </c>
      <c r="K17" s="191">
        <v>0.5416666666666666</v>
      </c>
      <c r="L17" s="191">
        <v>0.6388888888888888</v>
      </c>
      <c r="M17" s="191">
        <v>0.6458333333333334</v>
      </c>
      <c r="N17" s="191">
        <v>0.7222222222222222</v>
      </c>
      <c r="O17" s="191">
        <v>0.7291666666666666</v>
      </c>
      <c r="P17" s="191">
        <v>0.8055555555555556</v>
      </c>
      <c r="Q17" s="191">
        <v>0.8125</v>
      </c>
      <c r="R17" s="191"/>
      <c r="S17" s="191"/>
      <c r="T17" s="191"/>
      <c r="U17" s="192"/>
      <c r="V17" s="192"/>
      <c r="W17" s="192"/>
      <c r="X17" s="192"/>
      <c r="Y17" s="192"/>
      <c r="Z17" s="192"/>
      <c r="AA17" s="192"/>
    </row>
    <row r="18">
      <c r="A18" s="7" t="s">
        <v>511</v>
      </c>
      <c r="B18" s="7" t="s">
        <v>512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513</v>
      </c>
      <c r="B19" s="7" t="s">
        <v>514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515</v>
      </c>
      <c r="B20" s="11" t="s">
        <v>516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517</v>
      </c>
      <c r="B21" s="11" t="s">
        <v>518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519</v>
      </c>
      <c r="B22" s="11" t="s">
        <v>520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521</v>
      </c>
      <c r="B23" s="11" t="s">
        <v>522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523</v>
      </c>
      <c r="B24" s="11" t="s">
        <v>524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525</v>
      </c>
      <c r="B25" s="11" t="s">
        <v>526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527</v>
      </c>
      <c r="B26" s="11" t="s">
        <v>528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529</v>
      </c>
      <c r="B27" s="11" t="s">
        <v>530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531</v>
      </c>
      <c r="B28" s="11" t="s">
        <v>532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533</v>
      </c>
      <c r="B29" s="11" t="s">
        <v>534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6"/>
      <c r="C36" s="14"/>
      <c r="D36" s="165"/>
      <c r="E36" s="14"/>
      <c r="F36" s="165"/>
      <c r="G36" s="14"/>
      <c r="H36" s="165"/>
      <c r="I36" s="14"/>
      <c r="J36" s="165"/>
      <c r="K36" s="14"/>
      <c r="L36" s="17"/>
      <c r="M36" s="14"/>
      <c r="N36" s="17"/>
      <c r="O36" s="14"/>
      <c r="P36" s="17"/>
    </row>
    <row r="37">
      <c r="A37" s="13"/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</row>
    <row r="38">
      <c r="A38" s="13"/>
      <c r="B38" s="165"/>
      <c r="C38" s="14"/>
      <c r="D38" s="165"/>
      <c r="E38" s="14"/>
      <c r="F38" s="165"/>
      <c r="G38" s="14"/>
      <c r="H38" s="165"/>
      <c r="I38" s="14"/>
      <c r="J38" s="165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65"/>
      <c r="C41" s="165"/>
      <c r="D41" s="165"/>
      <c r="E41" s="165"/>
      <c r="F41" s="165"/>
      <c r="G41" s="165"/>
      <c r="H41" s="165"/>
      <c r="I41" s="165"/>
      <c r="J41" s="165"/>
      <c r="K41" s="17"/>
      <c r="L41" s="17"/>
      <c r="M41" s="17"/>
      <c r="N41" s="17"/>
      <c r="O41" s="17"/>
      <c r="P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65"/>
      <c r="C44" s="14"/>
      <c r="D44" s="165"/>
      <c r="E44" s="14"/>
      <c r="F44" s="165"/>
      <c r="G44" s="14"/>
      <c r="H44" s="165"/>
      <c r="I44" s="14"/>
      <c r="J44" s="165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535</v>
      </c>
      <c r="D2" s="102" t="s">
        <v>536</v>
      </c>
      <c r="E2" s="102" t="s">
        <v>537</v>
      </c>
      <c r="F2" s="102" t="s">
        <v>538</v>
      </c>
      <c r="G2" s="102" t="s">
        <v>539</v>
      </c>
      <c r="H2" s="102" t="s">
        <v>540</v>
      </c>
      <c r="I2" s="102" t="s">
        <v>541</v>
      </c>
      <c r="J2" s="102" t="s">
        <v>542</v>
      </c>
      <c r="K2" s="102" t="s">
        <v>543</v>
      </c>
      <c r="L2" s="102" t="s">
        <v>544</v>
      </c>
      <c r="M2" s="102" t="s">
        <v>545</v>
      </c>
      <c r="N2" s="102" t="s">
        <v>546</v>
      </c>
      <c r="O2" s="102" t="s">
        <v>547</v>
      </c>
      <c r="P2" s="102" t="s">
        <v>548</v>
      </c>
      <c r="Q2" s="102" t="s">
        <v>549</v>
      </c>
      <c r="R2" s="102" t="s">
        <v>550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533</v>
      </c>
      <c r="B3" s="5" t="s">
        <v>534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531</v>
      </c>
      <c r="B4" s="7" t="s">
        <v>532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529</v>
      </c>
      <c r="B5" s="7" t="s">
        <v>530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527</v>
      </c>
      <c r="B6" s="7" t="s">
        <v>528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525</v>
      </c>
      <c r="B7" s="7" t="s">
        <v>526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523</v>
      </c>
      <c r="B8" s="7" t="s">
        <v>524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521</v>
      </c>
      <c r="B9" s="7" t="s">
        <v>522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519</v>
      </c>
      <c r="B10" s="7" t="s">
        <v>520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517</v>
      </c>
      <c r="B11" s="7" t="s">
        <v>518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515</v>
      </c>
      <c r="B12" s="7" t="s">
        <v>516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513</v>
      </c>
      <c r="B13" s="7" t="s">
        <v>514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511</v>
      </c>
      <c r="B14" s="7" t="s">
        <v>512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509</v>
      </c>
      <c r="B15" s="7" t="s">
        <v>510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507</v>
      </c>
      <c r="B16" s="7" t="s">
        <v>508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505</v>
      </c>
      <c r="B17" s="7" t="s">
        <v>506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503</v>
      </c>
      <c r="B18" s="7" t="s">
        <v>504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501</v>
      </c>
      <c r="B19" s="7" t="s">
        <v>502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499</v>
      </c>
      <c r="B20" s="11" t="s">
        <v>500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497</v>
      </c>
      <c r="B21" s="11" t="s">
        <v>498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495</v>
      </c>
      <c r="B22" s="11" t="s">
        <v>496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493</v>
      </c>
      <c r="B23" s="11" t="s">
        <v>494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491</v>
      </c>
      <c r="B24" s="11" t="s">
        <v>492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489</v>
      </c>
      <c r="B25" s="7" t="s">
        <v>490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487</v>
      </c>
      <c r="B26" s="7" t="s">
        <v>488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485</v>
      </c>
      <c r="B27" s="7" t="s">
        <v>486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483</v>
      </c>
      <c r="B28" s="7" t="s">
        <v>484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303</v>
      </c>
      <c r="B29" s="7" t="s">
        <v>482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93"/>
      <c r="B30" s="194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6"/>
      <c r="V30" s="196"/>
      <c r="W30" s="196"/>
      <c r="X30" s="196"/>
      <c r="Y30" s="196"/>
      <c r="Z30" s="196"/>
      <c r="AA30" s="196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65"/>
      <c r="D36" s="14"/>
      <c r="E36" s="165"/>
      <c r="F36" s="14"/>
      <c r="G36" s="165"/>
      <c r="H36" s="14"/>
      <c r="I36" s="165"/>
      <c r="J36" s="14"/>
      <c r="K36" s="17"/>
      <c r="L36" s="14"/>
      <c r="M36" s="17"/>
      <c r="N36" s="14"/>
      <c r="O36" s="17"/>
      <c r="P36" s="14"/>
      <c r="Q36" s="17"/>
    </row>
    <row r="37"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B38" s="165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65"/>
      <c r="D41" s="14"/>
      <c r="E41" s="165"/>
      <c r="F41" s="14"/>
      <c r="G41" s="165"/>
      <c r="H41" s="14"/>
      <c r="I41" s="165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65"/>
      <c r="D44" s="14"/>
      <c r="E44" s="165"/>
      <c r="F44" s="14"/>
      <c r="G44" s="165"/>
      <c r="H44" s="14"/>
      <c r="I44" s="165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46193.0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>
        <v>200.0</v>
      </c>
      <c r="D2" s="1">
        <v>202.0</v>
      </c>
      <c r="E2" s="1">
        <v>206.0</v>
      </c>
      <c r="F2" s="1">
        <v>208.0</v>
      </c>
      <c r="G2" s="1">
        <v>212.0</v>
      </c>
      <c r="H2" s="1">
        <v>214.0</v>
      </c>
      <c r="I2" s="1">
        <v>216.0</v>
      </c>
      <c r="J2" s="1">
        <v>218.0</v>
      </c>
      <c r="K2" s="1">
        <v>220.0</v>
      </c>
      <c r="L2" s="1">
        <v>224.0</v>
      </c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303</v>
      </c>
      <c r="B3" s="5" t="s">
        <v>482</v>
      </c>
      <c r="C3" s="6">
        <v>0.20833333333333334</v>
      </c>
      <c r="D3" s="6"/>
      <c r="E3" s="6">
        <v>0.2916666666666667</v>
      </c>
      <c r="F3" s="6"/>
      <c r="G3" s="6">
        <v>0.5833333333333334</v>
      </c>
      <c r="H3" s="6"/>
      <c r="I3" s="6">
        <v>0.6666666666666666</v>
      </c>
      <c r="J3" s="6"/>
      <c r="K3" s="6">
        <v>0.75</v>
      </c>
      <c r="L3" s="6"/>
    </row>
    <row r="4">
      <c r="A4" s="1" t="s">
        <v>483</v>
      </c>
      <c r="B4" s="9" t="s">
        <v>484</v>
      </c>
      <c r="C4" s="8">
        <v>0.21319444444444444</v>
      </c>
      <c r="D4" s="8"/>
      <c r="E4" s="8">
        <v>0.2965277777777778</v>
      </c>
      <c r="F4" s="8"/>
      <c r="G4" s="8">
        <v>0.5881944444444445</v>
      </c>
      <c r="H4" s="8"/>
      <c r="I4" s="8">
        <v>0.6715277777777777</v>
      </c>
      <c r="J4" s="8"/>
      <c r="K4" s="8">
        <v>0.7548611111111111</v>
      </c>
      <c r="L4" s="8"/>
      <c r="M4" s="8"/>
      <c r="N4" s="8"/>
      <c r="O4" s="8"/>
      <c r="P4" s="8"/>
      <c r="Q4" s="8"/>
      <c r="R4" s="8"/>
      <c r="S4" s="8"/>
    </row>
    <row r="5">
      <c r="A5" s="1" t="s">
        <v>485</v>
      </c>
      <c r="B5" s="9" t="s">
        <v>486</v>
      </c>
      <c r="C5" s="8">
        <v>0.21736111111111112</v>
      </c>
      <c r="D5" s="8"/>
      <c r="E5" s="8">
        <v>0.30069444444444443</v>
      </c>
      <c r="F5" s="8"/>
      <c r="G5" s="8">
        <v>0.5923611111111111</v>
      </c>
      <c r="H5" s="8"/>
      <c r="I5" s="8">
        <v>0.6756944444444445</v>
      </c>
      <c r="J5" s="8"/>
      <c r="K5" s="8">
        <v>0.7590277777777777</v>
      </c>
      <c r="L5" s="8"/>
      <c r="M5" s="8"/>
      <c r="N5" s="8"/>
      <c r="O5" s="8"/>
      <c r="P5" s="8"/>
      <c r="Q5" s="8"/>
      <c r="R5" s="8"/>
      <c r="S5" s="8"/>
    </row>
    <row r="6">
      <c r="A6" s="7" t="s">
        <v>487</v>
      </c>
      <c r="B6" s="9" t="s">
        <v>488</v>
      </c>
      <c r="C6" s="8">
        <v>0.21944444444444444</v>
      </c>
      <c r="D6" s="8"/>
      <c r="E6" s="8">
        <v>0.30277777777777776</v>
      </c>
      <c r="F6" s="8"/>
      <c r="G6" s="8">
        <v>0.5944444444444444</v>
      </c>
      <c r="H6" s="8"/>
      <c r="I6" s="8">
        <v>0.6777777777777778</v>
      </c>
      <c r="J6" s="8"/>
      <c r="K6" s="8">
        <v>0.7611111111111111</v>
      </c>
      <c r="L6" s="8"/>
      <c r="M6" s="8"/>
      <c r="N6" s="8"/>
      <c r="O6" s="8"/>
      <c r="P6" s="8"/>
      <c r="Q6" s="8"/>
      <c r="R6" s="8"/>
      <c r="S6" s="8"/>
    </row>
    <row r="7">
      <c r="A7" s="7" t="s">
        <v>489</v>
      </c>
      <c r="B7" s="9" t="s">
        <v>490</v>
      </c>
      <c r="C7" s="8">
        <v>0.2222222222222222</v>
      </c>
      <c r="D7" s="8"/>
      <c r="E7" s="8">
        <v>0.3055555555555556</v>
      </c>
      <c r="F7" s="8"/>
      <c r="G7" s="8">
        <v>0.5972222222222222</v>
      </c>
      <c r="H7" s="8"/>
      <c r="I7" s="8">
        <v>0.6805555555555556</v>
      </c>
      <c r="J7" s="8"/>
      <c r="K7" s="8">
        <v>0.7638888888888888</v>
      </c>
      <c r="L7" s="8"/>
      <c r="M7" s="8"/>
      <c r="N7" s="8"/>
      <c r="O7" s="8"/>
      <c r="P7" s="8"/>
      <c r="Q7" s="8"/>
      <c r="R7" s="8"/>
      <c r="S7" s="8"/>
    </row>
    <row r="8">
      <c r="A8" s="7" t="s">
        <v>491</v>
      </c>
      <c r="B8" s="7" t="s">
        <v>492</v>
      </c>
      <c r="C8" s="8"/>
      <c r="D8" s="8"/>
      <c r="E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493</v>
      </c>
      <c r="B9" s="7" t="s">
        <v>494</v>
      </c>
      <c r="C9" s="8"/>
      <c r="D9" s="8"/>
      <c r="E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495</v>
      </c>
      <c r="B10" s="7" t="s">
        <v>496</v>
      </c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497</v>
      </c>
      <c r="B11" s="7" t="s">
        <v>498</v>
      </c>
      <c r="C11" s="8">
        <v>0.22847222222222222</v>
      </c>
      <c r="D11" s="8"/>
      <c r="E11" s="8">
        <v>0.31180555555555556</v>
      </c>
      <c r="F11" s="8"/>
      <c r="G11" s="8">
        <v>0.6034722222222222</v>
      </c>
      <c r="H11" s="8"/>
      <c r="I11" s="8">
        <v>0.6868055555555556</v>
      </c>
      <c r="J11" s="8"/>
      <c r="K11" s="8">
        <v>0.7701388888888889</v>
      </c>
      <c r="L11" s="8"/>
      <c r="M11" s="8"/>
      <c r="N11" s="8"/>
      <c r="O11" s="8"/>
      <c r="P11" s="8"/>
      <c r="Q11" s="8"/>
      <c r="R11" s="8"/>
      <c r="S11" s="8"/>
    </row>
    <row r="12">
      <c r="A12" s="7" t="s">
        <v>499</v>
      </c>
      <c r="B12" s="7" t="s">
        <v>500</v>
      </c>
      <c r="C12" s="8"/>
      <c r="D12" s="8"/>
      <c r="E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501</v>
      </c>
      <c r="B13" s="7" t="s">
        <v>502</v>
      </c>
      <c r="C13" s="8">
        <v>0.23333333333333334</v>
      </c>
      <c r="D13" s="8"/>
      <c r="E13" s="8">
        <v>0.31666666666666665</v>
      </c>
      <c r="F13" s="8"/>
      <c r="G13" s="8">
        <v>0.6083333333333333</v>
      </c>
      <c r="H13" s="8"/>
      <c r="I13" s="8">
        <v>0.6916666666666667</v>
      </c>
      <c r="J13" s="8"/>
      <c r="K13" s="8">
        <v>0.775</v>
      </c>
      <c r="L13" s="8"/>
      <c r="M13" s="8"/>
      <c r="N13" s="8"/>
      <c r="O13" s="8"/>
      <c r="P13" s="8"/>
      <c r="Q13" s="8"/>
      <c r="R13" s="8"/>
      <c r="S13" s="8"/>
    </row>
    <row r="14">
      <c r="A14" s="7" t="s">
        <v>503</v>
      </c>
      <c r="B14" s="7" t="s">
        <v>504</v>
      </c>
      <c r="C14" s="8">
        <v>0.2361111111111111</v>
      </c>
      <c r="D14" s="8"/>
      <c r="E14" s="8">
        <v>0.3194444444444444</v>
      </c>
      <c r="F14" s="8"/>
      <c r="G14" s="8">
        <v>0.6111111111111112</v>
      </c>
      <c r="H14" s="8"/>
      <c r="I14" s="8">
        <v>0.6944444444444444</v>
      </c>
      <c r="J14" s="8"/>
      <c r="K14" s="8">
        <v>0.7777777777777778</v>
      </c>
      <c r="L14" s="8"/>
      <c r="M14" s="8"/>
      <c r="N14" s="8"/>
      <c r="O14" s="8"/>
      <c r="P14" s="8"/>
      <c r="Q14" s="8"/>
    </row>
    <row r="15">
      <c r="A15" s="1" t="s">
        <v>505</v>
      </c>
      <c r="B15" s="7" t="s">
        <v>506</v>
      </c>
      <c r="C15" s="8">
        <v>0.23958333333333334</v>
      </c>
      <c r="D15" s="8"/>
      <c r="E15" s="8">
        <v>0.3229166666666667</v>
      </c>
      <c r="F15" s="8"/>
      <c r="G15" s="8">
        <v>0.6145833333333334</v>
      </c>
      <c r="H15" s="8"/>
      <c r="I15" s="8">
        <v>0.6979166666666666</v>
      </c>
      <c r="J15" s="8"/>
      <c r="K15" s="8">
        <v>0.78125</v>
      </c>
      <c r="L15" s="8"/>
      <c r="M15" s="8"/>
      <c r="N15" s="8"/>
      <c r="O15" s="8"/>
      <c r="P15" s="8"/>
      <c r="Q15" s="8"/>
    </row>
    <row r="16">
      <c r="A16" s="7" t="s">
        <v>507</v>
      </c>
      <c r="B16" s="7" t="s">
        <v>508</v>
      </c>
      <c r="C16" s="8"/>
      <c r="D16" s="8"/>
      <c r="E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6" t="s">
        <v>509</v>
      </c>
      <c r="B17" s="76" t="s">
        <v>510</v>
      </c>
      <c r="C17" s="69">
        <v>0.24305555555555555</v>
      </c>
      <c r="D17" s="69">
        <v>0.25</v>
      </c>
      <c r="E17" s="69">
        <v>0.3263888888888889</v>
      </c>
      <c r="F17" s="69">
        <v>0.3333333333333333</v>
      </c>
      <c r="G17" s="69">
        <v>0.6180555555555556</v>
      </c>
      <c r="H17" s="69">
        <v>0.625</v>
      </c>
      <c r="I17" s="69">
        <v>0.7013888888888888</v>
      </c>
      <c r="J17" s="69">
        <v>0.7083333333333334</v>
      </c>
      <c r="K17" s="69">
        <v>0.7847222222222222</v>
      </c>
      <c r="L17" s="69">
        <v>0.7916666666666666</v>
      </c>
      <c r="M17" s="8"/>
      <c r="N17" s="8"/>
      <c r="O17" s="8"/>
      <c r="P17" s="8"/>
      <c r="Q17" s="8"/>
      <c r="R17" s="8"/>
      <c r="S17" s="8"/>
    </row>
    <row r="18">
      <c r="A18" s="7" t="s">
        <v>511</v>
      </c>
      <c r="B18" s="7" t="s">
        <v>512</v>
      </c>
      <c r="C18" s="8"/>
      <c r="D18" s="8"/>
      <c r="E18" s="8"/>
      <c r="F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513</v>
      </c>
      <c r="B19" s="7" t="s">
        <v>514</v>
      </c>
      <c r="C19" s="8"/>
      <c r="D19" s="8">
        <v>0.2548611111111111</v>
      </c>
      <c r="E19" s="8"/>
      <c r="F19" s="8">
        <v>0.33819444444444446</v>
      </c>
      <c r="G19" s="8"/>
      <c r="H19" s="8">
        <v>0.6298611111111111</v>
      </c>
      <c r="I19" s="8"/>
      <c r="J19" s="8">
        <v>0.7131944444444445</v>
      </c>
      <c r="K19" s="8"/>
      <c r="L19" s="8">
        <v>0.7965277777777777</v>
      </c>
      <c r="M19" s="8"/>
      <c r="N19" s="8"/>
      <c r="O19" s="8"/>
      <c r="P19" s="8"/>
      <c r="Q19" s="8"/>
      <c r="R19" s="8"/>
      <c r="S19" s="8"/>
    </row>
    <row r="20">
      <c r="A20" s="7" t="s">
        <v>515</v>
      </c>
      <c r="B20" s="11" t="s">
        <v>516</v>
      </c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517</v>
      </c>
      <c r="B21" s="11" t="s">
        <v>518</v>
      </c>
      <c r="C21" s="8"/>
      <c r="D21" s="8">
        <v>0.2611111111111111</v>
      </c>
      <c r="E21" s="8"/>
      <c r="F21" s="8">
        <v>0.34444444444444444</v>
      </c>
      <c r="G21" s="8"/>
      <c r="H21" s="8">
        <v>0.6361111111111111</v>
      </c>
      <c r="I21" s="8"/>
      <c r="J21" s="8">
        <v>0.7194444444444444</v>
      </c>
      <c r="K21" s="8"/>
      <c r="L21" s="8">
        <v>0.8027777777777778</v>
      </c>
      <c r="M21" s="8"/>
      <c r="N21" s="8"/>
      <c r="O21" s="8"/>
      <c r="P21" s="8"/>
      <c r="Q21" s="8"/>
      <c r="R21" s="12"/>
      <c r="S21" s="12"/>
    </row>
    <row r="22">
      <c r="A22" s="13" t="s">
        <v>519</v>
      </c>
      <c r="B22" s="11" t="s">
        <v>520</v>
      </c>
      <c r="C22" s="8"/>
      <c r="D22" s="8"/>
      <c r="E22" s="8"/>
      <c r="F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521</v>
      </c>
      <c r="B23" s="11" t="s">
        <v>522</v>
      </c>
      <c r="C23" s="8"/>
      <c r="D23" s="8"/>
      <c r="E23" s="8"/>
      <c r="F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523</v>
      </c>
      <c r="B24" s="11" t="s">
        <v>524</v>
      </c>
      <c r="C24" s="8"/>
      <c r="D24" s="8">
        <v>0.26944444444444443</v>
      </c>
      <c r="E24" s="8"/>
      <c r="F24" s="8">
        <v>0.3527777777777778</v>
      </c>
      <c r="G24" s="8"/>
      <c r="H24" s="8">
        <v>0.6444444444444445</v>
      </c>
      <c r="I24" s="8"/>
      <c r="J24" s="8">
        <v>0.7277777777777777</v>
      </c>
      <c r="K24" s="8"/>
      <c r="L24" s="8">
        <v>0.8111111111111111</v>
      </c>
      <c r="M24" s="8"/>
      <c r="N24" s="8"/>
      <c r="O24" s="8"/>
      <c r="P24" s="8"/>
      <c r="Q24" s="8"/>
      <c r="R24" s="12"/>
      <c r="S24" s="12"/>
    </row>
    <row r="25">
      <c r="A25" s="13" t="s">
        <v>525</v>
      </c>
      <c r="B25" s="11" t="s">
        <v>526</v>
      </c>
      <c r="C25" s="8"/>
      <c r="D25" s="8"/>
      <c r="E25" s="8"/>
      <c r="F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</row>
    <row r="26">
      <c r="A26" s="13" t="s">
        <v>527</v>
      </c>
      <c r="B26" s="11" t="s">
        <v>528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</row>
    <row r="27">
      <c r="A27" s="13" t="s">
        <v>529</v>
      </c>
      <c r="B27" s="11" t="s">
        <v>530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</row>
    <row r="28">
      <c r="A28" s="13" t="s">
        <v>531</v>
      </c>
      <c r="B28" s="11" t="s">
        <v>532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</row>
    <row r="29">
      <c r="A29" s="13" t="s">
        <v>533</v>
      </c>
      <c r="B29" s="11" t="s">
        <v>534</v>
      </c>
      <c r="C29" s="8"/>
      <c r="D29" s="8">
        <v>0.2847222222222222</v>
      </c>
      <c r="E29" s="8"/>
      <c r="F29" s="8">
        <v>0.3680555555555556</v>
      </c>
      <c r="G29" s="8"/>
      <c r="H29" s="8">
        <v>0.6597222222222222</v>
      </c>
      <c r="I29" s="8"/>
      <c r="J29" s="8">
        <v>0.7430555555555556</v>
      </c>
      <c r="K29" s="8"/>
      <c r="L29" s="8">
        <v>0.8263888888888888</v>
      </c>
      <c r="M29" s="8"/>
      <c r="N29" s="8"/>
      <c r="O29" s="8"/>
      <c r="P29" s="8"/>
      <c r="Q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</row>
    <row r="34">
      <c r="C34" s="14"/>
      <c r="D34" s="14"/>
      <c r="E34" s="14"/>
      <c r="F34" s="14"/>
      <c r="G34" s="14"/>
      <c r="H34" s="14"/>
      <c r="I34" s="14"/>
    </row>
    <row r="35">
      <c r="A35" s="11"/>
      <c r="B35" s="11"/>
      <c r="C35" s="11"/>
      <c r="D35" s="11"/>
      <c r="E35" s="11"/>
      <c r="F35" s="11"/>
      <c r="G35" s="11"/>
      <c r="H35" s="11"/>
      <c r="I35" s="14"/>
    </row>
    <row r="36">
      <c r="A36" s="13"/>
      <c r="B36" s="12"/>
      <c r="C36" s="165"/>
      <c r="D36" s="14"/>
      <c r="E36" s="165"/>
      <c r="F36" s="165"/>
      <c r="G36" s="14"/>
      <c r="H36" s="165"/>
      <c r="I36" s="11"/>
    </row>
    <row r="37">
      <c r="A37" s="13"/>
      <c r="B37" s="14"/>
      <c r="C37" s="165"/>
      <c r="D37" s="14"/>
      <c r="E37" s="165"/>
      <c r="F37" s="165"/>
      <c r="G37" s="14"/>
      <c r="H37" s="165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"/>
      <c r="C39" s="144"/>
      <c r="D39" s="14"/>
      <c r="E39" s="144"/>
      <c r="F39" s="144"/>
      <c r="G39" s="14"/>
      <c r="H39" s="144"/>
      <c r="I39" s="14"/>
    </row>
    <row r="40">
      <c r="A40" s="13"/>
      <c r="B40" s="14"/>
      <c r="C40" s="144"/>
      <c r="D40" s="14"/>
      <c r="E40" s="144"/>
      <c r="F40" s="144"/>
      <c r="G40" s="1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4"/>
      <c r="C43" s="144"/>
      <c r="D43" s="144"/>
      <c r="E43" s="144"/>
      <c r="F43" s="144"/>
      <c r="G43" s="144"/>
      <c r="H43" s="144"/>
      <c r="I43" s="14"/>
    </row>
    <row r="44">
      <c r="A44" s="13"/>
      <c r="B44" s="14"/>
      <c r="C44" s="165"/>
      <c r="D44" s="14"/>
      <c r="E44" s="165"/>
      <c r="F44" s="165"/>
      <c r="G44" s="14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4"/>
      <c r="C47" s="17"/>
      <c r="D47" s="14"/>
      <c r="E47" s="17"/>
      <c r="F47" s="17"/>
      <c r="G47" s="14"/>
      <c r="H47" s="17"/>
    </row>
    <row r="48">
      <c r="A48" s="13"/>
      <c r="B48" s="14"/>
      <c r="C48" s="17"/>
      <c r="D48" s="14"/>
      <c r="E48" s="17"/>
      <c r="F48" s="17"/>
      <c r="G48" s="14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7"/>
      <c r="D52" s="17"/>
      <c r="E52" s="17"/>
      <c r="F52" s="17"/>
      <c r="G52" s="17"/>
      <c r="H52" s="17"/>
    </row>
    <row r="53">
      <c r="A53" s="13"/>
      <c r="B53" s="17"/>
      <c r="C53" s="17"/>
      <c r="D53" s="17"/>
      <c r="E53" s="17"/>
      <c r="F53" s="17"/>
      <c r="G53" s="17"/>
      <c r="H53" s="17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7"/>
      <c r="D56" s="17"/>
      <c r="E56" s="17"/>
      <c r="F56" s="17"/>
      <c r="G56" s="17"/>
      <c r="H56" s="17"/>
    </row>
    <row r="57">
      <c r="A57" s="13"/>
      <c r="B57" s="17"/>
      <c r="C57" s="14"/>
      <c r="D57" s="17"/>
      <c r="E57" s="14"/>
      <c r="F57" s="14"/>
      <c r="G57" s="17"/>
      <c r="H57" s="14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7"/>
      <c r="D60" s="17"/>
      <c r="E60" s="17"/>
      <c r="F60" s="17"/>
      <c r="G60" s="17"/>
      <c r="H60" s="17"/>
    </row>
    <row r="61">
      <c r="A61" s="13"/>
      <c r="B61" s="17"/>
      <c r="C61" s="17"/>
      <c r="D61" s="17"/>
      <c r="E61" s="17"/>
      <c r="F61" s="17"/>
      <c r="G61" s="17"/>
      <c r="H61" s="17"/>
    </row>
    <row r="62">
      <c r="A62" s="13"/>
      <c r="B62" s="17"/>
      <c r="C62" s="14"/>
      <c r="D62" s="17"/>
      <c r="E62" s="14"/>
      <c r="F62" s="14"/>
      <c r="G62" s="17"/>
      <c r="H62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46193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>
        <v>203.0</v>
      </c>
      <c r="D2" s="1">
        <v>205.0</v>
      </c>
      <c r="E2" s="1">
        <v>207.0</v>
      </c>
      <c r="F2" s="1">
        <v>209.0</v>
      </c>
      <c r="G2" s="1">
        <v>213.0</v>
      </c>
      <c r="H2" s="7">
        <v>215.0</v>
      </c>
      <c r="I2" s="7">
        <v>217.0</v>
      </c>
      <c r="J2" s="1">
        <v>219.0</v>
      </c>
      <c r="K2" s="1">
        <v>221.0</v>
      </c>
      <c r="L2" s="1">
        <v>223.0</v>
      </c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533</v>
      </c>
      <c r="B3" s="5" t="s">
        <v>534</v>
      </c>
      <c r="C3" s="6">
        <v>0.20833333333333334</v>
      </c>
      <c r="D3" s="6"/>
      <c r="E3" s="6">
        <v>0.2916666666666667</v>
      </c>
      <c r="F3" s="6"/>
      <c r="G3" s="6">
        <v>0.5833333333333334</v>
      </c>
      <c r="H3" s="6"/>
      <c r="I3" s="6">
        <v>0.6666666666666666</v>
      </c>
      <c r="J3" s="6"/>
      <c r="K3" s="6">
        <v>0.75</v>
      </c>
      <c r="L3" s="6"/>
    </row>
    <row r="4">
      <c r="A4" s="1" t="s">
        <v>531</v>
      </c>
      <c r="B4" s="7" t="s">
        <v>532</v>
      </c>
      <c r="C4" s="8"/>
      <c r="D4" s="8"/>
      <c r="E4" s="8"/>
      <c r="F4" s="8"/>
      <c r="G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529</v>
      </c>
      <c r="B5" s="7" t="s">
        <v>530</v>
      </c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527</v>
      </c>
      <c r="B6" s="7" t="s">
        <v>528</v>
      </c>
      <c r="C6" s="8"/>
      <c r="D6" s="8"/>
      <c r="E6" s="8"/>
      <c r="F6" s="8"/>
      <c r="G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525</v>
      </c>
      <c r="B7" s="7" t="s">
        <v>526</v>
      </c>
      <c r="C7" s="8"/>
      <c r="D7" s="8"/>
      <c r="E7" s="8"/>
      <c r="F7" s="8"/>
      <c r="G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523</v>
      </c>
      <c r="B8" s="7" t="s">
        <v>524</v>
      </c>
      <c r="C8" s="8">
        <v>0.22569444444444445</v>
      </c>
      <c r="D8" s="8"/>
      <c r="E8" s="8">
        <v>0.3090277777777778</v>
      </c>
      <c r="F8" s="8"/>
      <c r="G8" s="8">
        <v>0.6006944444444444</v>
      </c>
      <c r="I8" s="8">
        <v>0.6840277777777778</v>
      </c>
      <c r="J8" s="8"/>
      <c r="K8" s="8">
        <v>0.7673611111111112</v>
      </c>
      <c r="L8" s="8"/>
      <c r="M8" s="8"/>
      <c r="N8" s="8"/>
      <c r="O8" s="8"/>
      <c r="P8" s="8"/>
      <c r="Q8" s="8"/>
      <c r="R8" s="8"/>
      <c r="S8" s="8"/>
    </row>
    <row r="9">
      <c r="A9" s="1" t="s">
        <v>521</v>
      </c>
      <c r="B9" s="7" t="s">
        <v>522</v>
      </c>
      <c r="C9" s="8"/>
      <c r="D9" s="8"/>
      <c r="E9" s="8"/>
      <c r="F9" s="8"/>
      <c r="G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519</v>
      </c>
      <c r="B10" s="7" t="s">
        <v>520</v>
      </c>
      <c r="C10" s="8"/>
      <c r="D10" s="8"/>
      <c r="E10" s="8"/>
      <c r="F10" s="8"/>
      <c r="G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517</v>
      </c>
      <c r="B11" s="7" t="s">
        <v>518</v>
      </c>
      <c r="C11" s="8">
        <v>0.23055555555555557</v>
      </c>
      <c r="D11" s="8"/>
      <c r="E11" s="8">
        <v>0.3138888888888889</v>
      </c>
      <c r="F11" s="8"/>
      <c r="G11" s="8">
        <v>0.6055555555555555</v>
      </c>
      <c r="I11" s="8">
        <v>0.6888888888888889</v>
      </c>
      <c r="J11" s="8"/>
      <c r="K11" s="8">
        <v>0.7722222222222223</v>
      </c>
      <c r="L11" s="8"/>
      <c r="M11" s="8"/>
      <c r="N11" s="8"/>
      <c r="O11" s="8"/>
      <c r="P11" s="8"/>
      <c r="Q11" s="8"/>
      <c r="R11" s="8"/>
      <c r="S11" s="8"/>
    </row>
    <row r="12">
      <c r="A12" s="7" t="s">
        <v>515</v>
      </c>
      <c r="B12" s="7" t="s">
        <v>516</v>
      </c>
      <c r="C12" s="8"/>
      <c r="D12" s="8"/>
      <c r="E12" s="8"/>
      <c r="F12" s="8"/>
      <c r="G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513</v>
      </c>
      <c r="B13" s="7" t="s">
        <v>514</v>
      </c>
      <c r="C13" s="107">
        <v>0.2375</v>
      </c>
      <c r="D13" s="107"/>
      <c r="E13" s="107">
        <v>0.32083333333333336</v>
      </c>
      <c r="F13" s="107"/>
      <c r="G13" s="107">
        <v>0.6125</v>
      </c>
      <c r="H13" s="108"/>
      <c r="I13" s="8">
        <v>0.6958333333333333</v>
      </c>
      <c r="J13" s="8"/>
      <c r="K13" s="8">
        <v>0.7791666666666667</v>
      </c>
      <c r="L13" s="8"/>
      <c r="M13" s="8"/>
      <c r="N13" s="8"/>
      <c r="O13" s="8"/>
      <c r="P13" s="8"/>
      <c r="Q13" s="8"/>
      <c r="R13" s="8"/>
      <c r="S13" s="8"/>
    </row>
    <row r="14">
      <c r="A14" s="7" t="s">
        <v>511</v>
      </c>
      <c r="B14" s="7" t="s">
        <v>512</v>
      </c>
      <c r="C14" s="8"/>
      <c r="D14" s="8"/>
      <c r="E14" s="8"/>
      <c r="F14" s="8"/>
      <c r="G14" s="8"/>
      <c r="J14" s="8"/>
      <c r="K14" s="8"/>
      <c r="L14" s="8"/>
      <c r="M14" s="8"/>
      <c r="N14" s="8"/>
      <c r="O14" s="8"/>
      <c r="P14" s="8"/>
      <c r="Q14" s="8"/>
    </row>
    <row r="15">
      <c r="A15" s="197" t="s">
        <v>509</v>
      </c>
      <c r="B15" s="76" t="s">
        <v>510</v>
      </c>
      <c r="C15" s="69">
        <v>0.24305555555555555</v>
      </c>
      <c r="D15" s="69">
        <v>0.25</v>
      </c>
      <c r="E15" s="69">
        <v>0.3263888888888889</v>
      </c>
      <c r="F15" s="69">
        <v>0.3333333333333333</v>
      </c>
      <c r="G15" s="69">
        <v>0.6180555555555556</v>
      </c>
      <c r="H15" s="69">
        <v>0.625</v>
      </c>
      <c r="I15" s="69">
        <v>0.7013888888888888</v>
      </c>
      <c r="J15" s="69">
        <v>0.7083333333333334</v>
      </c>
      <c r="K15" s="69">
        <v>0.7847222222222222</v>
      </c>
      <c r="L15" s="69">
        <v>0.7916666666666666</v>
      </c>
      <c r="M15" s="8"/>
      <c r="N15" s="8"/>
      <c r="O15" s="8"/>
      <c r="P15" s="8"/>
      <c r="Q15" s="8"/>
    </row>
    <row r="16">
      <c r="A16" s="7" t="s">
        <v>507</v>
      </c>
      <c r="B16" s="7" t="s">
        <v>508</v>
      </c>
      <c r="C16" s="8"/>
      <c r="D16" s="8"/>
      <c r="E16" s="8"/>
      <c r="F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505</v>
      </c>
      <c r="B17" s="7" t="s">
        <v>506</v>
      </c>
      <c r="C17" s="8"/>
      <c r="D17" s="8">
        <v>0.2534722222222222</v>
      </c>
      <c r="E17" s="8"/>
      <c r="F17" s="8">
        <v>0.3368055555555556</v>
      </c>
      <c r="G17" s="10"/>
      <c r="H17" s="8">
        <v>0.6284722222222222</v>
      </c>
      <c r="J17" s="8">
        <v>0.7118055555555556</v>
      </c>
      <c r="K17" s="8"/>
      <c r="L17" s="8">
        <v>0.7951388888888888</v>
      </c>
      <c r="M17" s="8"/>
      <c r="N17" s="8"/>
      <c r="O17" s="8"/>
      <c r="P17" s="8"/>
      <c r="Q17" s="8"/>
      <c r="R17" s="8"/>
      <c r="S17" s="8"/>
    </row>
    <row r="18">
      <c r="A18" s="7" t="s">
        <v>503</v>
      </c>
      <c r="B18" s="7" t="s">
        <v>504</v>
      </c>
      <c r="C18" s="8"/>
      <c r="D18" s="8">
        <v>0.25625</v>
      </c>
      <c r="E18" s="8"/>
      <c r="F18" s="8">
        <v>0.33958333333333335</v>
      </c>
      <c r="G18" s="10"/>
      <c r="H18" s="8">
        <v>0.63125</v>
      </c>
      <c r="J18" s="8">
        <v>0.7145833333333333</v>
      </c>
      <c r="K18" s="8"/>
      <c r="L18" s="8">
        <v>0.7979166666666667</v>
      </c>
      <c r="M18" s="8"/>
      <c r="N18" s="8"/>
      <c r="O18" s="8"/>
      <c r="P18" s="8"/>
      <c r="Q18" s="8"/>
      <c r="R18" s="8"/>
      <c r="S18" s="8"/>
    </row>
    <row r="19">
      <c r="A19" s="7" t="s">
        <v>501</v>
      </c>
      <c r="B19" s="7" t="s">
        <v>502</v>
      </c>
      <c r="C19" s="8"/>
      <c r="D19" s="8">
        <v>0.2590277777777778</v>
      </c>
      <c r="E19" s="8"/>
      <c r="F19" s="8">
        <v>0.3423611111111111</v>
      </c>
      <c r="G19" s="10"/>
      <c r="H19" s="8">
        <v>0.6340277777777777</v>
      </c>
      <c r="J19" s="8">
        <v>0.7173611111111111</v>
      </c>
      <c r="K19" s="8"/>
      <c r="L19" s="8">
        <v>0.8006944444444445</v>
      </c>
      <c r="M19" s="8"/>
      <c r="N19" s="8"/>
      <c r="O19" s="8"/>
      <c r="P19" s="8"/>
      <c r="Q19" s="8"/>
      <c r="R19" s="8"/>
      <c r="S19" s="8"/>
    </row>
    <row r="20">
      <c r="A20" s="7" t="s">
        <v>499</v>
      </c>
      <c r="B20" s="11" t="s">
        <v>500</v>
      </c>
      <c r="C20" s="8"/>
      <c r="D20" s="8"/>
      <c r="E20" s="8"/>
      <c r="F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497</v>
      </c>
      <c r="B21" s="11" t="s">
        <v>498</v>
      </c>
      <c r="C21" s="8"/>
      <c r="D21" s="8">
        <v>0.2625</v>
      </c>
      <c r="E21" s="8"/>
      <c r="F21" s="8">
        <v>0.3458333333333333</v>
      </c>
      <c r="G21" s="10"/>
      <c r="H21" s="8">
        <v>0.6375</v>
      </c>
      <c r="J21" s="8">
        <v>0.7208333333333333</v>
      </c>
      <c r="K21" s="8"/>
      <c r="L21" s="8">
        <v>0.8041666666666667</v>
      </c>
      <c r="M21" s="8"/>
      <c r="N21" s="8"/>
      <c r="O21" s="8"/>
      <c r="P21" s="8"/>
      <c r="Q21" s="8"/>
      <c r="R21" s="12"/>
      <c r="S21" s="12"/>
    </row>
    <row r="22">
      <c r="A22" s="13" t="s">
        <v>495</v>
      </c>
      <c r="B22" s="11" t="s">
        <v>496</v>
      </c>
      <c r="C22" s="8"/>
      <c r="D22" s="8"/>
      <c r="E22" s="8"/>
      <c r="F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493</v>
      </c>
      <c r="B23" s="11" t="s">
        <v>494</v>
      </c>
      <c r="C23" s="8"/>
      <c r="D23" s="8"/>
      <c r="E23" s="8"/>
      <c r="F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491</v>
      </c>
      <c r="B24" s="11" t="s">
        <v>492</v>
      </c>
      <c r="C24" s="8"/>
      <c r="D24" s="8"/>
      <c r="E24" s="8"/>
      <c r="F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489</v>
      </c>
      <c r="B25" s="11" t="s">
        <v>490</v>
      </c>
      <c r="C25" s="8"/>
      <c r="D25" s="8">
        <v>0.26944444444444443</v>
      </c>
      <c r="E25" s="8"/>
      <c r="F25" s="8">
        <v>0.3527777777777778</v>
      </c>
      <c r="G25" s="10"/>
      <c r="H25" s="8">
        <v>0.6444444444444445</v>
      </c>
      <c r="J25" s="8">
        <v>0.7277777777777777</v>
      </c>
      <c r="K25" s="8"/>
      <c r="L25" s="8">
        <v>0.8111111111111111</v>
      </c>
      <c r="M25" s="8"/>
      <c r="N25" s="8"/>
      <c r="R25" s="12"/>
      <c r="S25" s="12"/>
    </row>
    <row r="26">
      <c r="A26" s="13" t="s">
        <v>487</v>
      </c>
      <c r="B26" s="11" t="s">
        <v>488</v>
      </c>
      <c r="C26" s="8"/>
      <c r="D26" s="8">
        <v>0.27291666666666664</v>
      </c>
      <c r="E26" s="8"/>
      <c r="F26" s="8">
        <v>0.35625</v>
      </c>
      <c r="G26" s="10"/>
      <c r="H26" s="8">
        <v>0.6479166666666667</v>
      </c>
      <c r="J26" s="8">
        <v>0.73125</v>
      </c>
      <c r="K26" s="8"/>
      <c r="L26" s="8">
        <v>0.8145833333333333</v>
      </c>
      <c r="M26" s="8"/>
      <c r="N26" s="8"/>
      <c r="R26" s="12"/>
      <c r="S26" s="12"/>
    </row>
    <row r="27">
      <c r="A27" s="13" t="s">
        <v>485</v>
      </c>
      <c r="B27" s="11" t="s">
        <v>486</v>
      </c>
      <c r="C27" s="8"/>
      <c r="D27" s="8">
        <v>0.27569444444444446</v>
      </c>
      <c r="E27" s="8"/>
      <c r="F27" s="8">
        <v>0.3590277777777778</v>
      </c>
      <c r="G27" s="10"/>
      <c r="H27" s="8">
        <v>0.6506944444444445</v>
      </c>
      <c r="J27" s="8">
        <v>0.7340277777777777</v>
      </c>
      <c r="K27" s="8"/>
      <c r="L27" s="8">
        <v>0.8173611111111111</v>
      </c>
      <c r="M27" s="8"/>
      <c r="N27" s="8"/>
      <c r="R27" s="12"/>
      <c r="S27" s="12"/>
    </row>
    <row r="28">
      <c r="A28" s="13" t="s">
        <v>483</v>
      </c>
      <c r="B28" s="11" t="s">
        <v>484</v>
      </c>
      <c r="C28" s="8"/>
      <c r="D28" s="8">
        <v>0.2791666666666667</v>
      </c>
      <c r="E28" s="8"/>
      <c r="F28" s="8">
        <v>0.3625</v>
      </c>
      <c r="G28" s="10"/>
      <c r="H28" s="8">
        <v>0.6541666666666667</v>
      </c>
      <c r="J28" s="8">
        <v>0.7375</v>
      </c>
      <c r="K28" s="8"/>
      <c r="L28" s="8">
        <v>0.8208333333333333</v>
      </c>
      <c r="M28" s="8"/>
      <c r="N28" s="8"/>
      <c r="R28" s="12"/>
      <c r="S28" s="12"/>
    </row>
    <row r="29">
      <c r="A29" s="13" t="s">
        <v>303</v>
      </c>
      <c r="B29" s="11" t="s">
        <v>482</v>
      </c>
      <c r="C29" s="8"/>
      <c r="D29" s="8">
        <v>0.2847222222222222</v>
      </c>
      <c r="E29" s="8"/>
      <c r="F29" s="8">
        <v>0.3680555555555556</v>
      </c>
      <c r="G29" s="10"/>
      <c r="H29" s="8">
        <v>0.6597222222222222</v>
      </c>
      <c r="J29" s="8">
        <v>0.7430555555555556</v>
      </c>
      <c r="K29" s="8"/>
      <c r="L29" s="8">
        <v>0.8263888888888888</v>
      </c>
      <c r="M29" s="8"/>
      <c r="N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</row>
    <row r="34">
      <c r="A34" s="13"/>
      <c r="C34" s="14"/>
      <c r="D34" s="14"/>
      <c r="E34" s="14"/>
      <c r="F34" s="14"/>
      <c r="G34" s="14"/>
      <c r="H34" s="14"/>
      <c r="I34" s="14"/>
    </row>
    <row r="35">
      <c r="C35" s="14"/>
      <c r="D35" s="14"/>
      <c r="E35" s="14"/>
      <c r="F35" s="14"/>
      <c r="G35" s="14"/>
      <c r="H35" s="14"/>
      <c r="I35" s="14"/>
    </row>
    <row r="36">
      <c r="B36" s="10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4"/>
      <c r="C39" s="144"/>
      <c r="D39" s="144"/>
      <c r="E39" s="144"/>
      <c r="F39" s="144"/>
      <c r="G39" s="144"/>
      <c r="H39" s="144"/>
      <c r="I39" s="14"/>
    </row>
    <row r="40">
      <c r="A40" s="13"/>
      <c r="B40" s="144"/>
      <c r="C40" s="144"/>
      <c r="D40" s="144"/>
      <c r="E40" s="144"/>
      <c r="F40" s="144"/>
      <c r="G40" s="14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"/>
      <c r="C43" s="144"/>
      <c r="D43" s="14"/>
      <c r="E43" s="144"/>
      <c r="F43" s="144"/>
      <c r="G43" s="14"/>
      <c r="H43" s="144"/>
      <c r="I43" s="14"/>
    </row>
    <row r="44">
      <c r="A44" s="13"/>
      <c r="B44" s="165"/>
      <c r="C44" s="165"/>
      <c r="D44" s="165"/>
      <c r="E44" s="165"/>
      <c r="F44" s="165"/>
      <c r="G44" s="165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7"/>
      <c r="C47" s="17"/>
      <c r="D47" s="17"/>
      <c r="E47" s="17"/>
      <c r="F47" s="17"/>
      <c r="G47" s="17"/>
      <c r="H47" s="17"/>
    </row>
    <row r="48">
      <c r="A48" s="13"/>
      <c r="B48" s="17"/>
      <c r="C48" s="17"/>
      <c r="D48" s="17"/>
      <c r="E48" s="17"/>
      <c r="F48" s="17"/>
      <c r="G48" s="17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4"/>
      <c r="D52" s="17"/>
      <c r="E52" s="14"/>
      <c r="F52" s="14"/>
      <c r="G52" s="17"/>
      <c r="H52" s="14"/>
    </row>
    <row r="53">
      <c r="A53" s="13"/>
      <c r="B53" s="17"/>
      <c r="C53" s="14"/>
      <c r="D53" s="17"/>
      <c r="E53" s="14"/>
      <c r="F53" s="14"/>
      <c r="G53" s="17"/>
      <c r="H53" s="14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4"/>
      <c r="D56" s="17"/>
      <c r="E56" s="14"/>
      <c r="F56" s="14"/>
      <c r="G56" s="17"/>
      <c r="H56" s="14"/>
    </row>
    <row r="57">
      <c r="A57" s="13"/>
      <c r="B57" s="17"/>
      <c r="C57" s="17"/>
      <c r="D57" s="17"/>
      <c r="E57" s="17"/>
      <c r="F57" s="17"/>
      <c r="G57" s="17"/>
      <c r="H57" s="17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4"/>
      <c r="D60" s="17"/>
      <c r="E60" s="14"/>
      <c r="F60" s="14"/>
      <c r="G60" s="17"/>
      <c r="H60" s="14"/>
    </row>
    <row r="61">
      <c r="A61" s="13"/>
      <c r="B61" s="17"/>
      <c r="C61" s="14"/>
      <c r="D61" s="17"/>
      <c r="E61" s="14"/>
      <c r="F61" s="14"/>
      <c r="G61" s="17"/>
      <c r="H61" s="14"/>
    </row>
    <row r="62">
      <c r="A62" s="13"/>
      <c r="B62" s="17"/>
      <c r="C62" s="14"/>
      <c r="D62" s="17"/>
      <c r="E62" s="14"/>
      <c r="F62" s="14"/>
      <c r="G62" s="17"/>
      <c r="H62" s="14"/>
    </row>
    <row r="63">
      <c r="A63" s="13"/>
      <c r="B63" s="17"/>
      <c r="C63" s="14"/>
      <c r="D63" s="17"/>
      <c r="E63" s="14"/>
      <c r="F63" s="14"/>
      <c r="G63" s="17"/>
      <c r="H63" s="14"/>
    </row>
    <row r="64">
      <c r="A64" s="13"/>
      <c r="B64" s="17"/>
      <c r="C64" s="14"/>
      <c r="D64" s="17"/>
      <c r="E64" s="14"/>
      <c r="F64" s="14"/>
      <c r="G64" s="17"/>
      <c r="H64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482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483</v>
      </c>
      <c r="B4" s="9" t="s">
        <v>484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485</v>
      </c>
      <c r="B5" s="9" t="s">
        <v>486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487</v>
      </c>
      <c r="B6" s="9" t="s">
        <v>488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489</v>
      </c>
      <c r="B7" s="9" t="s">
        <v>490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551</v>
      </c>
      <c r="B8" s="7" t="s">
        <v>552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553</v>
      </c>
      <c r="B9" s="7" t="s">
        <v>554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555</v>
      </c>
      <c r="B10" s="7" t="s">
        <v>556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557</v>
      </c>
      <c r="B11" s="7" t="s">
        <v>558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559</v>
      </c>
      <c r="B12" s="7" t="s">
        <v>560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561</v>
      </c>
      <c r="B13" s="7" t="s">
        <v>562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563</v>
      </c>
      <c r="B14" s="7" t="s">
        <v>564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565</v>
      </c>
      <c r="B15" s="7" t="s">
        <v>566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567</v>
      </c>
      <c r="B16" s="7" t="s">
        <v>568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569</v>
      </c>
      <c r="B17" s="7" t="s">
        <v>570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571</v>
      </c>
      <c r="B18" s="7" t="s">
        <v>572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571</v>
      </c>
      <c r="B3" s="5" t="s">
        <v>572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569</v>
      </c>
      <c r="B4" s="83" t="s">
        <v>570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567</v>
      </c>
      <c r="B5" s="83" t="s">
        <v>568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565</v>
      </c>
      <c r="B6" s="83" t="s">
        <v>566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563</v>
      </c>
      <c r="B7" s="83" t="s">
        <v>564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561</v>
      </c>
      <c r="B8" s="83" t="s">
        <v>562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559</v>
      </c>
      <c r="B9" s="83" t="s">
        <v>560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557</v>
      </c>
      <c r="B10" s="83" t="s">
        <v>558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555</v>
      </c>
      <c r="B11" s="83" t="s">
        <v>556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553</v>
      </c>
      <c r="B12" s="83" t="s">
        <v>554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551</v>
      </c>
      <c r="B13" s="83" t="s">
        <v>552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489</v>
      </c>
      <c r="B14" s="83" t="s">
        <v>490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487</v>
      </c>
      <c r="B15" s="9" t="s">
        <v>488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485</v>
      </c>
      <c r="B16" s="9" t="s">
        <v>486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483</v>
      </c>
      <c r="B17" s="9" t="s">
        <v>484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303</v>
      </c>
      <c r="B18" s="7" t="s">
        <v>482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482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483</v>
      </c>
      <c r="B4" s="9" t="s">
        <v>484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485</v>
      </c>
      <c r="B5" s="9" t="s">
        <v>486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487</v>
      </c>
      <c r="B6" s="9" t="s">
        <v>488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489</v>
      </c>
      <c r="B7" s="9" t="s">
        <v>490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551</v>
      </c>
      <c r="B8" s="7" t="s">
        <v>552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553</v>
      </c>
      <c r="B9" s="7" t="s">
        <v>554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555</v>
      </c>
      <c r="B10" s="7" t="s">
        <v>556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557</v>
      </c>
      <c r="B11" s="7" t="s">
        <v>558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559</v>
      </c>
      <c r="B12" s="7" t="s">
        <v>560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561</v>
      </c>
      <c r="B13" s="7" t="s">
        <v>562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563</v>
      </c>
      <c r="B14" s="7" t="s">
        <v>564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565</v>
      </c>
      <c r="B15" s="7" t="s">
        <v>566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567</v>
      </c>
      <c r="B16" s="7" t="s">
        <v>568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569</v>
      </c>
      <c r="B17" s="7" t="s">
        <v>570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571</v>
      </c>
      <c r="B18" s="7" t="s">
        <v>572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65"/>
      <c r="B21" s="166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8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8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8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8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8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8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8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8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8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8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8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9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'JHB-to-NALD_Sat'!B1</f>
        <v>46114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0" t="s">
        <v>2</v>
      </c>
      <c r="B2" s="200" t="s">
        <v>3</v>
      </c>
      <c r="C2" s="200">
        <v>9301.0</v>
      </c>
      <c r="D2" s="200">
        <v>9303.0</v>
      </c>
      <c r="E2" s="200">
        <v>9305.0</v>
      </c>
      <c r="F2" s="200">
        <v>9313.0</v>
      </c>
      <c r="G2" s="200">
        <v>9315.0</v>
      </c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1"/>
      <c r="V2" s="201"/>
      <c r="W2" s="201"/>
      <c r="X2" s="201"/>
      <c r="Y2" s="201"/>
      <c r="Z2" s="201"/>
      <c r="AA2" s="201"/>
    </row>
    <row r="3">
      <c r="A3" s="172" t="s">
        <v>571</v>
      </c>
      <c r="B3" s="177" t="s">
        <v>572</v>
      </c>
      <c r="C3" s="178">
        <v>0.20833333333333334</v>
      </c>
      <c r="D3" s="178">
        <v>0.25</v>
      </c>
      <c r="E3" s="178">
        <v>0.3333333333333333</v>
      </c>
      <c r="F3" s="178">
        <v>0.6666666666666666</v>
      </c>
      <c r="G3" s="178">
        <v>0.75</v>
      </c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4"/>
      <c r="V3" s="174"/>
      <c r="W3" s="174"/>
      <c r="X3" s="174"/>
      <c r="Y3" s="174"/>
      <c r="Z3" s="174"/>
      <c r="AA3" s="174"/>
    </row>
    <row r="4">
      <c r="A4" s="1" t="s">
        <v>569</v>
      </c>
      <c r="B4" s="83" t="s">
        <v>570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567</v>
      </c>
      <c r="B5" s="83" t="s">
        <v>568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565</v>
      </c>
      <c r="B6" s="83" t="s">
        <v>566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563</v>
      </c>
      <c r="B7" s="83" t="s">
        <v>564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561</v>
      </c>
      <c r="B8" s="83" t="s">
        <v>562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559</v>
      </c>
      <c r="B9" s="83" t="s">
        <v>560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557</v>
      </c>
      <c r="B10" s="83" t="s">
        <v>558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555</v>
      </c>
      <c r="B11" s="83" t="s">
        <v>556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553</v>
      </c>
      <c r="B12" s="83" t="s">
        <v>554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551</v>
      </c>
      <c r="B13" s="83" t="s">
        <v>552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489</v>
      </c>
      <c r="B14" s="83" t="s">
        <v>490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487</v>
      </c>
      <c r="B15" s="9" t="s">
        <v>488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485</v>
      </c>
      <c r="B16" s="9" t="s">
        <v>486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483</v>
      </c>
      <c r="B17" s="9" t="s">
        <v>484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303</v>
      </c>
      <c r="B18" s="7" t="s">
        <v>482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8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8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8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8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8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8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8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8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8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8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8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8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198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98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98"/>
      <c r="B37" s="166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0" t="s">
        <v>2</v>
      </c>
      <c r="B2" s="200" t="s">
        <v>3</v>
      </c>
      <c r="C2" s="200">
        <v>9202.0</v>
      </c>
      <c r="D2" s="200">
        <v>9004.0</v>
      </c>
      <c r="E2" s="200">
        <v>9204.0</v>
      </c>
      <c r="F2" s="200">
        <v>9006.0</v>
      </c>
      <c r="G2" s="200">
        <v>9206.0</v>
      </c>
      <c r="H2" s="200">
        <v>9008.0</v>
      </c>
      <c r="I2" s="200">
        <v>9208.0</v>
      </c>
      <c r="J2" s="200">
        <v>9210.0</v>
      </c>
      <c r="K2" s="200">
        <v>9010.0</v>
      </c>
      <c r="L2" s="200">
        <v>9212.0</v>
      </c>
      <c r="M2" s="200">
        <v>9012.0</v>
      </c>
      <c r="N2" s="200">
        <v>9214.0</v>
      </c>
      <c r="O2" s="200">
        <v>9014.0</v>
      </c>
      <c r="P2" s="200">
        <v>9216.0</v>
      </c>
      <c r="Q2" s="200"/>
      <c r="R2" s="200"/>
      <c r="S2" s="200"/>
      <c r="T2" s="200"/>
      <c r="U2" s="201"/>
      <c r="V2" s="201"/>
      <c r="W2" s="201"/>
      <c r="X2" s="201"/>
      <c r="Y2" s="201"/>
      <c r="Z2" s="201"/>
      <c r="AA2" s="201"/>
    </row>
    <row r="3">
      <c r="A3" s="172" t="s">
        <v>303</v>
      </c>
      <c r="B3" s="177" t="s">
        <v>482</v>
      </c>
      <c r="C3" s="8"/>
      <c r="D3" s="8">
        <v>0.23958333333333334</v>
      </c>
      <c r="E3" s="8"/>
      <c r="F3" s="8">
        <v>0.34375</v>
      </c>
      <c r="G3" s="8"/>
      <c r="H3" s="8">
        <v>0.4583333333333333</v>
      </c>
      <c r="I3" s="8"/>
      <c r="J3" s="8"/>
      <c r="K3" s="8">
        <v>0.5833333333333334</v>
      </c>
      <c r="L3" s="8"/>
      <c r="M3" s="8">
        <v>0.6875</v>
      </c>
      <c r="N3" s="8"/>
      <c r="O3" s="8">
        <v>0.7986111111111112</v>
      </c>
      <c r="P3" s="8"/>
      <c r="Q3" s="178"/>
      <c r="R3" s="178"/>
      <c r="S3" s="178"/>
      <c r="T3" s="178"/>
      <c r="U3" s="174"/>
      <c r="V3" s="174"/>
      <c r="W3" s="174"/>
      <c r="X3" s="174"/>
      <c r="Y3" s="174"/>
      <c r="Z3" s="174"/>
      <c r="AA3" s="174"/>
    </row>
    <row r="4">
      <c r="A4" s="1" t="s">
        <v>483</v>
      </c>
      <c r="B4" s="9" t="s">
        <v>484</v>
      </c>
      <c r="C4" s="8"/>
      <c r="D4" s="8">
        <v>0.24513888888888888</v>
      </c>
      <c r="E4" s="8"/>
      <c r="F4" s="8">
        <v>0.34930555555555554</v>
      </c>
      <c r="G4" s="8"/>
      <c r="H4" s="8">
        <v>0.4638888888888889</v>
      </c>
      <c r="I4" s="8"/>
      <c r="J4" s="8"/>
      <c r="K4" s="8">
        <v>0.5888888888888889</v>
      </c>
      <c r="L4" s="8"/>
      <c r="M4" s="8">
        <v>0.6930555555555555</v>
      </c>
      <c r="N4" s="8"/>
      <c r="O4" s="8">
        <v>0.8041666666666667</v>
      </c>
      <c r="P4" s="8"/>
      <c r="Q4" s="8"/>
      <c r="R4" s="8"/>
      <c r="S4" s="8"/>
      <c r="T4" s="8"/>
    </row>
    <row r="5">
      <c r="A5" s="1" t="s">
        <v>485</v>
      </c>
      <c r="B5" s="9" t="s">
        <v>486</v>
      </c>
      <c r="C5" s="8"/>
      <c r="D5" s="8">
        <v>0.24930555555555556</v>
      </c>
      <c r="E5" s="8"/>
      <c r="F5" s="8">
        <v>0.35347222222222224</v>
      </c>
      <c r="G5" s="8"/>
      <c r="H5" s="8">
        <v>0.46805555555555556</v>
      </c>
      <c r="I5" s="8"/>
      <c r="J5" s="8"/>
      <c r="K5" s="8">
        <v>0.5930555555555556</v>
      </c>
      <c r="L5" s="8"/>
      <c r="M5" s="8">
        <v>0.6972222222222222</v>
      </c>
      <c r="N5" s="8"/>
      <c r="O5" s="8">
        <v>0.8083333333333333</v>
      </c>
      <c r="P5" s="8"/>
      <c r="Q5" s="8"/>
      <c r="R5" s="8"/>
      <c r="S5" s="8"/>
      <c r="T5" s="8"/>
    </row>
    <row r="6">
      <c r="A6" s="1" t="s">
        <v>487</v>
      </c>
      <c r="B6" s="9" t="s">
        <v>488</v>
      </c>
      <c r="C6" s="8"/>
      <c r="D6" s="8">
        <v>0.2513888888888889</v>
      </c>
      <c r="E6" s="8"/>
      <c r="F6" s="8">
        <v>0.35555555555555557</v>
      </c>
      <c r="G6" s="8"/>
      <c r="H6" s="8">
        <v>0.4701388888888889</v>
      </c>
      <c r="I6" s="8"/>
      <c r="J6" s="8"/>
      <c r="K6" s="8">
        <v>0.5951388888888889</v>
      </c>
      <c r="L6" s="8"/>
      <c r="M6" s="8">
        <v>0.6993055555555555</v>
      </c>
      <c r="N6" s="8"/>
      <c r="O6" s="8">
        <v>0.8104166666666667</v>
      </c>
      <c r="P6" s="8"/>
      <c r="Q6" s="8"/>
      <c r="R6" s="8"/>
      <c r="S6" s="8"/>
      <c r="T6" s="8"/>
    </row>
    <row r="7">
      <c r="A7" s="1" t="s">
        <v>489</v>
      </c>
      <c r="B7" s="9" t="s">
        <v>490</v>
      </c>
      <c r="C7" s="8"/>
      <c r="D7" s="8">
        <v>0.25416666666666665</v>
      </c>
      <c r="E7" s="8"/>
      <c r="F7" s="8">
        <v>0.35833333333333334</v>
      </c>
      <c r="G7" s="8"/>
      <c r="H7" s="8">
        <v>0.47291666666666665</v>
      </c>
      <c r="I7" s="8"/>
      <c r="J7" s="8"/>
      <c r="K7" s="8">
        <v>0.5979166666666667</v>
      </c>
      <c r="L7" s="8"/>
      <c r="M7" s="8">
        <v>0.7020833333333333</v>
      </c>
      <c r="N7" s="8"/>
      <c r="O7" s="8">
        <v>0.8131944444444444</v>
      </c>
      <c r="P7" s="8"/>
      <c r="Q7" s="8"/>
      <c r="R7" s="8"/>
      <c r="S7" s="8"/>
      <c r="T7" s="8"/>
    </row>
    <row r="8">
      <c r="A8" s="202" t="s">
        <v>551</v>
      </c>
      <c r="B8" s="203" t="s">
        <v>552</v>
      </c>
      <c r="C8" s="204">
        <v>0.2222222222222222</v>
      </c>
      <c r="D8" s="204">
        <v>0.25763888888888886</v>
      </c>
      <c r="E8" s="204">
        <v>0.3055555555555556</v>
      </c>
      <c r="F8" s="204">
        <v>0.36180555555555555</v>
      </c>
      <c r="G8" s="204">
        <v>0.3888888888888889</v>
      </c>
      <c r="H8" s="204">
        <v>0.47638888888888886</v>
      </c>
      <c r="I8" s="204">
        <v>0.4722222222222222</v>
      </c>
      <c r="J8" s="204">
        <v>0.5555555555555556</v>
      </c>
      <c r="K8" s="204">
        <v>0.6013888888888889</v>
      </c>
      <c r="L8" s="204">
        <v>0.6388888888888888</v>
      </c>
      <c r="M8" s="204">
        <v>0.7055555555555556</v>
      </c>
      <c r="N8" s="204">
        <v>0.7222222222222222</v>
      </c>
      <c r="O8" s="204">
        <v>0.8166666666666667</v>
      </c>
      <c r="P8" s="204">
        <v>0.8194444444444444</v>
      </c>
      <c r="Q8" s="204"/>
      <c r="R8" s="204"/>
      <c r="S8" s="204"/>
      <c r="T8" s="204"/>
      <c r="U8" s="205"/>
      <c r="V8" s="205"/>
      <c r="W8" s="205"/>
      <c r="X8" s="205"/>
      <c r="Y8" s="205"/>
      <c r="Z8" s="205"/>
      <c r="AA8" s="205"/>
    </row>
    <row r="9">
      <c r="A9" s="1" t="s">
        <v>553</v>
      </c>
      <c r="B9" s="7" t="s">
        <v>554</v>
      </c>
      <c r="C9" s="8">
        <v>0.22430555555555556</v>
      </c>
      <c r="D9" s="8">
        <v>0.25972222222222224</v>
      </c>
      <c r="E9" s="8">
        <v>0.3076388888888889</v>
      </c>
      <c r="F9" s="8">
        <v>0.3638888888888889</v>
      </c>
      <c r="G9" s="8">
        <v>0.3909722222222222</v>
      </c>
      <c r="H9" s="8">
        <v>0.47847222222222224</v>
      </c>
      <c r="I9" s="8">
        <v>0.47430555555555554</v>
      </c>
      <c r="J9" s="8">
        <v>0.5576388888888889</v>
      </c>
      <c r="K9" s="8">
        <v>0.6034722222222222</v>
      </c>
      <c r="L9" s="8">
        <v>0.6409722222222223</v>
      </c>
      <c r="M9" s="8">
        <v>0.7076388888888889</v>
      </c>
      <c r="N9" s="8">
        <v>0.7243055555555555</v>
      </c>
      <c r="O9" s="8">
        <v>0.81875</v>
      </c>
      <c r="P9" s="8">
        <v>0.8215277777777777</v>
      </c>
      <c r="Q9" s="204"/>
      <c r="R9" s="8"/>
      <c r="S9" s="8"/>
      <c r="T9" s="8"/>
    </row>
    <row r="10">
      <c r="A10" s="1" t="s">
        <v>555</v>
      </c>
      <c r="B10" s="7" t="s">
        <v>556</v>
      </c>
      <c r="C10" s="8">
        <v>0.22916666666666666</v>
      </c>
      <c r="D10" s="8">
        <v>0.26458333333333334</v>
      </c>
      <c r="E10" s="8">
        <v>0.3125</v>
      </c>
      <c r="F10" s="8">
        <v>0.36875</v>
      </c>
      <c r="G10" s="8">
        <v>0.3958333333333333</v>
      </c>
      <c r="H10" s="8">
        <v>0.48333333333333334</v>
      </c>
      <c r="I10" s="8">
        <v>0.4791666666666667</v>
      </c>
      <c r="J10" s="8">
        <v>0.5625</v>
      </c>
      <c r="K10" s="8">
        <v>0.6083333333333333</v>
      </c>
      <c r="L10" s="8">
        <v>0.6458333333333334</v>
      </c>
      <c r="M10" s="8">
        <v>0.7125</v>
      </c>
      <c r="N10" s="8">
        <v>0.7291666666666666</v>
      </c>
      <c r="O10" s="8">
        <v>0.8236111111111111</v>
      </c>
      <c r="P10" s="8">
        <v>0.8263888888888888</v>
      </c>
      <c r="Q10" s="204"/>
      <c r="R10" s="8"/>
      <c r="S10" s="8"/>
      <c r="T10" s="8"/>
    </row>
    <row r="11">
      <c r="A11" s="1" t="s">
        <v>573</v>
      </c>
      <c r="B11" s="7" t="s">
        <v>574</v>
      </c>
      <c r="C11" s="8">
        <v>0.23194444444444445</v>
      </c>
      <c r="D11" s="8">
        <v>0.2673611111111111</v>
      </c>
      <c r="E11" s="8">
        <v>0.31527777777777777</v>
      </c>
      <c r="F11" s="8">
        <v>0.3715277777777778</v>
      </c>
      <c r="G11" s="8">
        <v>0.39861111111111114</v>
      </c>
      <c r="H11" s="8">
        <v>0.4861111111111111</v>
      </c>
      <c r="I11" s="8">
        <v>0.48194444444444445</v>
      </c>
      <c r="J11" s="8">
        <v>0.5652777777777778</v>
      </c>
      <c r="K11" s="8">
        <v>0.6111111111111112</v>
      </c>
      <c r="L11" s="8">
        <v>0.6486111111111111</v>
      </c>
      <c r="M11" s="8">
        <v>0.7152777777777778</v>
      </c>
      <c r="N11" s="8">
        <v>0.7319444444444444</v>
      </c>
      <c r="O11" s="8">
        <v>0.8263888888888888</v>
      </c>
      <c r="P11" s="8">
        <v>0.8291666666666666</v>
      </c>
      <c r="Q11" s="204"/>
      <c r="R11" s="8"/>
      <c r="S11" s="8"/>
      <c r="T11" s="8"/>
    </row>
    <row r="12">
      <c r="A12" s="1" t="s">
        <v>575</v>
      </c>
      <c r="B12" s="7" t="s">
        <v>576</v>
      </c>
      <c r="C12" s="8">
        <v>0.23541666666666666</v>
      </c>
      <c r="D12" s="8">
        <v>0.2708333333333333</v>
      </c>
      <c r="E12" s="8">
        <v>0.31875</v>
      </c>
      <c r="F12" s="8">
        <v>0.375</v>
      </c>
      <c r="G12" s="8">
        <v>0.40208333333333335</v>
      </c>
      <c r="H12" s="8">
        <v>0.4895833333333333</v>
      </c>
      <c r="I12" s="8">
        <v>0.48541666666666666</v>
      </c>
      <c r="J12" s="8">
        <v>0.56875</v>
      </c>
      <c r="K12" s="8">
        <v>0.6145833333333334</v>
      </c>
      <c r="L12" s="8">
        <v>0.6520833333333333</v>
      </c>
      <c r="M12" s="8">
        <v>0.71875</v>
      </c>
      <c r="N12" s="8">
        <v>0.7354166666666667</v>
      </c>
      <c r="O12" s="8">
        <v>0.8298611111111112</v>
      </c>
      <c r="P12" s="8">
        <v>0.8326388888888888</v>
      </c>
      <c r="Q12" s="204"/>
      <c r="R12" s="8"/>
      <c r="S12" s="8"/>
      <c r="T12" s="8"/>
    </row>
    <row r="13">
      <c r="A13" s="1" t="s">
        <v>577</v>
      </c>
      <c r="B13" s="7" t="s">
        <v>578</v>
      </c>
      <c r="C13" s="8">
        <v>0.2388888888888889</v>
      </c>
      <c r="D13" s="8">
        <v>0.2743055555555556</v>
      </c>
      <c r="E13" s="8">
        <v>0.32222222222222224</v>
      </c>
      <c r="F13" s="8">
        <v>0.3784722222222222</v>
      </c>
      <c r="G13" s="8">
        <v>0.40555555555555556</v>
      </c>
      <c r="H13" s="8">
        <v>0.4930555555555556</v>
      </c>
      <c r="I13" s="8">
        <v>0.4888888888888889</v>
      </c>
      <c r="J13" s="8">
        <v>0.5722222222222222</v>
      </c>
      <c r="K13" s="8">
        <v>0.6180555555555556</v>
      </c>
      <c r="L13" s="8">
        <v>0.6555555555555556</v>
      </c>
      <c r="M13" s="8">
        <v>0.7222222222222222</v>
      </c>
      <c r="N13" s="8">
        <v>0.7388888888888889</v>
      </c>
      <c r="O13" s="8">
        <v>0.8333333333333334</v>
      </c>
      <c r="P13" s="8">
        <v>0.836111111111111</v>
      </c>
      <c r="Q13" s="204"/>
      <c r="R13" s="8"/>
      <c r="S13" s="8"/>
      <c r="T13" s="8"/>
    </row>
    <row r="14">
      <c r="A14" s="1" t="s">
        <v>579</v>
      </c>
      <c r="B14" s="7" t="s">
        <v>580</v>
      </c>
      <c r="C14" s="8">
        <v>0.24305555555555555</v>
      </c>
      <c r="D14" s="8">
        <v>0.27847222222222223</v>
      </c>
      <c r="E14" s="8">
        <v>0.3263888888888889</v>
      </c>
      <c r="F14" s="8">
        <v>0.38263888888888886</v>
      </c>
      <c r="G14" s="8">
        <v>0.4097222222222222</v>
      </c>
      <c r="H14" s="8">
        <v>0.49722222222222223</v>
      </c>
      <c r="I14" s="8">
        <v>0.4930555555555556</v>
      </c>
      <c r="J14" s="8">
        <v>0.5763888888888888</v>
      </c>
      <c r="K14" s="8">
        <v>0.6222222222222222</v>
      </c>
      <c r="L14" s="8">
        <v>0.6597222222222222</v>
      </c>
      <c r="M14" s="8">
        <v>0.7263888888888889</v>
      </c>
      <c r="N14" s="8">
        <v>0.7430555555555556</v>
      </c>
      <c r="O14" s="8">
        <v>0.8375</v>
      </c>
      <c r="P14" s="8">
        <v>0.8402777777777777</v>
      </c>
      <c r="Q14" s="204"/>
    </row>
    <row r="15">
      <c r="A15" s="1" t="s">
        <v>581</v>
      </c>
      <c r="B15" s="7" t="s">
        <v>582</v>
      </c>
      <c r="C15" s="8">
        <v>0.24722222222222223</v>
      </c>
      <c r="D15" s="8">
        <v>0.28194444444444444</v>
      </c>
      <c r="E15" s="8">
        <v>0.33055555555555555</v>
      </c>
      <c r="F15" s="8">
        <v>0.3861111111111111</v>
      </c>
      <c r="G15" s="8">
        <v>0.41388888888888886</v>
      </c>
      <c r="H15" s="8">
        <v>0.5006944444444444</v>
      </c>
      <c r="I15" s="8">
        <v>0.49722222222222223</v>
      </c>
      <c r="J15" s="8">
        <v>0.5805555555555556</v>
      </c>
      <c r="K15" s="8">
        <v>0.6256944444444444</v>
      </c>
      <c r="L15" s="8">
        <v>0.6638888888888889</v>
      </c>
      <c r="M15" s="8">
        <v>0.7298611111111111</v>
      </c>
      <c r="N15" s="8">
        <v>0.7472222222222222</v>
      </c>
      <c r="O15" s="8">
        <v>0.8409722222222222</v>
      </c>
      <c r="P15" s="8">
        <v>0.8444444444444444</v>
      </c>
      <c r="Q15" s="204"/>
    </row>
    <row r="16">
      <c r="A16" s="1" t="s">
        <v>583</v>
      </c>
      <c r="B16" s="7" t="s">
        <v>584</v>
      </c>
      <c r="C16" s="8">
        <v>0.25</v>
      </c>
      <c r="D16" s="8">
        <v>0.2847222222222222</v>
      </c>
      <c r="E16" s="8">
        <v>0.3333333333333333</v>
      </c>
      <c r="F16" s="8">
        <v>0.3888888888888889</v>
      </c>
      <c r="G16" s="8">
        <v>0.4166666666666667</v>
      </c>
      <c r="H16" s="8">
        <v>0.5034722222222222</v>
      </c>
      <c r="I16" s="8">
        <v>0.5</v>
      </c>
      <c r="J16" s="8">
        <v>0.5833333333333334</v>
      </c>
      <c r="K16" s="8">
        <v>0.6284722222222222</v>
      </c>
      <c r="L16" s="8">
        <v>0.6666666666666666</v>
      </c>
      <c r="M16" s="8">
        <v>0.7326388888888888</v>
      </c>
      <c r="N16" s="8">
        <v>0.75</v>
      </c>
      <c r="O16" s="8">
        <v>0.84375</v>
      </c>
      <c r="P16" s="8">
        <v>0.8472222222222222</v>
      </c>
      <c r="Q16" s="204"/>
      <c r="R16" s="8"/>
      <c r="S16" s="8"/>
      <c r="T16" s="8"/>
    </row>
    <row r="17">
      <c r="A17" s="1" t="s">
        <v>585</v>
      </c>
      <c r="B17" s="7" t="s">
        <v>586</v>
      </c>
      <c r="C17" s="8">
        <v>0.2569444444444444</v>
      </c>
      <c r="D17" s="8"/>
      <c r="E17" s="8">
        <v>0.3402777777777778</v>
      </c>
      <c r="F17" s="8"/>
      <c r="G17" s="8">
        <v>0.4236111111111111</v>
      </c>
      <c r="H17" s="8"/>
      <c r="I17" s="8">
        <v>0.5069444444444444</v>
      </c>
      <c r="J17" s="8">
        <v>0.5902777777777778</v>
      </c>
      <c r="K17" s="8"/>
      <c r="L17" s="8">
        <v>0.6736111111111112</v>
      </c>
      <c r="M17" s="8"/>
      <c r="N17" s="8">
        <v>0.7569444444444444</v>
      </c>
      <c r="O17" s="8"/>
      <c r="P17" s="8">
        <v>0.8541666666666666</v>
      </c>
      <c r="Q17" s="204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46181</v>
      </c>
      <c r="C1" s="1" t="str">
        <f>'JHB-to-MIDWY_Weekday'!C1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0" t="s">
        <v>2</v>
      </c>
      <c r="B2" s="200" t="s">
        <v>3</v>
      </c>
      <c r="C2" s="200">
        <v>9201.0</v>
      </c>
      <c r="D2" s="200">
        <v>9003.0</v>
      </c>
      <c r="E2" s="200">
        <v>9203.0</v>
      </c>
      <c r="F2" s="200">
        <v>9005.0</v>
      </c>
      <c r="G2" s="200">
        <v>9205.0</v>
      </c>
      <c r="H2" s="200">
        <v>9007.0</v>
      </c>
      <c r="I2" s="200">
        <v>9207.0</v>
      </c>
      <c r="J2" s="200">
        <v>9209.0</v>
      </c>
      <c r="K2" s="200">
        <v>9009.0</v>
      </c>
      <c r="L2" s="200">
        <v>9211.0</v>
      </c>
      <c r="M2" s="200">
        <v>9011.0</v>
      </c>
      <c r="N2" s="200">
        <v>9213.0</v>
      </c>
      <c r="O2" s="200">
        <v>9013.0</v>
      </c>
      <c r="P2" s="200">
        <v>9215.0</v>
      </c>
      <c r="Q2" s="200"/>
      <c r="R2" s="200"/>
      <c r="S2" s="200"/>
      <c r="T2" s="200"/>
      <c r="U2" s="201"/>
      <c r="V2" s="201"/>
      <c r="W2" s="201"/>
      <c r="X2" s="201"/>
      <c r="Y2" s="201"/>
      <c r="Z2" s="201"/>
      <c r="AA2" s="201"/>
    </row>
    <row r="3">
      <c r="A3" s="1" t="s">
        <v>585</v>
      </c>
      <c r="B3" s="7" t="s">
        <v>586</v>
      </c>
      <c r="C3" s="8">
        <v>0.17708333333333334</v>
      </c>
      <c r="D3" s="8"/>
      <c r="E3" s="8">
        <v>0.2638888888888889</v>
      </c>
      <c r="F3" s="8"/>
      <c r="G3" s="8">
        <v>0.3472222222222222</v>
      </c>
      <c r="H3" s="8"/>
      <c r="I3" s="8">
        <v>0.4305555555555556</v>
      </c>
      <c r="J3" s="8">
        <v>0.5138888888888888</v>
      </c>
      <c r="K3" s="8"/>
      <c r="L3" s="8">
        <v>0.5972222222222222</v>
      </c>
      <c r="M3" s="8"/>
      <c r="N3" s="8">
        <v>0.6805555555555556</v>
      </c>
      <c r="O3" s="8"/>
      <c r="P3" s="8">
        <v>0.7638888888888888</v>
      </c>
      <c r="Q3" s="8"/>
      <c r="R3" s="8"/>
      <c r="S3" s="8"/>
      <c r="T3" s="8"/>
    </row>
    <row r="4">
      <c r="A4" s="1" t="s">
        <v>583</v>
      </c>
      <c r="B4" s="8" t="s">
        <v>584</v>
      </c>
      <c r="C4" s="8">
        <v>0.18263888888888888</v>
      </c>
      <c r="D4" s="8">
        <v>0.1875</v>
      </c>
      <c r="E4" s="8">
        <v>0.26944444444444443</v>
      </c>
      <c r="F4" s="8">
        <v>0.2916666666666667</v>
      </c>
      <c r="G4" s="8">
        <v>0.3527777777777778</v>
      </c>
      <c r="H4" s="8">
        <v>0.3958333333333333</v>
      </c>
      <c r="I4" s="8">
        <v>0.4361111111111111</v>
      </c>
      <c r="J4" s="8">
        <v>0.5194444444444445</v>
      </c>
      <c r="K4" s="8">
        <v>0.5208333333333334</v>
      </c>
      <c r="L4" s="8">
        <v>0.6027777777777777</v>
      </c>
      <c r="M4" s="8">
        <v>0.6354166666666666</v>
      </c>
      <c r="N4" s="8">
        <v>0.6861111111111111</v>
      </c>
      <c r="O4" s="8">
        <v>0.7395833333333334</v>
      </c>
      <c r="P4" s="8">
        <v>0.7694444444444445</v>
      </c>
      <c r="Q4" s="8"/>
      <c r="R4" s="8"/>
      <c r="S4" s="8"/>
      <c r="T4" s="8"/>
    </row>
    <row r="5">
      <c r="A5" s="1" t="s">
        <v>581</v>
      </c>
      <c r="B5" s="8" t="s">
        <v>582</v>
      </c>
      <c r="C5" s="8">
        <v>0.18611111111111112</v>
      </c>
      <c r="D5" s="8">
        <v>0.1909722222222222</v>
      </c>
      <c r="E5" s="8">
        <v>0.27291666666666664</v>
      </c>
      <c r="F5" s="8">
        <v>0.2951388888888889</v>
      </c>
      <c r="G5" s="8">
        <v>0.35625</v>
      </c>
      <c r="H5" s="8">
        <v>0.3993055555555556</v>
      </c>
      <c r="I5" s="8">
        <v>0.4395833333333333</v>
      </c>
      <c r="J5" s="8">
        <v>0.5229166666666667</v>
      </c>
      <c r="K5" s="8">
        <v>0.5243055555555556</v>
      </c>
      <c r="L5" s="8">
        <v>0.60625</v>
      </c>
      <c r="M5" s="8">
        <v>0.6388888888888888</v>
      </c>
      <c r="N5" s="8">
        <v>0.6895833333333333</v>
      </c>
      <c r="O5" s="8">
        <v>0.7430555555555556</v>
      </c>
      <c r="P5" s="8">
        <v>0.7729166666666667</v>
      </c>
      <c r="Q5" s="8"/>
      <c r="R5" s="8"/>
      <c r="S5" s="8"/>
      <c r="T5" s="8"/>
    </row>
    <row r="6">
      <c r="A6" s="1" t="s">
        <v>579</v>
      </c>
      <c r="B6" s="8" t="s">
        <v>580</v>
      </c>
      <c r="C6" s="8">
        <v>0.19166666666666668</v>
      </c>
      <c r="D6" s="8">
        <v>0.19583333333333333</v>
      </c>
      <c r="E6" s="8">
        <v>0.27847222222222223</v>
      </c>
      <c r="F6" s="8">
        <v>0.3</v>
      </c>
      <c r="G6" s="8">
        <v>0.36180555555555555</v>
      </c>
      <c r="H6" s="8">
        <v>0.4041666666666667</v>
      </c>
      <c r="I6" s="8">
        <v>0.44513888888888886</v>
      </c>
      <c r="J6" s="8">
        <v>0.5284722222222222</v>
      </c>
      <c r="K6" s="8">
        <v>0.5291666666666667</v>
      </c>
      <c r="L6" s="8">
        <v>0.6118055555555556</v>
      </c>
      <c r="M6" s="8">
        <v>0.64375</v>
      </c>
      <c r="N6" s="8">
        <v>0.6951388888888889</v>
      </c>
      <c r="O6" s="8">
        <v>0.7472222222222222</v>
      </c>
      <c r="P6" s="8">
        <v>0.7784722222222222</v>
      </c>
      <c r="Q6" s="8"/>
      <c r="R6" s="8"/>
      <c r="S6" s="8"/>
      <c r="T6" s="8"/>
    </row>
    <row r="7">
      <c r="A7" s="1" t="s">
        <v>577</v>
      </c>
      <c r="B7" s="8" t="s">
        <v>578</v>
      </c>
      <c r="C7" s="8">
        <v>0.19583333333333333</v>
      </c>
      <c r="D7" s="8">
        <v>0.2</v>
      </c>
      <c r="E7" s="8">
        <v>0.2826388888888889</v>
      </c>
      <c r="F7" s="8">
        <v>0.30416666666666664</v>
      </c>
      <c r="G7" s="8">
        <v>0.3659722222222222</v>
      </c>
      <c r="H7" s="8">
        <v>0.4083333333333333</v>
      </c>
      <c r="I7" s="8">
        <v>0.44930555555555557</v>
      </c>
      <c r="J7" s="8">
        <v>0.5326388888888889</v>
      </c>
      <c r="K7" s="8">
        <v>0.5333333333333333</v>
      </c>
      <c r="L7" s="8">
        <v>0.6159722222222223</v>
      </c>
      <c r="M7" s="8">
        <v>0.6479166666666667</v>
      </c>
      <c r="N7" s="8">
        <v>0.6993055555555555</v>
      </c>
      <c r="O7" s="8">
        <v>0.7513888888888889</v>
      </c>
      <c r="P7" s="8">
        <v>0.7826388888888889</v>
      </c>
      <c r="Q7" s="8"/>
      <c r="R7" s="8"/>
      <c r="S7" s="8"/>
      <c r="T7" s="8"/>
    </row>
    <row r="8">
      <c r="A8" s="1" t="s">
        <v>575</v>
      </c>
      <c r="B8" s="8" t="s">
        <v>576</v>
      </c>
      <c r="C8" s="8">
        <v>0.19930555555555557</v>
      </c>
      <c r="D8" s="8">
        <v>0.20347222222222222</v>
      </c>
      <c r="E8" s="8">
        <v>0.2861111111111111</v>
      </c>
      <c r="F8" s="8">
        <v>0.3076388888888889</v>
      </c>
      <c r="G8" s="8">
        <v>0.36944444444444446</v>
      </c>
      <c r="H8" s="8">
        <v>0.41180555555555554</v>
      </c>
      <c r="I8" s="8">
        <v>0.4527777777777778</v>
      </c>
      <c r="J8" s="8">
        <v>0.5361111111111111</v>
      </c>
      <c r="K8" s="8">
        <v>0.5368055555555555</v>
      </c>
      <c r="L8" s="8">
        <v>0.6194444444444445</v>
      </c>
      <c r="M8" s="8">
        <v>0.6513888888888889</v>
      </c>
      <c r="N8" s="8">
        <v>0.7027777777777777</v>
      </c>
      <c r="O8" s="8">
        <v>0.7541666666666667</v>
      </c>
      <c r="P8" s="8">
        <v>0.7861111111111111</v>
      </c>
      <c r="Q8" s="8"/>
      <c r="R8" s="8"/>
      <c r="S8" s="8"/>
      <c r="T8" s="8"/>
    </row>
    <row r="9">
      <c r="A9" s="1" t="s">
        <v>573</v>
      </c>
      <c r="B9" s="8" t="s">
        <v>574</v>
      </c>
      <c r="C9" s="8">
        <v>0.2013888888888889</v>
      </c>
      <c r="D9" s="8">
        <v>0.20555555555555555</v>
      </c>
      <c r="E9" s="8">
        <v>0.2881944444444444</v>
      </c>
      <c r="F9" s="8">
        <v>0.30972222222222223</v>
      </c>
      <c r="G9" s="8">
        <v>0.3715277777777778</v>
      </c>
      <c r="H9" s="8">
        <v>0.41388888888888886</v>
      </c>
      <c r="I9" s="8">
        <v>0.4548611111111111</v>
      </c>
      <c r="J9" s="8">
        <v>0.5381944444444444</v>
      </c>
      <c r="K9" s="8">
        <v>0.5388888888888889</v>
      </c>
      <c r="L9" s="8">
        <v>0.6215277777777778</v>
      </c>
      <c r="M9" s="8">
        <v>0.6534722222222222</v>
      </c>
      <c r="N9" s="8">
        <v>0.7048611111111112</v>
      </c>
      <c r="O9" s="8">
        <v>0.75625</v>
      </c>
      <c r="P9" s="8">
        <v>0.7881944444444444</v>
      </c>
      <c r="Q9" s="8"/>
      <c r="R9" s="8"/>
      <c r="S9" s="8"/>
      <c r="T9" s="8"/>
    </row>
    <row r="10">
      <c r="A10" s="1" t="s">
        <v>555</v>
      </c>
      <c r="B10" s="8" t="s">
        <v>556</v>
      </c>
      <c r="C10" s="8">
        <v>0.2048611111111111</v>
      </c>
      <c r="D10" s="8">
        <v>0.20902777777777778</v>
      </c>
      <c r="E10" s="8">
        <v>0.2916666666666667</v>
      </c>
      <c r="F10" s="8">
        <v>0.31319444444444444</v>
      </c>
      <c r="G10" s="8">
        <v>0.375</v>
      </c>
      <c r="H10" s="8">
        <v>0.4173611111111111</v>
      </c>
      <c r="I10" s="8">
        <v>0.4583333333333333</v>
      </c>
      <c r="J10" s="8">
        <v>0.5416666666666666</v>
      </c>
      <c r="K10" s="8">
        <v>0.5423611111111111</v>
      </c>
      <c r="L10" s="8">
        <v>0.625</v>
      </c>
      <c r="M10" s="8">
        <v>0.6569444444444444</v>
      </c>
      <c r="N10" s="8">
        <v>0.7083333333333334</v>
      </c>
      <c r="O10" s="8">
        <v>0.7590277777777777</v>
      </c>
      <c r="P10" s="8">
        <v>0.7916666666666666</v>
      </c>
      <c r="Q10" s="8"/>
      <c r="R10" s="8"/>
      <c r="S10" s="8"/>
      <c r="T10" s="8"/>
    </row>
    <row r="11">
      <c r="A11" s="1" t="s">
        <v>553</v>
      </c>
      <c r="B11" s="8" t="s">
        <v>554</v>
      </c>
      <c r="C11" s="8">
        <v>0.20972222222222223</v>
      </c>
      <c r="D11" s="8">
        <v>0.21319444444444444</v>
      </c>
      <c r="E11" s="8">
        <v>0.2965277777777778</v>
      </c>
      <c r="F11" s="8">
        <v>0.3173611111111111</v>
      </c>
      <c r="G11" s="8">
        <v>0.3798611111111111</v>
      </c>
      <c r="H11" s="8">
        <v>0.4215277777777778</v>
      </c>
      <c r="I11" s="8">
        <v>0.46319444444444446</v>
      </c>
      <c r="J11" s="8">
        <v>0.5465277777777777</v>
      </c>
      <c r="K11" s="8">
        <v>0.5465277777777777</v>
      </c>
      <c r="L11" s="8">
        <v>0.6298611111111111</v>
      </c>
      <c r="M11" s="8">
        <v>0.6611111111111111</v>
      </c>
      <c r="N11" s="8">
        <v>0.7131944444444445</v>
      </c>
      <c r="O11" s="8">
        <v>0.7638888888888888</v>
      </c>
      <c r="P11" s="8">
        <v>0.7965277777777777</v>
      </c>
      <c r="Q11" s="8"/>
      <c r="R11" s="8"/>
      <c r="S11" s="8"/>
      <c r="T11" s="8"/>
    </row>
    <row r="12">
      <c r="A12" s="1" t="s">
        <v>551</v>
      </c>
      <c r="B12" s="8" t="s">
        <v>552</v>
      </c>
      <c r="C12" s="8">
        <v>0.21180555555555555</v>
      </c>
      <c r="D12" s="8">
        <v>0.2152777777777778</v>
      </c>
      <c r="E12" s="8">
        <v>0.2986111111111111</v>
      </c>
      <c r="F12" s="8">
        <v>0.3194444444444444</v>
      </c>
      <c r="G12" s="8">
        <v>0.3819444444444444</v>
      </c>
      <c r="H12" s="8">
        <v>0.4236111111111111</v>
      </c>
      <c r="I12" s="8">
        <v>0.4652777777777778</v>
      </c>
      <c r="J12" s="8">
        <v>0.5486111111111112</v>
      </c>
      <c r="K12" s="8">
        <v>0.5486111111111112</v>
      </c>
      <c r="L12" s="8">
        <v>0.6319444444444444</v>
      </c>
      <c r="M12" s="8">
        <v>0.6631944444444444</v>
      </c>
      <c r="N12" s="8">
        <v>0.7152777777777778</v>
      </c>
      <c r="O12" s="8">
        <v>0.7652777777777777</v>
      </c>
      <c r="P12" s="8">
        <v>0.7986111111111112</v>
      </c>
      <c r="Q12" s="8"/>
      <c r="R12" s="8"/>
      <c r="S12" s="8"/>
      <c r="T12" s="8"/>
    </row>
    <row r="13">
      <c r="A13" s="1" t="s">
        <v>489</v>
      </c>
      <c r="B13" s="8" t="s">
        <v>490</v>
      </c>
      <c r="C13" s="8"/>
      <c r="D13" s="8">
        <v>0.21944444444444444</v>
      </c>
      <c r="E13" s="8"/>
      <c r="F13" s="8">
        <v>0.3236111111111111</v>
      </c>
      <c r="G13" s="8"/>
      <c r="H13" s="8">
        <v>0.42777777777777776</v>
      </c>
      <c r="I13" s="8"/>
      <c r="J13" s="8"/>
      <c r="K13" s="8">
        <v>0.5527777777777778</v>
      </c>
      <c r="L13" s="8"/>
      <c r="M13" s="8">
        <v>0.6673611111111111</v>
      </c>
      <c r="N13" s="8"/>
      <c r="O13" s="8">
        <v>0.7694444444444445</v>
      </c>
      <c r="P13" s="8"/>
      <c r="Q13" s="8"/>
      <c r="R13" s="8"/>
      <c r="S13" s="8"/>
      <c r="T13" s="8"/>
    </row>
    <row r="14">
      <c r="A14" s="1" t="s">
        <v>487</v>
      </c>
      <c r="B14" s="8" t="s">
        <v>488</v>
      </c>
      <c r="C14" s="8"/>
      <c r="D14" s="8">
        <v>0.22291666666666668</v>
      </c>
      <c r="E14" s="8"/>
      <c r="F14" s="8">
        <v>0.32708333333333334</v>
      </c>
      <c r="G14" s="8"/>
      <c r="H14" s="8">
        <v>0.43125</v>
      </c>
      <c r="I14" s="8"/>
      <c r="J14" s="8"/>
      <c r="K14" s="8">
        <v>0.55625</v>
      </c>
      <c r="L14" s="8"/>
      <c r="M14" s="8">
        <v>0.6708333333333333</v>
      </c>
      <c r="N14" s="8"/>
      <c r="O14" s="8">
        <v>0.7722222222222223</v>
      </c>
      <c r="P14" s="8"/>
      <c r="Q14" s="8"/>
      <c r="R14" s="8"/>
      <c r="S14" s="8"/>
      <c r="T14" s="8"/>
    </row>
    <row r="15">
      <c r="A15" s="1" t="s">
        <v>485</v>
      </c>
      <c r="B15" s="8" t="s">
        <v>486</v>
      </c>
      <c r="C15" s="8"/>
      <c r="D15" s="8">
        <v>0.225</v>
      </c>
      <c r="E15" s="8"/>
      <c r="F15" s="8">
        <v>0.32916666666666666</v>
      </c>
      <c r="G15" s="8"/>
      <c r="H15" s="8">
        <v>0.43333333333333335</v>
      </c>
      <c r="I15" s="8"/>
      <c r="J15" s="8"/>
      <c r="K15" s="8">
        <v>0.5583333333333333</v>
      </c>
      <c r="L15" s="8"/>
      <c r="M15" s="8">
        <v>0.6729166666666667</v>
      </c>
      <c r="N15" s="8"/>
      <c r="O15" s="8">
        <v>0.7743055555555556</v>
      </c>
      <c r="P15" s="8"/>
      <c r="Q15" s="8"/>
      <c r="R15" s="8"/>
      <c r="S15" s="8"/>
      <c r="T15" s="8"/>
    </row>
    <row r="16">
      <c r="A16" s="1" t="s">
        <v>483</v>
      </c>
      <c r="B16" s="8" t="s">
        <v>484</v>
      </c>
      <c r="C16" s="8"/>
      <c r="D16" s="8">
        <v>0.22777777777777777</v>
      </c>
      <c r="E16" s="8"/>
      <c r="F16" s="8">
        <v>0.33194444444444443</v>
      </c>
      <c r="G16" s="8"/>
      <c r="H16" s="8">
        <v>0.4361111111111111</v>
      </c>
      <c r="I16" s="8"/>
      <c r="J16" s="8"/>
      <c r="K16" s="8">
        <v>0.5611111111111111</v>
      </c>
      <c r="L16" s="8"/>
      <c r="M16" s="8">
        <v>0.6756944444444445</v>
      </c>
      <c r="N16" s="8"/>
      <c r="O16" s="8">
        <v>0.7770833333333333</v>
      </c>
      <c r="P16" s="8"/>
      <c r="Q16" s="8"/>
      <c r="R16" s="8"/>
      <c r="S16" s="8"/>
      <c r="T16" s="8"/>
    </row>
    <row r="17">
      <c r="A17" s="1" t="s">
        <v>303</v>
      </c>
      <c r="B17" s="8" t="s">
        <v>482</v>
      </c>
      <c r="C17" s="8"/>
      <c r="D17" s="8">
        <v>0.2326388888888889</v>
      </c>
      <c r="E17" s="8"/>
      <c r="F17" s="8">
        <v>0.3368055555555556</v>
      </c>
      <c r="G17" s="8"/>
      <c r="H17" s="8">
        <v>0.4409722222222222</v>
      </c>
      <c r="I17" s="8"/>
      <c r="J17" s="8"/>
      <c r="K17" s="8">
        <v>0.5659722222222222</v>
      </c>
      <c r="L17" s="8"/>
      <c r="M17" s="8">
        <v>0.6805555555555556</v>
      </c>
      <c r="N17" s="8"/>
      <c r="O17" s="8">
        <v>0.78125</v>
      </c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1"/>
      <c r="C19" s="11"/>
      <c r="D19" s="11"/>
      <c r="E19" s="11"/>
      <c r="F19" s="11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2"/>
      <c r="D20" s="12"/>
      <c r="E20" s="12"/>
      <c r="F20" s="12"/>
      <c r="G20" s="12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4"/>
      <c r="C21" s="14"/>
      <c r="D21" s="14"/>
      <c r="E21" s="14"/>
      <c r="F21" s="14"/>
      <c r="G21" s="14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4"/>
      <c r="C23" s="14"/>
      <c r="D23" s="14"/>
      <c r="E23" s="14"/>
      <c r="F23" s="14"/>
      <c r="G23" s="14"/>
      <c r="H23" s="11"/>
      <c r="I23" s="11"/>
      <c r="J23" s="11"/>
    </row>
    <row r="24">
      <c r="A24" s="11"/>
      <c r="B24" s="14"/>
      <c r="C24" s="14"/>
      <c r="D24" s="14"/>
      <c r="E24" s="14"/>
      <c r="F24" s="14"/>
      <c r="G24" s="14"/>
      <c r="H24" s="14"/>
      <c r="I24" s="14"/>
      <c r="J24" s="14"/>
    </row>
    <row r="25">
      <c r="A25" s="11"/>
      <c r="B25" s="14"/>
      <c r="C25" s="14"/>
      <c r="D25" s="14"/>
      <c r="E25" s="14"/>
      <c r="F25" s="14"/>
      <c r="G25" s="14"/>
      <c r="H25" s="14"/>
      <c r="I25" s="14"/>
      <c r="J25" s="14"/>
    </row>
    <row r="26">
      <c r="A26" s="11"/>
      <c r="B26" s="14"/>
      <c r="C26" s="14"/>
      <c r="D26" s="14"/>
      <c r="E26" s="14"/>
      <c r="F26" s="14"/>
      <c r="G26" s="14"/>
      <c r="H26" s="11"/>
      <c r="I26" s="11"/>
      <c r="J26" s="11"/>
    </row>
    <row r="27">
      <c r="A27" s="11"/>
      <c r="B27" s="14"/>
      <c r="C27" s="14"/>
      <c r="D27" s="14"/>
      <c r="E27" s="14"/>
      <c r="F27" s="14"/>
      <c r="G27" s="14"/>
      <c r="H27" s="11"/>
      <c r="I27" s="11"/>
      <c r="J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1"/>
      <c r="B29" s="14"/>
      <c r="C29" s="14"/>
      <c r="D29" s="14"/>
      <c r="E29" s="14"/>
      <c r="F29" s="14"/>
      <c r="G29" s="14"/>
      <c r="H29" s="11"/>
      <c r="I29" s="11"/>
      <c r="J29" s="11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</row>
    <row r="32">
      <c r="A32" s="11"/>
      <c r="B32" s="14"/>
      <c r="C32" s="14"/>
      <c r="D32" s="14"/>
      <c r="E32" s="14"/>
      <c r="F32" s="14"/>
      <c r="G32" s="14"/>
    </row>
    <row r="33">
      <c r="A33" s="11"/>
      <c r="B33" s="14"/>
      <c r="C33" s="14"/>
      <c r="D33" s="14"/>
      <c r="E33" s="14"/>
      <c r="F33" s="14"/>
      <c r="G33" s="14"/>
    </row>
    <row r="34">
      <c r="A34" s="11"/>
      <c r="B34" s="14"/>
      <c r="C34" s="14"/>
      <c r="D34" s="14"/>
      <c r="E34" s="14"/>
      <c r="F34" s="14"/>
      <c r="G34" s="14"/>
    </row>
    <row r="35">
      <c r="A35" s="11"/>
      <c r="B35" s="14"/>
      <c r="C35" s="14"/>
      <c r="D35" s="14"/>
      <c r="E35" s="14"/>
      <c r="F35" s="14"/>
      <c r="G35" s="14"/>
    </row>
    <row r="36">
      <c r="A36" s="11"/>
      <c r="B36" s="14"/>
      <c r="C36" s="14"/>
      <c r="D36" s="14"/>
      <c r="E36" s="14"/>
      <c r="F36" s="14"/>
      <c r="G36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46179.0</v>
      </c>
      <c r="C1" s="1" t="str">
        <f>'JHB-to-MIDWY_Weekday'!C1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0" t="s">
        <v>2</v>
      </c>
      <c r="B2" s="200" t="s">
        <v>3</v>
      </c>
      <c r="C2" s="200">
        <v>9002.0</v>
      </c>
      <c r="D2" s="200">
        <v>9004.0</v>
      </c>
      <c r="E2" s="200">
        <v>9012.0</v>
      </c>
      <c r="F2" s="200">
        <v>9014.0</v>
      </c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1"/>
      <c r="V2" s="201"/>
      <c r="W2" s="201"/>
      <c r="X2" s="201"/>
      <c r="Y2" s="201"/>
      <c r="Z2" s="201"/>
      <c r="AA2" s="201"/>
    </row>
    <row r="3">
      <c r="A3" s="172" t="s">
        <v>303</v>
      </c>
      <c r="B3" s="177" t="s">
        <v>482</v>
      </c>
      <c r="C3" s="178">
        <v>0.2569444444444444</v>
      </c>
      <c r="D3" s="178">
        <v>0.3680555555555556</v>
      </c>
      <c r="E3" s="178">
        <v>0.625</v>
      </c>
      <c r="F3" s="178">
        <v>0.7638888888888888</v>
      </c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4"/>
      <c r="V3" s="174"/>
      <c r="W3" s="174"/>
      <c r="X3" s="174"/>
      <c r="Y3" s="174"/>
      <c r="Z3" s="174"/>
      <c r="AA3" s="174"/>
    </row>
    <row r="4">
      <c r="A4" s="1" t="s">
        <v>483</v>
      </c>
      <c r="B4" s="9" t="s">
        <v>484</v>
      </c>
      <c r="C4" s="8">
        <v>0.26180555555555557</v>
      </c>
      <c r="D4" s="8">
        <v>0.3729166666666667</v>
      </c>
      <c r="E4" s="8">
        <v>0.6298611111111111</v>
      </c>
      <c r="F4" s="8">
        <v>0.76875</v>
      </c>
      <c r="G4" s="17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485</v>
      </c>
      <c r="B5" s="9" t="s">
        <v>486</v>
      </c>
      <c r="C5" s="8">
        <v>0.2659722222222222</v>
      </c>
      <c r="D5" s="8">
        <v>0.3770833333333333</v>
      </c>
      <c r="E5" s="8">
        <v>0.6340277777777777</v>
      </c>
      <c r="F5" s="8">
        <v>0.7729166666666667</v>
      </c>
      <c r="G5" s="17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" t="s">
        <v>487</v>
      </c>
      <c r="B6" s="9" t="s">
        <v>488</v>
      </c>
      <c r="C6" s="107">
        <v>0.26805555555555555</v>
      </c>
      <c r="D6" s="107">
        <v>0.37916666666666665</v>
      </c>
      <c r="E6" s="107">
        <v>0.6361111111111111</v>
      </c>
      <c r="F6" s="107">
        <v>0.775</v>
      </c>
      <c r="G6" s="17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1" t="s">
        <v>489</v>
      </c>
      <c r="B7" s="9" t="s">
        <v>490</v>
      </c>
      <c r="C7" s="8">
        <v>0.2708333333333333</v>
      </c>
      <c r="D7" s="8">
        <v>0.3819444444444444</v>
      </c>
      <c r="E7" s="8">
        <v>0.6388888888888888</v>
      </c>
      <c r="F7" s="8">
        <v>0.7777777777777778</v>
      </c>
      <c r="G7" s="17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1" t="s">
        <v>551</v>
      </c>
      <c r="B8" s="7" t="s">
        <v>552</v>
      </c>
      <c r="C8" s="8">
        <v>0.2743055555555556</v>
      </c>
      <c r="D8" s="8">
        <v>0.3854166666666667</v>
      </c>
      <c r="E8" s="8">
        <v>0.6423611111111112</v>
      </c>
      <c r="F8" s="8">
        <v>0.78125</v>
      </c>
      <c r="G8" s="17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553</v>
      </c>
      <c r="B9" s="7" t="s">
        <v>554</v>
      </c>
      <c r="C9" s="8">
        <v>0.2763888888888889</v>
      </c>
      <c r="D9" s="8">
        <v>0.3875</v>
      </c>
      <c r="E9" s="8">
        <v>0.6444444444444445</v>
      </c>
      <c r="F9" s="8">
        <v>0.7833333333333333</v>
      </c>
      <c r="G9" s="17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555</v>
      </c>
      <c r="B10" s="7" t="s">
        <v>556</v>
      </c>
      <c r="C10" s="8">
        <v>0.28055555555555556</v>
      </c>
      <c r="D10" s="8">
        <v>0.39166666666666666</v>
      </c>
      <c r="E10" s="8">
        <v>0.6486111111111111</v>
      </c>
      <c r="F10" s="8">
        <v>0.7875</v>
      </c>
      <c r="G10" s="17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" t="s">
        <v>573</v>
      </c>
      <c r="B11" s="7" t="s">
        <v>574</v>
      </c>
      <c r="C11" s="8">
        <v>0.2833333333333333</v>
      </c>
      <c r="D11" s="8">
        <v>0.39444444444444443</v>
      </c>
      <c r="E11" s="8">
        <v>0.6513888888888889</v>
      </c>
      <c r="F11" s="8">
        <v>0.7902777777777777</v>
      </c>
      <c r="G11" s="17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" t="s">
        <v>575</v>
      </c>
      <c r="B12" s="7" t="s">
        <v>576</v>
      </c>
      <c r="C12" s="8">
        <v>0.2861111111111111</v>
      </c>
      <c r="D12" s="8">
        <v>0.3972222222222222</v>
      </c>
      <c r="E12" s="8">
        <v>0.6541666666666667</v>
      </c>
      <c r="F12" s="8">
        <v>0.7930555555555555</v>
      </c>
      <c r="G12" s="17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577</v>
      </c>
      <c r="B13" s="7" t="s">
        <v>578</v>
      </c>
      <c r="C13" s="8">
        <v>0.28958333333333336</v>
      </c>
      <c r="D13" s="8">
        <v>0.40069444444444446</v>
      </c>
      <c r="E13" s="8">
        <v>0.6576388888888889</v>
      </c>
      <c r="F13" s="8">
        <v>0.7965277777777777</v>
      </c>
      <c r="G13" s="17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 t="s">
        <v>579</v>
      </c>
      <c r="B14" s="7" t="s">
        <v>580</v>
      </c>
      <c r="C14" s="8">
        <v>0.29375</v>
      </c>
      <c r="D14" s="8">
        <v>0.4048611111111111</v>
      </c>
      <c r="E14" s="8">
        <v>0.6618055555555555</v>
      </c>
      <c r="F14" s="8">
        <v>0.8006944444444445</v>
      </c>
      <c r="G14" s="178"/>
      <c r="H14" s="8"/>
      <c r="I14" s="8"/>
      <c r="J14" s="8"/>
      <c r="K14" s="8"/>
    </row>
    <row r="15">
      <c r="A15" s="1" t="s">
        <v>581</v>
      </c>
      <c r="B15" s="7" t="s">
        <v>582</v>
      </c>
      <c r="C15" s="8">
        <v>0.2965277777777778</v>
      </c>
      <c r="D15" s="8">
        <v>0.4076388888888889</v>
      </c>
      <c r="E15" s="8">
        <v>0.6645833333333333</v>
      </c>
      <c r="F15" s="8">
        <v>0.8034722222222223</v>
      </c>
      <c r="G15" s="178"/>
      <c r="H15" s="8"/>
      <c r="I15" s="8"/>
      <c r="J15" s="8"/>
      <c r="K15" s="8"/>
    </row>
    <row r="16">
      <c r="A16" s="1" t="s">
        <v>583</v>
      </c>
      <c r="B16" s="7" t="s">
        <v>584</v>
      </c>
      <c r="C16" s="8">
        <v>0.29930555555555555</v>
      </c>
      <c r="D16" s="8">
        <v>0.41041666666666665</v>
      </c>
      <c r="E16" s="8">
        <v>0.6673611111111111</v>
      </c>
      <c r="F16" s="8">
        <v>0.80625</v>
      </c>
      <c r="G16" s="17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585</v>
      </c>
      <c r="B17" s="7" t="s">
        <v>586</v>
      </c>
      <c r="C17" s="8">
        <v>0.3055555555555556</v>
      </c>
      <c r="D17" s="8">
        <v>0.4166666666666667</v>
      </c>
      <c r="E17" s="8">
        <v>0.6736111111111112</v>
      </c>
      <c r="F17" s="8">
        <v>0.8125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1"/>
      <c r="E25" s="1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2"/>
      <c r="C32" s="12"/>
      <c r="D32" s="12"/>
      <c r="E32" s="12"/>
      <c r="F32" s="11"/>
      <c r="G32" s="11"/>
      <c r="H32" s="11"/>
      <c r="I32" s="11"/>
      <c r="J32" s="11"/>
    </row>
    <row r="33">
      <c r="A33" s="13"/>
      <c r="B33" s="12"/>
      <c r="C33" s="12"/>
      <c r="D33" s="12"/>
      <c r="E33" s="12"/>
      <c r="F33" s="14"/>
      <c r="G33" s="14"/>
      <c r="H33" s="14"/>
      <c r="I33" s="14"/>
      <c r="J33" s="14"/>
    </row>
    <row r="34">
      <c r="A34" s="13"/>
      <c r="B34" s="12"/>
      <c r="C34" s="12"/>
      <c r="D34" s="12"/>
      <c r="E34" s="12"/>
      <c r="F34" s="14"/>
      <c r="G34" s="14"/>
      <c r="H34" s="14"/>
      <c r="I34" s="14"/>
      <c r="J34" s="14"/>
    </row>
    <row r="35">
      <c r="A35" s="13"/>
      <c r="B35" s="12"/>
      <c r="C35" s="12"/>
      <c r="D35" s="12"/>
      <c r="E35" s="12"/>
      <c r="F35" s="14"/>
      <c r="G35" s="14"/>
      <c r="H35" s="14"/>
      <c r="I35" s="14"/>
      <c r="J35" s="14"/>
    </row>
    <row r="36">
      <c r="A36" s="13"/>
      <c r="B36" s="12"/>
      <c r="C36" s="12"/>
      <c r="D36" s="12"/>
      <c r="E36" s="12"/>
      <c r="F36" s="11"/>
      <c r="G36" s="11"/>
      <c r="H36" s="11"/>
      <c r="I36" s="11"/>
      <c r="J36" s="11"/>
    </row>
    <row r="37">
      <c r="A37" s="13"/>
      <c r="B37" s="12"/>
      <c r="C37" s="12"/>
      <c r="D37" s="12"/>
      <c r="E37" s="12"/>
      <c r="F37" s="11"/>
      <c r="G37" s="11"/>
      <c r="H37" s="11"/>
      <c r="I37" s="11"/>
      <c r="J37" s="11"/>
    </row>
    <row r="38">
      <c r="A38" s="13"/>
      <c r="B38" s="12"/>
      <c r="C38" s="12"/>
      <c r="D38" s="12"/>
      <c r="E38" s="12"/>
      <c r="F38" s="11"/>
      <c r="G38" s="11"/>
      <c r="H38" s="11"/>
      <c r="I38" s="11"/>
      <c r="J38" s="11"/>
    </row>
    <row r="39">
      <c r="A39" s="13"/>
      <c r="B39" s="12"/>
      <c r="C39" s="12"/>
      <c r="D39" s="12"/>
      <c r="E39" s="12"/>
      <c r="F39" s="14"/>
      <c r="G39" s="14"/>
      <c r="H39" s="14"/>
      <c r="I39" s="14"/>
      <c r="J39" s="14"/>
    </row>
    <row r="40">
      <c r="A40" s="13"/>
      <c r="B40" s="12"/>
      <c r="C40" s="12"/>
      <c r="D40" s="12"/>
      <c r="E40" s="12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'JHB-to-MIDWY_Sat'!B1</f>
        <v>46179</v>
      </c>
      <c r="C1" s="1" t="str">
        <f>'JHB-to-MIDWY_Sat'!C1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0" t="s">
        <v>2</v>
      </c>
      <c r="B2" s="200" t="s">
        <v>3</v>
      </c>
      <c r="C2" s="200">
        <v>9001.0</v>
      </c>
      <c r="D2" s="200">
        <v>9003.0</v>
      </c>
      <c r="E2" s="200">
        <v>9005.0</v>
      </c>
      <c r="F2" s="200">
        <v>9013.0</v>
      </c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1"/>
      <c r="V2" s="201"/>
      <c r="W2" s="201"/>
      <c r="X2" s="201"/>
      <c r="Y2" s="201"/>
      <c r="Z2" s="201"/>
      <c r="AA2" s="201"/>
    </row>
    <row r="3">
      <c r="A3" s="172" t="s">
        <v>585</v>
      </c>
      <c r="B3" s="177" t="s">
        <v>586</v>
      </c>
      <c r="C3" s="8">
        <v>0.2013888888888889</v>
      </c>
      <c r="D3" s="8">
        <v>0.3125</v>
      </c>
      <c r="E3" s="8">
        <v>0.4236111111111111</v>
      </c>
      <c r="F3" s="8">
        <v>0.6875</v>
      </c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4"/>
      <c r="V3" s="174"/>
      <c r="W3" s="174"/>
      <c r="X3" s="174"/>
      <c r="Y3" s="174"/>
      <c r="Z3" s="174"/>
      <c r="AA3" s="174"/>
    </row>
    <row r="4">
      <c r="A4" s="1" t="s">
        <v>583</v>
      </c>
      <c r="B4" s="8" t="s">
        <v>584</v>
      </c>
      <c r="C4" s="8">
        <v>0.20625</v>
      </c>
      <c r="D4" s="8">
        <v>0.3173611111111111</v>
      </c>
      <c r="E4" s="8">
        <v>0.4284722222222222</v>
      </c>
      <c r="F4" s="8">
        <v>0.6923611111111111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581</v>
      </c>
      <c r="B5" s="8" t="s">
        <v>582</v>
      </c>
      <c r="C5" s="8">
        <v>0.20972222222222223</v>
      </c>
      <c r="D5" s="8">
        <v>0.32083333333333336</v>
      </c>
      <c r="E5" s="8">
        <v>0.43194444444444446</v>
      </c>
      <c r="F5" s="8">
        <v>0.6958333333333333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" t="s">
        <v>579</v>
      </c>
      <c r="B6" s="8" t="s">
        <v>580</v>
      </c>
      <c r="C6" s="8">
        <v>0.21458333333333332</v>
      </c>
      <c r="D6" s="8">
        <v>0.32569444444444445</v>
      </c>
      <c r="E6" s="8">
        <v>0.43680555555555556</v>
      </c>
      <c r="F6" s="8">
        <v>0.7006944444444444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1" t="s">
        <v>577</v>
      </c>
      <c r="B7" s="8" t="s">
        <v>578</v>
      </c>
      <c r="C7" s="8">
        <v>0.21805555555555556</v>
      </c>
      <c r="D7" s="8">
        <v>0.3298611111111111</v>
      </c>
      <c r="E7" s="8">
        <v>0.4409722222222222</v>
      </c>
      <c r="F7" s="8">
        <v>0.7048611111111112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1" t="s">
        <v>575</v>
      </c>
      <c r="B8" s="7" t="s">
        <v>576</v>
      </c>
      <c r="C8" s="8">
        <v>0.22152777777777777</v>
      </c>
      <c r="D8" s="8">
        <v>0.3326388888888889</v>
      </c>
      <c r="E8" s="8">
        <v>0.44375</v>
      </c>
      <c r="F8" s="8">
        <v>0.7076388888888889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573</v>
      </c>
      <c r="B9" s="8" t="s">
        <v>574</v>
      </c>
      <c r="C9" s="8">
        <v>0.22361111111111112</v>
      </c>
      <c r="D9" s="8">
        <v>0.33541666666666664</v>
      </c>
      <c r="E9" s="8">
        <v>0.4465277777777778</v>
      </c>
      <c r="F9" s="8">
        <v>0.7104166666666667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555</v>
      </c>
      <c r="B10" s="8" t="s">
        <v>556</v>
      </c>
      <c r="C10" s="8">
        <v>0.22708333333333333</v>
      </c>
      <c r="D10" s="8">
        <v>0.33819444444444446</v>
      </c>
      <c r="E10" s="8">
        <v>0.44930555555555557</v>
      </c>
      <c r="F10" s="8">
        <v>0.7131944444444445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" t="s">
        <v>553</v>
      </c>
      <c r="B11" s="8" t="s">
        <v>554</v>
      </c>
      <c r="C11" s="8">
        <v>0.23125</v>
      </c>
      <c r="D11" s="8">
        <v>0.3423611111111111</v>
      </c>
      <c r="E11" s="8">
        <v>0.4534722222222222</v>
      </c>
      <c r="F11" s="8">
        <v>0.7173611111111111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" t="s">
        <v>551</v>
      </c>
      <c r="B12" s="8" t="s">
        <v>552</v>
      </c>
      <c r="C12" s="8">
        <v>0.23333333333333334</v>
      </c>
      <c r="D12" s="8">
        <v>0.34444444444444444</v>
      </c>
      <c r="E12" s="8">
        <v>0.45555555555555555</v>
      </c>
      <c r="F12" s="8">
        <v>0.7194444444444444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8">
        <v>0.23680555555555555</v>
      </c>
      <c r="D13" s="8">
        <v>0.3486111111111111</v>
      </c>
      <c r="E13" s="8">
        <v>0.4597222222222222</v>
      </c>
      <c r="F13" s="8">
        <v>0.7236111111111111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 t="s">
        <v>487</v>
      </c>
      <c r="B14" s="8" t="s">
        <v>488</v>
      </c>
      <c r="C14" s="8">
        <v>0.24027777777777778</v>
      </c>
      <c r="D14" s="8">
        <v>0.35138888888888886</v>
      </c>
      <c r="E14" s="8">
        <v>0.4625</v>
      </c>
      <c r="F14" s="8">
        <v>0.7263888888888889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1" t="s">
        <v>485</v>
      </c>
      <c r="B15" s="8" t="s">
        <v>486</v>
      </c>
      <c r="C15" s="8">
        <v>0.2423611111111111</v>
      </c>
      <c r="D15" s="8">
        <v>0.35347222222222224</v>
      </c>
      <c r="E15" s="8">
        <v>0.46458333333333335</v>
      </c>
      <c r="F15" s="8">
        <v>0.7284722222222222</v>
      </c>
      <c r="G15" s="8"/>
      <c r="H15" s="8"/>
      <c r="I15" s="8"/>
      <c r="J15" s="8"/>
      <c r="K15" s="8"/>
      <c r="L15" s="8"/>
      <c r="M15" s="8"/>
      <c r="N15" s="8"/>
      <c r="O15" s="8"/>
    </row>
    <row r="16">
      <c r="A16" s="1" t="s">
        <v>483</v>
      </c>
      <c r="B16" s="8" t="s">
        <v>484</v>
      </c>
      <c r="C16" s="8">
        <v>0.24513888888888888</v>
      </c>
      <c r="D16" s="8">
        <v>0.35694444444444445</v>
      </c>
      <c r="E16" s="8">
        <v>0.46805555555555556</v>
      </c>
      <c r="F16" s="8">
        <v>0.7319444444444444</v>
      </c>
      <c r="G16" s="8"/>
      <c r="H16" s="8"/>
      <c r="I16" s="8"/>
      <c r="J16" s="8"/>
      <c r="K16" s="8"/>
      <c r="L16" s="8"/>
      <c r="M16" s="8"/>
      <c r="N16" s="8"/>
      <c r="O16" s="8"/>
    </row>
    <row r="17">
      <c r="A17" s="1" t="s">
        <v>303</v>
      </c>
      <c r="B17" s="8" t="s">
        <v>482</v>
      </c>
      <c r="C17" s="8">
        <v>0.24930555555555556</v>
      </c>
      <c r="D17" s="8">
        <v>0.3611111111111111</v>
      </c>
      <c r="E17" s="8">
        <v>0.4722222222222222</v>
      </c>
      <c r="F17" s="8">
        <v>0.7361111111111112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1"/>
      <c r="E24" s="11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3"/>
      <c r="B33" s="14"/>
      <c r="C33" s="14"/>
      <c r="D33" s="14"/>
      <c r="E33" s="14"/>
      <c r="F33" s="11"/>
      <c r="G33" s="11"/>
      <c r="H33" s="11"/>
      <c r="I33" s="11"/>
      <c r="J33" s="11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3"/>
      <c r="B37" s="12"/>
      <c r="C37" s="14"/>
      <c r="D37" s="14"/>
      <c r="E37" s="14"/>
      <c r="F37" s="11"/>
      <c r="G37" s="11"/>
      <c r="H37" s="11"/>
      <c r="I37" s="11"/>
      <c r="J37" s="11"/>
    </row>
    <row r="38">
      <c r="A38" s="13"/>
      <c r="B38" s="14"/>
      <c r="C38" s="14"/>
      <c r="D38" s="14"/>
      <c r="E38" s="14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1"/>
      <c r="G39" s="11"/>
      <c r="H39" s="11"/>
      <c r="I39" s="11"/>
      <c r="J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46113.0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1215.0</v>
      </c>
      <c r="F2" s="1">
        <v>1217.0</v>
      </c>
      <c r="G2" s="206">
        <v>1219.0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0.22916666666666666</v>
      </c>
      <c r="D3" s="6">
        <v>0.2986111111111111</v>
      </c>
      <c r="E3" s="6">
        <v>0.625</v>
      </c>
      <c r="F3" s="6">
        <v>0.6944444444444444</v>
      </c>
      <c r="G3" s="6">
        <v>0.7638888888888888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20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587</v>
      </c>
      <c r="B5" s="7" t="s">
        <v>588</v>
      </c>
      <c r="C5" s="8"/>
      <c r="D5" s="8"/>
      <c r="E5" s="8"/>
      <c r="F5" s="8"/>
      <c r="G5" s="20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589</v>
      </c>
      <c r="B6" s="7" t="s">
        <v>590</v>
      </c>
      <c r="C6" s="8">
        <v>0.24027777777777778</v>
      </c>
      <c r="D6" s="8">
        <v>0.30972222222222223</v>
      </c>
      <c r="E6" s="8">
        <v>0.6361111111111111</v>
      </c>
      <c r="F6" s="8">
        <v>0.7055555555555556</v>
      </c>
      <c r="G6" s="207">
        <v>0.775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591</v>
      </c>
      <c r="B7" s="7" t="s">
        <v>592</v>
      </c>
      <c r="C7" s="8"/>
      <c r="D7" s="8"/>
      <c r="E7" s="8"/>
      <c r="F7" s="8"/>
      <c r="G7" s="20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593</v>
      </c>
      <c r="B8" s="7" t="s">
        <v>594</v>
      </c>
      <c r="C8" s="8">
        <v>0.24583333333333332</v>
      </c>
      <c r="D8" s="8">
        <v>0.31527777777777777</v>
      </c>
      <c r="E8" s="8">
        <v>0.6416666666666667</v>
      </c>
      <c r="F8" s="8">
        <v>0.7111111111111111</v>
      </c>
      <c r="G8" s="207">
        <v>0.7805555555555556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595</v>
      </c>
      <c r="B9" s="7" t="s">
        <v>596</v>
      </c>
      <c r="C9" s="8"/>
      <c r="D9" s="8"/>
      <c r="E9" s="8"/>
      <c r="F9" s="8"/>
      <c r="G9" s="20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20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597</v>
      </c>
      <c r="B11" s="9" t="s">
        <v>71</v>
      </c>
      <c r="C11" s="8">
        <v>0.2569444444444444</v>
      </c>
      <c r="D11" s="8">
        <v>0.3263888888888889</v>
      </c>
      <c r="E11" s="8">
        <v>0.6527777777777778</v>
      </c>
      <c r="F11" s="8">
        <v>0.7222222222222222</v>
      </c>
      <c r="G11" s="207">
        <v>0.7916666666666666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'HERC-to-KOED_Weekday'!B1</f>
        <v>46113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1216.0</v>
      </c>
      <c r="F2" s="1">
        <v>1218.0</v>
      </c>
      <c r="G2" s="206">
        <v>1220.0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597</v>
      </c>
      <c r="B3" s="5" t="s">
        <v>71</v>
      </c>
      <c r="C3" s="6">
        <v>0.2638888888888889</v>
      </c>
      <c r="D3" s="6">
        <v>0.3333333333333333</v>
      </c>
      <c r="E3" s="6">
        <v>0.6597222222222222</v>
      </c>
      <c r="F3" s="6">
        <v>0.7291666666666666</v>
      </c>
      <c r="G3" s="6">
        <v>0.7986111111111112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20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595</v>
      </c>
      <c r="B5" s="84" t="s">
        <v>596</v>
      </c>
      <c r="C5" s="8"/>
      <c r="D5" s="8"/>
      <c r="E5" s="8"/>
      <c r="F5" s="8"/>
      <c r="G5" s="20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593</v>
      </c>
      <c r="B6" s="84" t="s">
        <v>594</v>
      </c>
      <c r="C6" s="8">
        <v>0.2743055555555556</v>
      </c>
      <c r="D6" s="8">
        <v>0.34375</v>
      </c>
      <c r="E6" s="8">
        <v>0.6701388888888888</v>
      </c>
      <c r="F6" s="8">
        <v>0.7395833333333334</v>
      </c>
      <c r="G6" s="207">
        <v>0.8090277777777778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591</v>
      </c>
      <c r="B7" s="84" t="s">
        <v>592</v>
      </c>
      <c r="C7" s="8"/>
      <c r="D7" s="8"/>
      <c r="E7" s="8"/>
      <c r="F7" s="8"/>
      <c r="G7" s="20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589</v>
      </c>
      <c r="B8" s="84" t="s">
        <v>590</v>
      </c>
      <c r="C8" s="8">
        <v>0.2798611111111111</v>
      </c>
      <c r="D8" s="8">
        <v>0.34930555555555554</v>
      </c>
      <c r="E8" s="8">
        <v>0.6756944444444445</v>
      </c>
      <c r="F8" s="8">
        <v>0.7451388888888889</v>
      </c>
      <c r="G8" s="207">
        <v>0.8145833333333333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587</v>
      </c>
      <c r="B9" s="83" t="s">
        <v>588</v>
      </c>
      <c r="C9" s="8"/>
      <c r="D9" s="8"/>
      <c r="E9" s="8"/>
      <c r="F9" s="8"/>
      <c r="G9" s="20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20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v>0.2916666666666667</v>
      </c>
      <c r="D11" s="8">
        <v>0.3611111111111111</v>
      </c>
      <c r="E11" s="8">
        <v>0.6875</v>
      </c>
      <c r="F11" s="8">
        <v>0.7569444444444444</v>
      </c>
      <c r="G11" s="207">
        <v>0.8263888888888888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587</v>
      </c>
      <c r="B5" s="7" t="s">
        <v>588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589</v>
      </c>
      <c r="B6" s="7" t="s">
        <v>590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591</v>
      </c>
      <c r="B7" s="7" t="s">
        <v>592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593</v>
      </c>
      <c r="B8" s="7" t="s">
        <v>594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595</v>
      </c>
      <c r="B9" s="7" t="s">
        <v>596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597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597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595</v>
      </c>
      <c r="B5" s="84" t="s">
        <v>596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593</v>
      </c>
      <c r="B6" s="84" t="s">
        <v>594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591</v>
      </c>
      <c r="B7" s="84" t="s">
        <v>592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589</v>
      </c>
      <c r="B8" s="84" t="s">
        <v>590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587</v>
      </c>
      <c r="B9" s="83" t="s">
        <v>588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