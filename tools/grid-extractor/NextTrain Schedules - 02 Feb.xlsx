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nock\OneDrive\Documents\GitHub\Train Schedule\Schedules\GRID ORDER\"/>
    </mc:Choice>
  </mc:AlternateContent>
  <xr:revisionPtr revIDLastSave="0" documentId="13_ncr:1_{82D5E881-EE29-4674-9F5E-B3589D3C7500}" xr6:coauthVersionLast="47" xr6:coauthVersionMax="47" xr10:uidLastSave="{00000000-0000-0000-0000-000000000000}"/>
  <bookViews>
    <workbookView xWindow="-108" yWindow="12852" windowWidth="23256" windowHeight="12456" activeTab="3" xr2:uid="{00000000-000D-0000-FFFF-FFFF00000000}"/>
  </bookViews>
  <sheets>
    <sheet name="ABC-to-ABC_Weekday" sheetId="1" r:id="rId1"/>
    <sheet name="PRETORIA - IRENE - KEMPTON PARK" sheetId="2" state="hidden" r:id="rId2"/>
    <sheet name="Archive_2025" sheetId="3" state="hidden" r:id="rId3"/>
    <sheet name="Config_GridOrder" sheetId="4" r:id="rId4"/>
    <sheet name="PTA-to-PIEN_Weekday" sheetId="5" r:id="rId5"/>
    <sheet name="PIEN-to-PTA_Weekday" sheetId="6" r:id="rId6"/>
    <sheet name="PTA-to-PIEN_Sat" sheetId="7" r:id="rId7"/>
    <sheet name="PIEN-to-PTA_Sat" sheetId="8" r:id="rId8"/>
    <sheet name="PTA-to-MAB_Weekday" sheetId="9" r:id="rId9"/>
    <sheet name="MAB-to-PTA_Weekday" sheetId="10" r:id="rId10"/>
    <sheet name="PTA-to-MAB_Sat" sheetId="11" r:id="rId11"/>
    <sheet name="MAB-to-PTA_Sat" sheetId="12" r:id="rId12"/>
    <sheet name="GERM-to-LERL_Weekday" sheetId="13" r:id="rId13"/>
    <sheet name="LERL-to-GERM_Weekday" sheetId="14" r:id="rId14"/>
    <sheet name="GERM-to-LERL_Sat" sheetId="15" r:id="rId15"/>
    <sheet name="LERL-to-GERM_Sat" sheetId="16" r:id="rId16"/>
    <sheet name="PTA-to-DEWIL_Weekday" sheetId="17" r:id="rId17"/>
    <sheet name="DEWIL-to-PTA_Weekday" sheetId="18" r:id="rId18"/>
    <sheet name="PTA-to-DEWIL_Sat" sheetId="19" r:id="rId19"/>
    <sheet name="DEWIL-to-PTA_Sat" sheetId="20" r:id="rId20"/>
    <sheet name="PTA-to-IRENE_Weekday" sheetId="21" r:id="rId21"/>
    <sheet name="IRENE-to-PTA_Weekday" sheetId="22" r:id="rId22"/>
    <sheet name="PTA-to-IRENE_Sat" sheetId="23" r:id="rId23"/>
    <sheet name="IRENE-to-PTA_Sat" sheetId="24" r:id="rId24"/>
    <sheet name="JHB-to-GERM_Weekday" sheetId="25" r:id="rId25"/>
    <sheet name="GERM-to-JHB_Weekday" sheetId="26" r:id="rId26"/>
    <sheet name="JHB-to-GERM_Sat" sheetId="27" r:id="rId27"/>
    <sheet name="GERM-to-JHB_Sat" sheetId="28" r:id="rId28"/>
    <sheet name="PTA-to-KEMP_Weekday" sheetId="29" r:id="rId29"/>
    <sheet name="KEMP-to-PTA_Weekday" sheetId="30" r:id="rId30"/>
    <sheet name="PTA-to-KEMP_Sat" sheetId="31" r:id="rId31"/>
    <sheet name="KEMP-to-PTA_Sat" sheetId="32" r:id="rId32"/>
    <sheet name="PTA-to-SAUL_Weekday" sheetId="33" r:id="rId33"/>
    <sheet name="SAUL-to-PTA_Weekday" sheetId="34" r:id="rId34"/>
    <sheet name="PTA-to-SAUL_Sat" sheetId="35" r:id="rId35"/>
    <sheet name="SAUL-to-PTA_Sat" sheetId="36" r:id="rId36"/>
    <sheet name="MAB-to-BELLE_Weekday" sheetId="37" r:id="rId37"/>
    <sheet name="BELLE-to-MAB_Weekday" sheetId="38" r:id="rId38"/>
    <sheet name="MAB-to-BELLE_Sat" sheetId="39" r:id="rId39"/>
    <sheet name="BELLE-to-MAB_Sat" sheetId="40" r:id="rId40"/>
    <sheet name="GERM-to-KWESI_Weekday" sheetId="41" r:id="rId41"/>
    <sheet name="KWESI-to-GERM_Weekday" sheetId="42" r:id="rId42"/>
    <sheet name="GERM-to-KWESI_Sat" sheetId="43" r:id="rId43"/>
    <sheet name="KWESI-to-GERM_Sat" sheetId="44" r:id="rId44"/>
    <sheet name="JHB-to-RAND_Weekday" sheetId="45" r:id="rId45"/>
    <sheet name="RAND-to-JHB_Weekday" sheetId="46" r:id="rId46"/>
    <sheet name="JHB-to-RAND_Sat" sheetId="47" r:id="rId47"/>
    <sheet name="RAND-to-JHB_Sat" sheetId="48" r:id="rId48"/>
    <sheet name="JHB-to-NALD_Weekday" sheetId="49" r:id="rId49"/>
    <sheet name="NALD-to-JHB_Weekday" sheetId="50" r:id="rId50"/>
    <sheet name="JHB-to-NALD_Sat" sheetId="51" r:id="rId51"/>
    <sheet name="NALD-to-JHB_Sat" sheetId="52" r:id="rId52"/>
    <sheet name="JHB-to-MIDWY_Weekday" sheetId="53" r:id="rId53"/>
    <sheet name="MIDWY-to-JHB_Weekday" sheetId="54" r:id="rId54"/>
    <sheet name="JHB-to-MIDWY_Sat" sheetId="55" r:id="rId55"/>
    <sheet name="MIDWY-to-JHB_Sat" sheetId="56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56" l="1"/>
  <c r="B1" i="56"/>
  <c r="C1" i="55"/>
  <c r="C1" i="54"/>
  <c r="B1" i="54"/>
  <c r="C1" i="52"/>
  <c r="B1" i="52"/>
  <c r="C1" i="51"/>
  <c r="C1" i="50"/>
  <c r="B1" i="50"/>
  <c r="I13" i="48"/>
  <c r="G13" i="48"/>
  <c r="E13" i="48"/>
  <c r="C13" i="48"/>
  <c r="C1" i="48"/>
  <c r="B1" i="48"/>
  <c r="J19" i="47"/>
  <c r="H19" i="47"/>
  <c r="F19" i="47"/>
  <c r="D19" i="47"/>
  <c r="C1" i="47"/>
  <c r="C1" i="46"/>
  <c r="B1" i="46"/>
  <c r="P4" i="45"/>
  <c r="N4" i="45"/>
  <c r="L4" i="45"/>
  <c r="J4" i="45"/>
  <c r="H4" i="45"/>
  <c r="F4" i="45"/>
  <c r="D4" i="45"/>
  <c r="C1" i="44"/>
  <c r="B1" i="44"/>
  <c r="C1" i="43"/>
  <c r="C1" i="42"/>
  <c r="B1" i="42"/>
  <c r="C1" i="40"/>
  <c r="B1" i="40"/>
  <c r="C1" i="39"/>
  <c r="C1" i="38"/>
  <c r="B1" i="38"/>
  <c r="C1" i="36"/>
  <c r="B1" i="36"/>
  <c r="C1" i="35"/>
  <c r="C1" i="34"/>
  <c r="B1" i="34"/>
  <c r="C1" i="32"/>
  <c r="B1" i="32"/>
  <c r="C1" i="31"/>
  <c r="C1" i="30"/>
  <c r="B1" i="30"/>
  <c r="I11" i="28"/>
  <c r="H11" i="28"/>
  <c r="G11" i="28"/>
  <c r="F11" i="28"/>
  <c r="E11" i="28"/>
  <c r="D11" i="28"/>
  <c r="C11" i="28"/>
  <c r="C1" i="28"/>
  <c r="B1" i="28"/>
  <c r="I6" i="27"/>
  <c r="H6" i="27"/>
  <c r="G6" i="27"/>
  <c r="F6" i="27"/>
  <c r="E6" i="27"/>
  <c r="D6" i="27"/>
  <c r="C6" i="27"/>
  <c r="C1" i="27"/>
  <c r="C1" i="26"/>
  <c r="B1" i="26"/>
  <c r="C1" i="24"/>
  <c r="B1" i="24"/>
  <c r="C1" i="23"/>
  <c r="C1" i="22"/>
  <c r="B1" i="22"/>
  <c r="C1" i="20"/>
  <c r="C1" i="19"/>
  <c r="C1" i="18"/>
  <c r="B1" i="18"/>
  <c r="C1" i="16"/>
  <c r="C1" i="15"/>
  <c r="C1" i="14"/>
  <c r="B1" i="14"/>
  <c r="C1" i="12"/>
  <c r="B1" i="12"/>
  <c r="B3" i="11"/>
  <c r="C1" i="11"/>
  <c r="C1" i="10"/>
  <c r="B1" i="10"/>
  <c r="B3" i="9"/>
  <c r="C1" i="8"/>
  <c r="C1" i="7"/>
  <c r="AO64" i="6"/>
  <c r="AO63" i="6"/>
  <c r="AO62" i="6"/>
  <c r="AO61" i="6"/>
  <c r="AO60" i="6"/>
  <c r="AO59" i="6"/>
  <c r="AO58" i="6"/>
  <c r="AO57" i="6"/>
  <c r="AO56" i="6"/>
  <c r="AO55" i="6"/>
  <c r="AO54" i="6"/>
  <c r="AO53" i="6"/>
  <c r="AO52" i="6"/>
  <c r="AO51" i="6"/>
  <c r="C1" i="6"/>
  <c r="B1" i="6"/>
  <c r="B2" i="5"/>
  <c r="J224" i="3"/>
  <c r="J221" i="3"/>
  <c r="J220" i="3"/>
  <c r="J219" i="3"/>
  <c r="J217" i="3"/>
  <c r="J216" i="3"/>
  <c r="J212" i="3"/>
  <c r="N186" i="3"/>
  <c r="M186" i="3"/>
  <c r="L186" i="3"/>
  <c r="K186" i="3"/>
  <c r="J186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79" i="3"/>
  <c r="M179" i="3"/>
  <c r="L179" i="3"/>
  <c r="K179" i="3"/>
  <c r="J179" i="3"/>
  <c r="N178" i="3"/>
  <c r="M178" i="3"/>
  <c r="L178" i="3"/>
  <c r="K178" i="3"/>
  <c r="J178" i="3"/>
  <c r="N174" i="3"/>
  <c r="M174" i="3"/>
  <c r="L174" i="3"/>
  <c r="K174" i="3"/>
  <c r="J174" i="3"/>
  <c r="N166" i="3"/>
  <c r="M166" i="3"/>
  <c r="L166" i="3"/>
  <c r="K166" i="3"/>
  <c r="J166" i="3"/>
  <c r="N162" i="3"/>
  <c r="M162" i="3"/>
  <c r="L162" i="3"/>
  <c r="K162" i="3"/>
  <c r="J162" i="3"/>
  <c r="N161" i="3"/>
  <c r="M161" i="3"/>
  <c r="L161" i="3"/>
  <c r="K161" i="3"/>
  <c r="J161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4" i="3"/>
  <c r="M154" i="3"/>
  <c r="L154" i="3"/>
  <c r="K154" i="3"/>
  <c r="J154" i="3"/>
  <c r="B128" i="3"/>
  <c r="T109" i="3"/>
  <c r="T110" i="3" s="1"/>
  <c r="T111" i="3" s="1"/>
  <c r="T112" i="3" s="1"/>
  <c r="T114" i="3" s="1"/>
  <c r="T116" i="3" s="1"/>
  <c r="T121" i="3" s="1"/>
  <c r="T124" i="3" s="1"/>
  <c r="S109" i="3"/>
  <c r="S110" i="3" s="1"/>
  <c r="S111" i="3" s="1"/>
  <c r="S112" i="3" s="1"/>
  <c r="S114" i="3" s="1"/>
  <c r="S116" i="3" s="1"/>
  <c r="S121" i="3" s="1"/>
  <c r="S124" i="3" s="1"/>
  <c r="R109" i="3"/>
  <c r="R110" i="3" s="1"/>
  <c r="R111" i="3" s="1"/>
  <c r="R112" i="3" s="1"/>
  <c r="R114" i="3" s="1"/>
  <c r="R116" i="3" s="1"/>
  <c r="R121" i="3" s="1"/>
  <c r="R124" i="3" s="1"/>
  <c r="T108" i="3"/>
  <c r="S108" i="3"/>
  <c r="R108" i="3"/>
  <c r="Q108" i="3"/>
  <c r="Q109" i="3" s="1"/>
  <c r="Q110" i="3" s="1"/>
  <c r="Q111" i="3" s="1"/>
  <c r="Q112" i="3" s="1"/>
  <c r="Q114" i="3" s="1"/>
  <c r="Q116" i="3" s="1"/>
  <c r="Q121" i="3" s="1"/>
  <c r="Q124" i="3" s="1"/>
  <c r="B80" i="3"/>
  <c r="AL40" i="3"/>
  <c r="AL39" i="3"/>
  <c r="AL38" i="3"/>
  <c r="AL37" i="3"/>
  <c r="AL36" i="3"/>
  <c r="AL35" i="3"/>
  <c r="AL34" i="3"/>
  <c r="AF34" i="3"/>
  <c r="AF35" i="3" s="1"/>
  <c r="AF36" i="3" s="1"/>
  <c r="AF37" i="3" s="1"/>
  <c r="AF38" i="3" s="1"/>
  <c r="AF39" i="3" s="1"/>
  <c r="AF40" i="3" s="1"/>
  <c r="P34" i="3"/>
  <c r="P35" i="3" s="1"/>
  <c r="P36" i="3" s="1"/>
  <c r="P37" i="3" s="1"/>
  <c r="P38" i="3" s="1"/>
  <c r="P39" i="3" s="1"/>
  <c r="P40" i="3" s="1"/>
  <c r="R33" i="3" s="1"/>
  <c r="R34" i="3" s="1"/>
  <c r="R35" i="3" s="1"/>
  <c r="R36" i="3" s="1"/>
  <c r="R37" i="3" s="1"/>
  <c r="R38" i="3" s="1"/>
  <c r="R39" i="3" s="1"/>
  <c r="R40" i="3" s="1"/>
  <c r="N34" i="3"/>
  <c r="N35" i="3" s="1"/>
  <c r="N36" i="3" s="1"/>
  <c r="N37" i="3" s="1"/>
  <c r="N38" i="3" s="1"/>
  <c r="N39" i="3" s="1"/>
  <c r="N40" i="3" s="1"/>
  <c r="L34" i="3"/>
  <c r="L35" i="3" s="1"/>
  <c r="L36" i="3" s="1"/>
  <c r="L37" i="3" s="1"/>
  <c r="L38" i="3" s="1"/>
  <c r="L39" i="3" s="1"/>
  <c r="L40" i="3" s="1"/>
  <c r="J34" i="3"/>
  <c r="J35" i="3" s="1"/>
  <c r="J36" i="3" s="1"/>
  <c r="J37" i="3" s="1"/>
  <c r="J38" i="3" s="1"/>
  <c r="J39" i="3" s="1"/>
  <c r="J40" i="3" s="1"/>
  <c r="K27" i="3" s="1"/>
  <c r="K28" i="3" s="1"/>
  <c r="K29" i="3" s="1"/>
  <c r="K30" i="3" s="1"/>
  <c r="K31" i="3" s="1"/>
  <c r="K32" i="3" s="1"/>
  <c r="K33" i="3" s="1"/>
  <c r="F34" i="3"/>
  <c r="F35" i="3" s="1"/>
  <c r="F36" i="3" s="1"/>
  <c r="F37" i="3" s="1"/>
  <c r="F38" i="3" s="1"/>
  <c r="F39" i="3" s="1"/>
  <c r="F40" i="3" s="1"/>
  <c r="AL33" i="3"/>
  <c r="AL32" i="3"/>
  <c r="AL31" i="3"/>
  <c r="AL30" i="3"/>
  <c r="Y30" i="3"/>
  <c r="Y31" i="3" s="1"/>
  <c r="Y32" i="3" s="1"/>
  <c r="Y33" i="3" s="1"/>
  <c r="E30" i="3"/>
  <c r="E31" i="3" s="1"/>
  <c r="E32" i="3" s="1"/>
  <c r="E33" i="3" s="1"/>
  <c r="AL29" i="3"/>
  <c r="AG29" i="3"/>
  <c r="AG30" i="3" s="1"/>
  <c r="AG31" i="3" s="1"/>
  <c r="AG32" i="3" s="1"/>
  <c r="AG33" i="3" s="1"/>
  <c r="AH27" i="3" s="1"/>
  <c r="Y29" i="3"/>
  <c r="T29" i="3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E29" i="3"/>
  <c r="AL28" i="3"/>
  <c r="AD28" i="3"/>
  <c r="AD29" i="3" s="1"/>
  <c r="AD30" i="3" s="1"/>
  <c r="AD31" i="3" s="1"/>
  <c r="AD32" i="3" s="1"/>
  <c r="AD33" i="3" s="1"/>
  <c r="AE33" i="3" s="1"/>
  <c r="AE34" i="3" s="1"/>
  <c r="AE35" i="3" s="1"/>
  <c r="AE36" i="3" s="1"/>
  <c r="AE37" i="3" s="1"/>
  <c r="AE38" i="3" s="1"/>
  <c r="AE39" i="3" s="1"/>
  <c r="AE40" i="3" s="1"/>
  <c r="X28" i="3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W28" i="3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S28" i="3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O28" i="3"/>
  <c r="O29" i="3" s="1"/>
  <c r="O30" i="3" s="1"/>
  <c r="O31" i="3" s="1"/>
  <c r="O32" i="3" s="1"/>
  <c r="O33" i="3" s="1"/>
  <c r="Q28" i="3" s="1"/>
  <c r="Q29" i="3" s="1"/>
  <c r="Q30" i="3" s="1"/>
  <c r="Q31" i="3" s="1"/>
  <c r="Q32" i="3" s="1"/>
  <c r="Q33" i="3" s="1"/>
  <c r="G28" i="3"/>
  <c r="G29" i="3" s="1"/>
  <c r="G30" i="3" s="1"/>
  <c r="G31" i="3" s="1"/>
  <c r="G32" i="3" s="1"/>
  <c r="G33" i="3" s="1"/>
  <c r="I28" i="3" s="1"/>
  <c r="I29" i="3" s="1"/>
  <c r="I30" i="3" s="1"/>
  <c r="I31" i="3" s="1"/>
  <c r="C28" i="3"/>
  <c r="C29" i="3" s="1"/>
  <c r="C30" i="3" s="1"/>
  <c r="C31" i="3" s="1"/>
  <c r="C32" i="3" s="1"/>
  <c r="C33" i="3" s="1"/>
  <c r="D33" i="3" s="1"/>
  <c r="D34" i="3" s="1"/>
  <c r="D35" i="3" s="1"/>
  <c r="D36" i="3" s="1"/>
  <c r="D37" i="3" s="1"/>
  <c r="D38" i="3" s="1"/>
  <c r="D39" i="3" s="1"/>
  <c r="D40" i="3" s="1"/>
  <c r="AL27" i="3"/>
  <c r="Z27" i="3"/>
  <c r="Z28" i="3" s="1"/>
  <c r="Z29" i="3" s="1"/>
  <c r="Z30" i="3" s="1"/>
  <c r="Z31" i="3" s="1"/>
  <c r="Z32" i="3" s="1"/>
  <c r="Z33" i="3" s="1"/>
  <c r="AA33" i="3" s="1"/>
  <c r="AA34" i="3" s="1"/>
  <c r="AA35" i="3" s="1"/>
  <c r="AA36" i="3" s="1"/>
  <c r="AA37" i="3" s="1"/>
  <c r="AA38" i="3" s="1"/>
  <c r="AL21" i="3"/>
  <c r="AL20" i="3"/>
  <c r="AL19" i="3"/>
  <c r="AL18" i="3"/>
  <c r="AL17" i="3"/>
  <c r="AL16" i="3"/>
  <c r="AG16" i="3"/>
  <c r="AG17" i="3" s="1"/>
  <c r="AG18" i="3" s="1"/>
  <c r="AG19" i="3" s="1"/>
  <c r="M16" i="3"/>
  <c r="M17" i="3" s="1"/>
  <c r="M18" i="3" s="1"/>
  <c r="M19" i="3" s="1"/>
  <c r="N7" i="3" s="1"/>
  <c r="N8" i="3" s="1"/>
  <c r="N9" i="3" s="1"/>
  <c r="N10" i="3" s="1"/>
  <c r="N11" i="3" s="1"/>
  <c r="N12" i="3" s="1"/>
  <c r="N13" i="3" s="1"/>
  <c r="N14" i="3" s="1"/>
  <c r="AL15" i="3"/>
  <c r="AG15" i="3"/>
  <c r="AE15" i="3"/>
  <c r="AE16" i="3" s="1"/>
  <c r="AE17" i="3" s="1"/>
  <c r="AE18" i="3" s="1"/>
  <c r="AE19" i="3" s="1"/>
  <c r="AE20" i="3" s="1"/>
  <c r="AC15" i="3"/>
  <c r="AC16" i="3" s="1"/>
  <c r="AC17" i="3" s="1"/>
  <c r="AC18" i="3" s="1"/>
  <c r="AC19" i="3" s="1"/>
  <c r="AA15" i="3"/>
  <c r="AA16" i="3" s="1"/>
  <c r="AA17" i="3" s="1"/>
  <c r="AA18" i="3" s="1"/>
  <c r="AA19" i="3" s="1"/>
  <c r="AA20" i="3" s="1"/>
  <c r="Q15" i="3"/>
  <c r="Q16" i="3" s="1"/>
  <c r="Q17" i="3" s="1"/>
  <c r="Q18" i="3" s="1"/>
  <c r="Q19" i="3" s="1"/>
  <c r="M15" i="3"/>
  <c r="G15" i="3"/>
  <c r="G16" i="3" s="1"/>
  <c r="G17" i="3" s="1"/>
  <c r="G18" i="3" s="1"/>
  <c r="G19" i="3" s="1"/>
  <c r="G20" i="3" s="1"/>
  <c r="E15" i="3"/>
  <c r="E16" i="3" s="1"/>
  <c r="E17" i="3" s="1"/>
  <c r="E18" i="3" s="1"/>
  <c r="E19" i="3" s="1"/>
  <c r="AL14" i="3"/>
  <c r="AL13" i="3"/>
  <c r="AL12" i="3"/>
  <c r="AL11" i="3"/>
  <c r="AL10" i="3"/>
  <c r="AH10" i="3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U10" i="3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AL9" i="3"/>
  <c r="AI9" i="3"/>
  <c r="AI10" i="3" s="1"/>
  <c r="AI11" i="3" s="1"/>
  <c r="AI12" i="3" s="1"/>
  <c r="AI13" i="3" s="1"/>
  <c r="AI14" i="3" s="1"/>
  <c r="AI15" i="3" s="1"/>
  <c r="AI16" i="3" s="1"/>
  <c r="AI17" i="3" s="1"/>
  <c r="AI18" i="3" s="1"/>
  <c r="AI19" i="3" s="1"/>
  <c r="AI20" i="3" s="1"/>
  <c r="AH9" i="3"/>
  <c r="AF9" i="3"/>
  <c r="AF10" i="3" s="1"/>
  <c r="AF11" i="3" s="1"/>
  <c r="AF12" i="3" s="1"/>
  <c r="AF13" i="3" s="1"/>
  <c r="AF14" i="3" s="1"/>
  <c r="AB9" i="3"/>
  <c r="AB10" i="3" s="1"/>
  <c r="AB11" i="3" s="1"/>
  <c r="AB12" i="3" s="1"/>
  <c r="AB13" i="3" s="1"/>
  <c r="AB14" i="3" s="1"/>
  <c r="AD7" i="3" s="1"/>
  <c r="AD8" i="3" s="1"/>
  <c r="AD9" i="3" s="1"/>
  <c r="AD10" i="3" s="1"/>
  <c r="AD11" i="3" s="1"/>
  <c r="AD12" i="3" s="1"/>
  <c r="AD13" i="3" s="1"/>
  <c r="AD14" i="3" s="1"/>
  <c r="Z9" i="3"/>
  <c r="Z10" i="3" s="1"/>
  <c r="Z11" i="3" s="1"/>
  <c r="Z12" i="3" s="1"/>
  <c r="Z13" i="3" s="1"/>
  <c r="Z14" i="3" s="1"/>
  <c r="Y14" i="3" s="1"/>
  <c r="Y15" i="3" s="1"/>
  <c r="Y16" i="3" s="1"/>
  <c r="Y17" i="3" s="1"/>
  <c r="Y18" i="3" s="1"/>
  <c r="Y19" i="3" s="1"/>
  <c r="U9" i="3"/>
  <c r="J9" i="3"/>
  <c r="J10" i="3" s="1"/>
  <c r="J11" i="3" s="1"/>
  <c r="J12" i="3" s="1"/>
  <c r="J13" i="3" s="1"/>
  <c r="J14" i="3" s="1"/>
  <c r="H9" i="3"/>
  <c r="H10" i="3" s="1"/>
  <c r="H11" i="3" s="1"/>
  <c r="H12" i="3" s="1"/>
  <c r="H13" i="3" s="1"/>
  <c r="H14" i="3" s="1"/>
  <c r="F9" i="3"/>
  <c r="F10" i="3" s="1"/>
  <c r="F11" i="3" s="1"/>
  <c r="F12" i="3" s="1"/>
  <c r="F13" i="3" s="1"/>
  <c r="F14" i="3" s="1"/>
  <c r="AL8" i="3"/>
  <c r="AF8" i="3"/>
  <c r="AB8" i="3"/>
  <c r="Z8" i="3"/>
  <c r="X8" i="3"/>
  <c r="X9" i="3" s="1"/>
  <c r="X10" i="3" s="1"/>
  <c r="X11" i="3" s="1"/>
  <c r="X12" i="3" s="1"/>
  <c r="X13" i="3" s="1"/>
  <c r="X14" i="3" s="1"/>
  <c r="W8" i="3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V8" i="3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U8" i="3"/>
  <c r="T8" i="3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S8" i="3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R8" i="3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J8" i="3"/>
  <c r="H8" i="3"/>
  <c r="F8" i="3"/>
  <c r="AI7" i="3"/>
  <c r="AH7" i="3"/>
  <c r="B6" i="3"/>
  <c r="AB33" i="3" l="1"/>
  <c r="AB34" i="3" s="1"/>
  <c r="AB35" i="3" s="1"/>
  <c r="AB36" i="3" s="1"/>
  <c r="AB37" i="3" s="1"/>
  <c r="AB38" i="3" s="1"/>
  <c r="AB39" i="3" s="1"/>
  <c r="AB40" i="3" s="1"/>
  <c r="AC28" i="3" s="1"/>
  <c r="AC29" i="3" s="1"/>
  <c r="AC30" i="3" s="1"/>
  <c r="AC31" i="3" s="1"/>
  <c r="AC32" i="3" s="1"/>
  <c r="AC33" i="3" s="1"/>
  <c r="AA39" i="3"/>
  <c r="AA40" i="3" s="1"/>
  <c r="AI33" i="3"/>
  <c r="AI34" i="3" s="1"/>
  <c r="AI35" i="3" s="1"/>
  <c r="AI36" i="3" s="1"/>
  <c r="AI37" i="3" s="1"/>
  <c r="AI38" i="3" s="1"/>
  <c r="AI39" i="3" s="1"/>
  <c r="AI40" i="3" s="1"/>
  <c r="AH28" i="3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I32" i="3"/>
  <c r="I33" i="3" s="1"/>
  <c r="H33" i="3"/>
  <c r="H34" i="3" s="1"/>
  <c r="H35" i="3" s="1"/>
  <c r="H36" i="3" s="1"/>
  <c r="H37" i="3" s="1"/>
  <c r="H38" i="3" s="1"/>
  <c r="H39" i="3" s="1"/>
  <c r="H40" i="3" s="1"/>
</calcChain>
</file>

<file path=xl/sharedStrings.xml><?xml version="1.0" encoding="utf-8"?>
<sst xmlns="http://schemas.openxmlformats.org/spreadsheetml/2006/main" count="2425" uniqueCount="576">
  <si>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</si>
  <si>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</si>
  <si>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</si>
  <si>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</si>
  <si>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</si>
  <si>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</si>
  <si>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</si>
  <si>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</si>
  <si>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</si>
  <si>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</si>
  <si>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</si>
  <si>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</si>
  <si>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</si>
  <si>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</si>
  <si>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</si>
  <si>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</si>
  <si>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</si>
  <si>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</si>
  <si>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</si>
  <si>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</si>
  <si>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</si>
  <si>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</si>
  <si>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</si>
  <si>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</si>
  <si>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</si>
  <si>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</si>
  <si>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</si>
  <si>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</si>
  <si>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</si>
  <si>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</si>
  <si>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</si>
  <si>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</si>
  <si>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</si>
  <si>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</si>
  <si>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</si>
  <si>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</si>
  <si>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</si>
  <si>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</si>
  <si>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</si>
  <si>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</si>
  <si>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</si>
  <si>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</si>
  <si>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</si>
  <si>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</si>
  <si>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</si>
  <si>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</si>
  <si>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</si>
  <si>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</si>
  <si>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</si>
  <si>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</si>
  <si>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</si>
  <si>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</si>
  <si>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</si>
  <si>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</si>
  <si>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</si>
  <si>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</si>
  <si>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</si>
  <si>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</si>
  <si>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</si>
  <si>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</si>
  <si>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</si>
  <si>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</si>
  <si>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</si>
  <si>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</si>
  <si>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</si>
  <si>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</si>
  <si>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</si>
  <si>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</si>
  <si>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</si>
  <si>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</si>
  <si>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</si>
  <si>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</si>
  <si>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</si>
  <si>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</si>
  <si>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</si>
  <si>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</si>
  <si>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</si>
  <si>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</si>
  <si>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</si>
  <si>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</si>
  <si>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</si>
  <si>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</si>
  <si>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</si>
  <si>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</si>
  <si>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</si>
  <si>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</si>
  <si>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</si>
  <si>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</si>
  <si>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</si>
  <si>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</si>
  <si>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</si>
  <si>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</si>
  <si>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</si>
  <si>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</si>
  <si>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</si>
  <si>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</si>
  <si>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</si>
  <si>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</si>
  <si>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</si>
  <si>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</si>
  <si>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</si>
  <si>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</si>
  <si>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</si>
  <si>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</si>
  <si>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</si>
  <si>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</si>
  <si>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</si>
  <si>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</si>
  <si>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</si>
  <si>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</si>
  <si>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</si>
  <si>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</si>
  <si>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</si>
  <si>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</si>
  <si>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</si>
  <si>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</si>
  <si>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</si>
  <si>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</si>
  <si>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</si>
  <si>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</si>
  <si>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</si>
  <si>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</si>
  <si>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</si>
  <si>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</si>
  <si>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</si>
  <si>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Z2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</si>
  <si>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</si>
  <si>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</si>
  <si>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</si>
  <si>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</si>
  <si>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</si>
  <si>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</si>
  <si>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</si>
  <si>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</si>
  <si>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-25.716950166393737, 28.32134413848142</t>
  </si>
  <si>
    <t>Unspecified</t>
  </si>
  <si>
    <t>0501</t>
  </si>
  <si>
    <t>0503</t>
  </si>
  <si>
    <t>0505</t>
  </si>
  <si>
    <t>0509</t>
  </si>
  <si>
    <t>0507</t>
  </si>
  <si>
    <t>0511</t>
  </si>
  <si>
    <t>0515</t>
  </si>
  <si>
    <t>0517</t>
  </si>
  <si>
    <t>0519</t>
  </si>
  <si>
    <t>0521</t>
  </si>
  <si>
    <t>0527</t>
  </si>
  <si>
    <t>0523</t>
  </si>
  <si>
    <t>0529</t>
  </si>
  <si>
    <t>0533</t>
  </si>
  <si>
    <t>0531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</si>
  <si>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</si>
  <si>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</si>
  <si>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</si>
  <si>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</si>
  <si>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</si>
  <si>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</si>
  <si>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</si>
  <si>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-26.10627314041378, 28.22733384351009</t>
  </si>
  <si>
    <t>-26.08799580477522, 28.221739995632177</t>
  </si>
  <si>
    <t>-26.066977064619714, 28.234569695631336</t>
  </si>
  <si>
    <t>-26.03555593578171, 28.25416120912308</t>
  </si>
  <si>
    <t>-26.009687133196852, 28.231477162611803</t>
  </si>
  <si>
    <t>-26.011188907434516, 28.214689000778122</t>
  </si>
  <si>
    <t>-26.02917658612082, 28.196411826993103</t>
  </si>
  <si>
    <t>0502</t>
  </si>
  <si>
    <t>0506</t>
  </si>
  <si>
    <t>0504</t>
  </si>
  <si>
    <t>0508</t>
  </si>
  <si>
    <t>0512</t>
  </si>
  <si>
    <t>0510</t>
  </si>
  <si>
    <t>0514</t>
  </si>
  <si>
    <t>0518</t>
  </si>
  <si>
    <t>0520</t>
  </si>
  <si>
    <t>0522</t>
  </si>
  <si>
    <t>0524</t>
  </si>
  <si>
    <t>0530</t>
  </si>
  <si>
    <t>0528</t>
  </si>
  <si>
    <t>0532</t>
  </si>
  <si>
    <t>0536</t>
  </si>
  <si>
    <t>0534</t>
  </si>
  <si>
    <t>LYNROSS</t>
  </si>
  <si>
    <t>-25.634315463162178, 28.08215105744163</t>
  </si>
  <si>
    <t>MEDUNSA</t>
  </si>
  <si>
    <t>-25.621899788193396, 28.018859666777605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</si>
  <si>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</si>
  <si>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</si>
  <si>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</si>
  <si>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</si>
  <si>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</si>
  <si>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</si>
  <si>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</si>
  <si>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</si>
  <si>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</si>
  <si>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</si>
  <si>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</si>
  <si>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</si>
  <si>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</si>
  <si>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</si>
  <si>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</si>
  <si>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</si>
  <si>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</si>
  <si>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</si>
  <si>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</si>
  <si>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</si>
  <si>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</si>
  <si>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</si>
  <si>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</si>
  <si>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</si>
  <si>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</si>
  <si>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</si>
  <si>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</si>
  <si>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</si>
  <si>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</si>
  <si>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</si>
  <si>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</si>
  <si>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</si>
  <si>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</si>
  <si>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</si>
  <si>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</si>
  <si>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</si>
  <si>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</si>
  <si>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</si>
  <si>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</si>
  <si>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</si>
  <si>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</si>
  <si>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</si>
  <si>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</si>
  <si>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</si>
  <si>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</si>
  <si>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</si>
  <si>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</si>
  <si>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</si>
  <si>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</si>
  <si>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</si>
  <si>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</si>
  <si>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</si>
  <si>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</si>
  <si>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</si>
  <si>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</si>
  <si>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</si>
  <si>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</si>
  <si>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</si>
  <si>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</si>
  <si>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</si>
  <si>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</si>
  <si>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</si>
  <si>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</si>
  <si>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</si>
  <si>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</si>
  <si>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</si>
  <si>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</si>
  <si>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</si>
  <si>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</si>
  <si>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</si>
  <si>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</si>
  <si>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</si>
  <si>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</si>
  <si>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</si>
  <si>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</si>
  <si>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</si>
  <si>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</si>
  <si>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</si>
  <si>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</si>
  <si>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</si>
  <si>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</si>
  <si>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</si>
  <si>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</si>
  <si>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</si>
  <si>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</si>
  <si>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</si>
  <si>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</si>
  <si>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</si>
  <si>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</si>
  <si>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</si>
  <si>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</si>
  <si>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</si>
  <si>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</si>
  <si>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</si>
  <si>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</si>
  <si>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</si>
  <si>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</si>
  <si>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</si>
  <si>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</si>
  <si>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</si>
  <si>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</si>
  <si>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</si>
  <si>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</si>
  <si>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</si>
  <si>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</si>
  <si>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</si>
  <si>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</si>
  <si>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</si>
  <si>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</si>
  <si>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</si>
  <si>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</si>
  <si>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</si>
  <si>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</si>
  <si>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</si>
  <si>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</si>
  <si>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REBECCA</t>
  </si>
  <si>
    <t>-25.758140068440945, 28.153531689466263</t>
  </si>
  <si>
    <t>ELECTRO</t>
  </si>
  <si>
    <t>-25.761019788942832, 28.14543245780906</t>
  </si>
  <si>
    <t>COR DELFOS</t>
  </si>
  <si>
    <t>-25.766926398225326, 28.132950724454595</t>
  </si>
  <si>
    <t>KALAFONG</t>
  </si>
  <si>
    <t>-25.760158250653994, 28.088193742988445</t>
  </si>
  <si>
    <t>ATTERIDGEVILLE</t>
  </si>
  <si>
    <t>-25.76284784698717, 28.07501926678321</t>
  </si>
  <si>
    <t>SAULSVILLE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</si>
  <si>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</si>
  <si>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</si>
  <si>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</si>
  <si>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</si>
  <si>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</si>
  <si>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</si>
  <si>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</si>
  <si>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</si>
  <si>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</si>
  <si>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</si>
  <si>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</si>
  <si>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</si>
  <si>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</si>
  <si>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</si>
  <si>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</si>
  <si>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</si>
  <si>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</si>
  <si>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</si>
  <si>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</si>
  <si>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</si>
  <si>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</si>
  <si>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</si>
  <si>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</si>
  <si>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</si>
  <si>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</si>
  <si>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</si>
  <si>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</si>
  <si>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</si>
  <si>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</si>
  <si>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</si>
  <si>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</si>
  <si>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</si>
  <si>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</si>
  <si>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</si>
  <si>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</si>
  <si>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</si>
  <si>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</si>
  <si>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</si>
  <si>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</si>
  <si>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</si>
  <si>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</si>
  <si>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</si>
  <si>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</si>
  <si>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</si>
  <si>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</si>
  <si>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</si>
  <si>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</si>
  <si>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</si>
  <si>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</si>
  <si>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</si>
  <si>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</si>
  <si>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</si>
  <si>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</si>
  <si>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</si>
  <si>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</si>
  <si>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</si>
  <si>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</si>
  <si>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</si>
  <si>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</si>
  <si>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</si>
  <si>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</si>
  <si>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</si>
  <si>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</si>
  <si>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</si>
  <si>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</si>
  <si>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</si>
  <si>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</si>
  <si>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</si>
  <si>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</si>
  <si>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</si>
  <si>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</si>
  <si>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ELSBURG</t>
  </si>
  <si>
    <t>-26.242074536681013, 28.193485066234086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</si>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</sst>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h&quot;:&quot;mm&quot;:&quot;ss&quot; &quot;"/>
  </numFmts>
  <fonts count="2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u/>
      <sz val="10"/>
      <color rgb="FF1F1F1F"/>
      <name val="&quot;Google Sans Text&quot;"/>
    </font>
    <font>
      <b/>
      <u/>
      <sz val="10"/>
      <color rgb="FF1F1F1F"/>
      <name val="&quot;Google Sans Text&quot;"/>
    </font>
    <font>
      <u/>
      <sz val="10"/>
      <color rgb="FF1F1F1F"/>
      <name val="&quot;Google Sans Text&quot;"/>
    </font>
    <font>
      <sz val="10"/>
      <color theme="1"/>
      <name val="Arial"/>
    </font>
    <font>
      <sz val="10"/>
      <color rgb="FF1F1F1F"/>
      <name val="Google Sans Text"/>
    </font>
    <font>
      <b/>
      <sz val="10"/>
      <color rgb="FF1F1F1F"/>
      <name val="Google Sans Text"/>
    </font>
    <font>
      <b/>
      <u/>
      <sz val="10"/>
      <color rgb="FF1F1F1F"/>
      <name val="Google Sans Text"/>
    </font>
    <font>
      <b/>
      <sz val="10"/>
      <color theme="1"/>
      <name val="Arial"/>
    </font>
    <font>
      <u/>
      <sz val="10"/>
      <color rgb="FF1F1F1F"/>
      <name val="Google Sans Text"/>
    </font>
    <font>
      <sz val="10"/>
      <color rgb="FF1F1F1F"/>
      <name val="Google Sans Text"/>
    </font>
    <font>
      <sz val="10"/>
      <color theme="1"/>
      <name val="Google Sans Text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1F1F1F"/>
      <name val="&quot;Google Sans Text&quot;"/>
    </font>
    <font>
      <b/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21" fontId="2" fillId="2" borderId="0" xfId="0" applyNumberFormat="1" applyFont="1" applyFill="1"/>
    <xf numFmtId="0" fontId="2" fillId="0" borderId="0" xfId="0" applyFont="1"/>
    <xf numFmtId="21" fontId="2" fillId="0" borderId="0" xfId="0" applyNumberFormat="1" applyFont="1"/>
    <xf numFmtId="0" fontId="3" fillId="0" borderId="0" xfId="0" applyFont="1"/>
    <xf numFmtId="21" fontId="3" fillId="0" borderId="0" xfId="0" applyNumberFormat="1" applyFont="1"/>
    <xf numFmtId="0" fontId="4" fillId="0" borderId="0" xfId="0" applyFont="1"/>
    <xf numFmtId="20" fontId="3" fillId="0" borderId="0" xfId="0" applyNumberFormat="1" applyFont="1"/>
    <xf numFmtId="0" fontId="2" fillId="2" borderId="0" xfId="0" quotePrefix="1" applyFont="1" applyFill="1"/>
    <xf numFmtId="0" fontId="3" fillId="0" borderId="0" xfId="0" quotePrefix="1" applyFont="1"/>
    <xf numFmtId="20" fontId="4" fillId="0" borderId="0" xfId="0" applyNumberFormat="1" applyFont="1"/>
    <xf numFmtId="20" fontId="5" fillId="0" borderId="0" xfId="0" applyNumberFormat="1" applyFont="1"/>
    <xf numFmtId="0" fontId="1" fillId="0" borderId="1" xfId="0" applyFont="1" applyBorder="1"/>
    <xf numFmtId="0" fontId="4" fillId="0" borderId="2" xfId="0" applyFont="1" applyBorder="1"/>
    <xf numFmtId="20" fontId="4" fillId="0" borderId="2" xfId="0" applyNumberFormat="1" applyFont="1" applyBorder="1"/>
    <xf numFmtId="20" fontId="4" fillId="0" borderId="3" xfId="0" applyNumberFormat="1" applyFont="1" applyBorder="1"/>
    <xf numFmtId="0" fontId="1" fillId="0" borderId="4" xfId="0" applyFont="1" applyBorder="1"/>
    <xf numFmtId="20" fontId="4" fillId="0" borderId="5" xfId="0" applyNumberFormat="1" applyFont="1" applyBorder="1"/>
    <xf numFmtId="0" fontId="1" fillId="0" borderId="6" xfId="0" applyFont="1" applyBorder="1"/>
    <xf numFmtId="0" fontId="4" fillId="0" borderId="7" xfId="0" applyFont="1" applyBorder="1"/>
    <xf numFmtId="20" fontId="4" fillId="0" borderId="7" xfId="0" applyNumberFormat="1" applyFont="1" applyBorder="1"/>
    <xf numFmtId="20" fontId="4" fillId="0" borderId="8" xfId="0" applyNumberFormat="1" applyFont="1" applyBorder="1"/>
    <xf numFmtId="20" fontId="6" fillId="0" borderId="0" xfId="0" applyNumberFormat="1" applyFont="1"/>
    <xf numFmtId="0" fontId="7" fillId="0" borderId="0" xfId="0" applyFont="1"/>
    <xf numFmtId="0" fontId="2" fillId="0" borderId="1" xfId="0" applyFont="1" applyBorder="1"/>
    <xf numFmtId="0" fontId="3" fillId="0" borderId="2" xfId="0" applyFont="1" applyBorder="1"/>
    <xf numFmtId="20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20" fontId="3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20" fontId="11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right"/>
    </xf>
    <xf numFmtId="0" fontId="12" fillId="0" borderId="0" xfId="0" applyFont="1"/>
    <xf numFmtId="20" fontId="10" fillId="0" borderId="0" xfId="0" applyNumberFormat="1" applyFont="1" applyAlignment="1">
      <alignment horizontal="right"/>
    </xf>
    <xf numFmtId="20" fontId="13" fillId="0" borderId="0" xfId="0" applyNumberFormat="1" applyFont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21" fontId="2" fillId="5" borderId="0" xfId="0" applyNumberFormat="1" applyFont="1" applyFill="1"/>
    <xf numFmtId="0" fontId="2" fillId="6" borderId="0" xfId="0" applyFont="1" applyFill="1"/>
    <xf numFmtId="0" fontId="2" fillId="4" borderId="0" xfId="0" applyFont="1" applyFill="1"/>
    <xf numFmtId="21" fontId="2" fillId="3" borderId="0" xfId="0" applyNumberFormat="1" applyFont="1" applyFill="1"/>
    <xf numFmtId="0" fontId="2" fillId="4" borderId="9" xfId="0" applyFont="1" applyFill="1" applyBorder="1"/>
    <xf numFmtId="21" fontId="2" fillId="4" borderId="9" xfId="0" applyNumberFormat="1" applyFont="1" applyFill="1" applyBorder="1"/>
    <xf numFmtId="0" fontId="2" fillId="0" borderId="10" xfId="0" applyFont="1" applyBorder="1"/>
    <xf numFmtId="0" fontId="2" fillId="0" borderId="11" xfId="0" applyFont="1" applyBorder="1"/>
    <xf numFmtId="21" fontId="2" fillId="0" borderId="11" xfId="0" applyNumberFormat="1" applyFont="1" applyBorder="1"/>
    <xf numFmtId="21" fontId="2" fillId="3" borderId="11" xfId="0" applyNumberFormat="1" applyFont="1" applyFill="1" applyBorder="1"/>
    <xf numFmtId="0" fontId="1" fillId="0" borderId="9" xfId="0" applyFont="1" applyBorder="1"/>
    <xf numFmtId="0" fontId="1" fillId="0" borderId="9" xfId="0" quotePrefix="1" applyFont="1" applyBorder="1" applyAlignment="1">
      <alignment horizontal="right"/>
    </xf>
    <xf numFmtId="0" fontId="1" fillId="7" borderId="0" xfId="0" applyFont="1" applyFill="1"/>
    <xf numFmtId="0" fontId="1" fillId="6" borderId="0" xfId="0" applyFont="1" applyFill="1"/>
    <xf numFmtId="21" fontId="2" fillId="8" borderId="0" xfId="0" applyNumberFormat="1" applyFont="1" applyFill="1"/>
    <xf numFmtId="21" fontId="2" fillId="8" borderId="11" xfId="0" applyNumberFormat="1" applyFont="1" applyFill="1" applyBorder="1"/>
    <xf numFmtId="21" fontId="2" fillId="0" borderId="12" xfId="0" applyNumberFormat="1" applyFont="1" applyBorder="1"/>
    <xf numFmtId="0" fontId="2" fillId="8" borderId="0" xfId="0" applyFont="1" applyFill="1"/>
    <xf numFmtId="20" fontId="2" fillId="2" borderId="0" xfId="0" applyNumberFormat="1" applyFont="1" applyFill="1"/>
    <xf numFmtId="0" fontId="2" fillId="3" borderId="0" xfId="0" applyFont="1" applyFill="1"/>
    <xf numFmtId="20" fontId="2" fillId="0" borderId="0" xfId="0" applyNumberFormat="1" applyFont="1"/>
    <xf numFmtId="20" fontId="2" fillId="0" borderId="1" xfId="0" applyNumberFormat="1" applyFont="1" applyBorder="1"/>
    <xf numFmtId="20" fontId="2" fillId="0" borderId="2" xfId="0" applyNumberFormat="1" applyFont="1" applyBorder="1"/>
    <xf numFmtId="20" fontId="2" fillId="0" borderId="3" xfId="0" applyNumberFormat="1" applyFont="1" applyBorder="1"/>
    <xf numFmtId="20" fontId="2" fillId="0" borderId="4" xfId="0" applyNumberFormat="1" applyFont="1" applyBorder="1"/>
    <xf numFmtId="20" fontId="2" fillId="0" borderId="5" xfId="0" applyNumberFormat="1" applyFont="1" applyBorder="1"/>
    <xf numFmtId="20" fontId="2" fillId="0" borderId="6" xfId="0" applyNumberFormat="1" applyFont="1" applyBorder="1"/>
    <xf numFmtId="20" fontId="2" fillId="0" borderId="7" xfId="0" applyNumberFormat="1" applyFont="1" applyBorder="1"/>
    <xf numFmtId="20" fontId="2" fillId="0" borderId="8" xfId="0" applyNumberFormat="1" applyFont="1" applyBorder="1"/>
    <xf numFmtId="21" fontId="8" fillId="2" borderId="0" xfId="0" applyNumberFormat="1" applyFont="1" applyFill="1" applyAlignment="1">
      <alignment horizontal="right"/>
    </xf>
    <xf numFmtId="21" fontId="8" fillId="0" borderId="0" xfId="0" applyNumberFormat="1" applyFont="1"/>
    <xf numFmtId="21" fontId="8" fillId="0" borderId="0" xfId="0" applyNumberFormat="1" applyFont="1" applyAlignment="1">
      <alignment horizontal="right"/>
    </xf>
    <xf numFmtId="0" fontId="1" fillId="9" borderId="0" xfId="0" applyFont="1" applyFill="1"/>
    <xf numFmtId="0" fontId="3" fillId="10" borderId="0" xfId="0" applyFont="1" applyFill="1"/>
    <xf numFmtId="165" fontId="14" fillId="0" borderId="0" xfId="0" applyNumberFormat="1" applyFont="1"/>
    <xf numFmtId="21" fontId="15" fillId="6" borderId="0" xfId="0" applyNumberFormat="1" applyFont="1" applyFill="1"/>
    <xf numFmtId="21" fontId="15" fillId="0" borderId="0" xfId="0" applyNumberFormat="1" applyFont="1"/>
    <xf numFmtId="165" fontId="14" fillId="10" borderId="0" xfId="0" applyNumberFormat="1" applyFont="1" applyFill="1"/>
    <xf numFmtId="0" fontId="14" fillId="11" borderId="0" xfId="0" applyFont="1" applyFill="1"/>
    <xf numFmtId="20" fontId="14" fillId="11" borderId="0" xfId="0" applyNumberFormat="1" applyFont="1" applyFill="1"/>
    <xf numFmtId="20" fontId="14" fillId="0" borderId="0" xfId="0" applyNumberFormat="1" applyFont="1"/>
    <xf numFmtId="0" fontId="15" fillId="11" borderId="0" xfId="0" applyFont="1" applyFill="1"/>
    <xf numFmtId="0" fontId="15" fillId="0" borderId="0" xfId="0" applyFont="1"/>
    <xf numFmtId="165" fontId="15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21" fontId="18" fillId="0" borderId="0" xfId="0" applyNumberFormat="1" applyFont="1"/>
    <xf numFmtId="0" fontId="19" fillId="0" borderId="0" xfId="0" applyFont="1"/>
    <xf numFmtId="165" fontId="16" fillId="0" borderId="0" xfId="0" applyNumberFormat="1" applyFont="1"/>
    <xf numFmtId="20" fontId="16" fillId="0" borderId="0" xfId="0" applyNumberFormat="1" applyFont="1"/>
    <xf numFmtId="0" fontId="1" fillId="0" borderId="0" xfId="0" applyFont="1" applyAlignment="1">
      <alignment horizontal="right"/>
    </xf>
    <xf numFmtId="0" fontId="12" fillId="0" borderId="9" xfId="0" applyFont="1" applyBorder="1" applyAlignment="1">
      <alignment horizontal="right"/>
    </xf>
    <xf numFmtId="0" fontId="12" fillId="7" borderId="0" xfId="0" applyFont="1" applyFill="1" applyAlignment="1">
      <alignment horizontal="right"/>
    </xf>
    <xf numFmtId="0" fontId="8" fillId="6" borderId="0" xfId="0" applyFont="1" applyFill="1"/>
    <xf numFmtId="165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/>
    <xf numFmtId="21" fontId="8" fillId="6" borderId="0" xfId="0" applyNumberFormat="1" applyFont="1" applyFill="1"/>
    <xf numFmtId="165" fontId="8" fillId="0" borderId="0" xfId="0" applyNumberFormat="1" applyFont="1"/>
    <xf numFmtId="165" fontId="8" fillId="8" borderId="0" xfId="0" applyNumberFormat="1" applyFont="1" applyFill="1"/>
    <xf numFmtId="165" fontId="8" fillId="0" borderId="0" xfId="0" applyNumberFormat="1" applyFont="1" applyAlignment="1">
      <alignment horizontal="right"/>
    </xf>
    <xf numFmtId="165" fontId="8" fillId="8" borderId="0" xfId="0" applyNumberFormat="1" applyFont="1" applyFill="1" applyAlignment="1">
      <alignment horizontal="right"/>
    </xf>
    <xf numFmtId="165" fontId="8" fillId="0" borderId="11" xfId="0" applyNumberFormat="1" applyFont="1" applyBorder="1" applyAlignment="1">
      <alignment horizontal="right"/>
    </xf>
    <xf numFmtId="165" fontId="8" fillId="8" borderId="11" xfId="0" applyNumberFormat="1" applyFont="1" applyFill="1" applyBorder="1" applyAlignment="1">
      <alignment horizontal="right"/>
    </xf>
    <xf numFmtId="0" fontId="2" fillId="10" borderId="0" xfId="0" applyFont="1" applyFill="1"/>
    <xf numFmtId="0" fontId="8" fillId="10" borderId="0" xfId="0" applyFont="1" applyFill="1"/>
    <xf numFmtId="21" fontId="8" fillId="10" borderId="0" xfId="0" applyNumberFormat="1" applyFont="1" applyFill="1"/>
    <xf numFmtId="0" fontId="4" fillId="10" borderId="0" xfId="0" applyFont="1" applyFill="1"/>
    <xf numFmtId="20" fontId="3" fillId="10" borderId="0" xfId="0" applyNumberFormat="1" applyFont="1" applyFill="1"/>
    <xf numFmtId="0" fontId="8" fillId="4" borderId="0" xfId="0" applyFont="1" applyFill="1"/>
    <xf numFmtId="0" fontId="12" fillId="4" borderId="0" xfId="0" applyFont="1" applyFill="1"/>
    <xf numFmtId="0" fontId="8" fillId="4" borderId="9" xfId="0" applyFont="1" applyFill="1" applyBorder="1"/>
    <xf numFmtId="21" fontId="8" fillId="4" borderId="9" xfId="0" applyNumberFormat="1" applyFont="1" applyFill="1" applyBorder="1" applyAlignment="1">
      <alignment horizontal="right"/>
    </xf>
    <xf numFmtId="21" fontId="8" fillId="4" borderId="0" xfId="0" applyNumberFormat="1" applyFont="1" applyFill="1" applyAlignment="1">
      <alignment horizontal="right"/>
    </xf>
    <xf numFmtId="0" fontId="8" fillId="0" borderId="0" xfId="0" applyFont="1" applyAlignment="1">
      <alignment horizontal="right"/>
    </xf>
    <xf numFmtId="164" fontId="20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21" fontId="8" fillId="10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  <xf numFmtId="21" fontId="1" fillId="0" borderId="0" xfId="0" applyNumberFormat="1" applyFont="1"/>
    <xf numFmtId="21" fontId="2" fillId="12" borderId="0" xfId="0" applyNumberFormat="1" applyFont="1" applyFill="1"/>
    <xf numFmtId="21" fontId="4" fillId="0" borderId="0" xfId="0" applyNumberFormat="1" applyFont="1"/>
    <xf numFmtId="21" fontId="2" fillId="13" borderId="0" xfId="0" applyNumberFormat="1" applyFont="1" applyFill="1"/>
    <xf numFmtId="21" fontId="1" fillId="2" borderId="0" xfId="0" applyNumberFormat="1" applyFont="1" applyFill="1"/>
    <xf numFmtId="20" fontId="1" fillId="0" borderId="0" xfId="0" applyNumberFormat="1" applyFont="1"/>
    <xf numFmtId="0" fontId="1" fillId="0" borderId="0" xfId="0" quotePrefix="1" applyFont="1"/>
    <xf numFmtId="21" fontId="2" fillId="7" borderId="0" xfId="0" applyNumberFormat="1" applyFont="1" applyFill="1"/>
    <xf numFmtId="0" fontId="1" fillId="10" borderId="0" xfId="0" applyFont="1" applyFill="1"/>
    <xf numFmtId="21" fontId="2" fillId="10" borderId="0" xfId="0" applyNumberFormat="1" applyFont="1" applyFill="1"/>
    <xf numFmtId="2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left"/>
    </xf>
    <xf numFmtId="21" fontId="1" fillId="0" borderId="0" xfId="0" quotePrefix="1" applyNumberFormat="1" applyFont="1"/>
    <xf numFmtId="0" fontId="12" fillId="0" borderId="0" xfId="0" quotePrefix="1" applyFont="1"/>
    <xf numFmtId="21" fontId="2" fillId="14" borderId="0" xfId="0" applyNumberFormat="1" applyFont="1" applyFill="1"/>
    <xf numFmtId="0" fontId="2" fillId="11" borderId="0" xfId="0" applyFont="1" applyFill="1"/>
    <xf numFmtId="21" fontId="2" fillId="11" borderId="0" xfId="0" applyNumberFormat="1" applyFont="1" applyFill="1"/>
    <xf numFmtId="0" fontId="4" fillId="15" borderId="0" xfId="0" applyFont="1" applyFill="1"/>
    <xf numFmtId="20" fontId="3" fillId="15" borderId="0" xfId="0" applyNumberFormat="1" applyFont="1" applyFill="1"/>
    <xf numFmtId="21" fontId="3" fillId="15" borderId="0" xfId="0" applyNumberFormat="1" applyFont="1" applyFill="1"/>
    <xf numFmtId="0" fontId="2" fillId="15" borderId="0" xfId="0" applyFont="1" applyFill="1"/>
    <xf numFmtId="21" fontId="2" fillId="1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00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45345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4400</v>
      </c>
      <c r="D2" s="1">
        <v>4402</v>
      </c>
      <c r="E2" s="1">
        <v>4420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</v>
      </c>
      <c r="B3" s="4" t="s">
        <v>5</v>
      </c>
      <c r="C3" s="5">
        <v>0.19444444444444445</v>
      </c>
      <c r="D3" s="5">
        <v>0.3125</v>
      </c>
      <c r="E3" s="5">
        <v>0.68402777777777779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6</v>
      </c>
      <c r="B4" s="6" t="s">
        <v>7</v>
      </c>
      <c r="C4" s="7">
        <v>0.19791666666666666</v>
      </c>
      <c r="D4" s="7">
        <v>0.31597222222222221</v>
      </c>
      <c r="E4" s="7">
        <v>0.6875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8</v>
      </c>
      <c r="B5" s="6" t="s">
        <v>9</v>
      </c>
      <c r="C5" s="7">
        <v>0.2</v>
      </c>
      <c r="D5" s="7">
        <v>0.31805555555555554</v>
      </c>
      <c r="E5" s="7">
        <v>0.68958333333333333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10</v>
      </c>
      <c r="B6" s="6" t="s">
        <v>11</v>
      </c>
      <c r="C6" s="7">
        <v>0.20833333333333334</v>
      </c>
      <c r="D6" s="7">
        <v>0.3263888888888889</v>
      </c>
      <c r="E6" s="7">
        <v>0.69791666666666663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12</v>
      </c>
      <c r="B7" s="6" t="s">
        <v>13</v>
      </c>
      <c r="C7" s="7">
        <v>0.21180555555555555</v>
      </c>
      <c r="D7" s="7">
        <v>0.3298611111111111</v>
      </c>
      <c r="E7" s="7">
        <v>0.70138888888888884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14</v>
      </c>
      <c r="B8" s="6" t="s">
        <v>15</v>
      </c>
      <c r="C8" s="7">
        <v>0.21597222222222223</v>
      </c>
      <c r="D8" s="7">
        <v>0.33402777777777776</v>
      </c>
      <c r="E8" s="7">
        <v>0.7055555555555556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16</v>
      </c>
      <c r="B9" s="6" t="s">
        <v>17</v>
      </c>
      <c r="C9" s="7">
        <v>0.21875</v>
      </c>
      <c r="D9" s="7">
        <v>0.33680555555555558</v>
      </c>
      <c r="E9" s="7">
        <v>0.70833333333333337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18</v>
      </c>
      <c r="B10" s="6" t="s">
        <v>19</v>
      </c>
      <c r="C10" s="7">
        <v>0.22361111111111112</v>
      </c>
      <c r="D10" s="7">
        <v>0.34166666666666667</v>
      </c>
      <c r="E10" s="7">
        <v>0.71319444444444446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20</v>
      </c>
      <c r="B11" s="6" t="s">
        <v>21</v>
      </c>
      <c r="C11" s="7">
        <v>0.22708333333333333</v>
      </c>
      <c r="D11" s="7">
        <v>0.34513888888888888</v>
      </c>
      <c r="E11" s="7">
        <v>0.71666666666666667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22</v>
      </c>
      <c r="B12" s="6" t="s">
        <v>23</v>
      </c>
      <c r="C12" s="7">
        <v>0.23194444444444445</v>
      </c>
      <c r="D12" s="7">
        <v>0.35</v>
      </c>
      <c r="E12" s="7">
        <v>0.72152777777777777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24</v>
      </c>
      <c r="B13" s="7" t="s">
        <v>25</v>
      </c>
      <c r="C13" s="7">
        <v>0.2361111111111111</v>
      </c>
      <c r="D13" s="7">
        <v>0.35416666666666669</v>
      </c>
      <c r="E13" s="7">
        <v>0.72569444444444442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2" t="s">
        <v>26</v>
      </c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9:AK143"/>
  <sheetViews>
    <sheetView workbookViewId="0"/>
  </sheetViews>
  <sheetFormatPr defaultColWidth="12.5703125" defaultRowHeight="15.75" customHeight="1"/>
  <cols>
    <col min="2" max="2" width="21" customWidth="1"/>
  </cols>
  <sheetData>
    <row r="9" spans="2:37">
      <c r="B9" s="8" t="s">
        <v>27</v>
      </c>
      <c r="C9" s="13" t="s">
        <v>28</v>
      </c>
      <c r="D9" s="8">
        <v>502</v>
      </c>
      <c r="E9" s="8">
        <v>624</v>
      </c>
      <c r="F9" s="8">
        <v>604</v>
      </c>
      <c r="G9" s="8">
        <v>506</v>
      </c>
      <c r="H9" s="8">
        <v>626</v>
      </c>
      <c r="I9" s="8">
        <v>628</v>
      </c>
      <c r="J9" s="8">
        <v>512</v>
      </c>
      <c r="K9" s="8">
        <v>616</v>
      </c>
      <c r="L9" s="8">
        <v>630</v>
      </c>
      <c r="M9" s="8">
        <v>514</v>
      </c>
      <c r="N9" s="8">
        <v>632</v>
      </c>
      <c r="O9" s="8">
        <v>618</v>
      </c>
      <c r="P9" s="8">
        <v>516</v>
      </c>
      <c r="Q9" s="8">
        <v>634</v>
      </c>
      <c r="R9" s="8">
        <v>518</v>
      </c>
      <c r="S9" s="8">
        <v>636</v>
      </c>
      <c r="T9" s="8">
        <v>520</v>
      </c>
      <c r="U9" s="8">
        <v>638</v>
      </c>
      <c r="V9" s="8">
        <v>522</v>
      </c>
      <c r="W9" s="8">
        <v>620</v>
      </c>
      <c r="X9" s="8">
        <v>640</v>
      </c>
      <c r="Y9" s="8">
        <v>524</v>
      </c>
      <c r="Z9" s="8">
        <v>642</v>
      </c>
      <c r="AA9" s="8">
        <v>526</v>
      </c>
      <c r="AB9" s="8">
        <v>622</v>
      </c>
      <c r="AC9" s="8">
        <v>644</v>
      </c>
      <c r="AD9" s="8">
        <v>528</v>
      </c>
      <c r="AE9" s="8">
        <v>646</v>
      </c>
      <c r="AF9" s="8">
        <v>654</v>
      </c>
      <c r="AG9" s="8">
        <v>530</v>
      </c>
      <c r="AH9" s="8"/>
      <c r="AI9" s="8"/>
      <c r="AJ9" s="8"/>
      <c r="AK9" s="8"/>
    </row>
    <row r="10" spans="2:37">
      <c r="B10" s="10" t="s">
        <v>24</v>
      </c>
      <c r="C10" s="8"/>
      <c r="D10" s="8"/>
      <c r="E10" s="11">
        <v>0.21527777777777779</v>
      </c>
      <c r="F10" s="11">
        <v>0.2361111111111111</v>
      </c>
      <c r="G10" s="8"/>
      <c r="H10" s="11">
        <v>0.2638888888888889</v>
      </c>
      <c r="I10" s="11">
        <v>0.3125</v>
      </c>
      <c r="J10" s="8"/>
      <c r="K10" s="11">
        <v>0.34027777777777779</v>
      </c>
      <c r="L10" s="11">
        <v>0.36458333333333331</v>
      </c>
      <c r="M10" s="8"/>
      <c r="N10" s="11">
        <v>0.41319444444444442</v>
      </c>
      <c r="O10" s="11">
        <v>0.44791666666666669</v>
      </c>
      <c r="P10" s="8"/>
      <c r="Q10" s="11">
        <v>0.46180555555555558</v>
      </c>
      <c r="R10" s="8"/>
      <c r="S10" s="11">
        <v>0.51041666666666663</v>
      </c>
      <c r="T10" s="8"/>
      <c r="U10" s="11">
        <v>0.55902777777777779</v>
      </c>
      <c r="V10" s="8"/>
      <c r="W10" s="11">
        <v>0.60069444444444442</v>
      </c>
      <c r="X10" s="11">
        <v>0.60763888888888884</v>
      </c>
      <c r="Y10" s="8"/>
      <c r="Z10" s="11">
        <v>0.65625</v>
      </c>
      <c r="AA10" s="8"/>
      <c r="AB10" s="11">
        <v>0.70138888888888884</v>
      </c>
      <c r="AC10" s="11">
        <v>0.71180555555555558</v>
      </c>
      <c r="AD10" s="8"/>
      <c r="AE10" s="11">
        <v>0.76041666666666663</v>
      </c>
      <c r="AF10" s="11">
        <v>0.80555555555555558</v>
      </c>
      <c r="AG10" s="8"/>
      <c r="AH10" s="8"/>
      <c r="AI10" s="8"/>
      <c r="AJ10" s="8"/>
      <c r="AK10" s="8"/>
    </row>
    <row r="11" spans="2:37">
      <c r="B11" s="8" t="s">
        <v>29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2:37">
      <c r="B12" s="8" t="s">
        <v>30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2:37">
      <c r="B13" s="8" t="s">
        <v>31</v>
      </c>
      <c r="C13" s="8"/>
      <c r="D13" s="8"/>
      <c r="E13" s="11">
        <v>0.22361111111111112</v>
      </c>
      <c r="F13" s="11">
        <v>0.24374999999999999</v>
      </c>
      <c r="G13" s="8"/>
      <c r="H13" s="11">
        <v>0.2722222222222222</v>
      </c>
      <c r="I13" s="11">
        <v>0.32083333333333336</v>
      </c>
      <c r="J13" s="8"/>
      <c r="K13" s="11">
        <v>0.34791666666666665</v>
      </c>
      <c r="L13" s="11">
        <v>0.37291666666666667</v>
      </c>
      <c r="M13" s="8"/>
      <c r="N13" s="11">
        <v>0.42152777777777778</v>
      </c>
      <c r="O13" s="11">
        <v>0.45555555555555555</v>
      </c>
      <c r="P13" s="8"/>
      <c r="Q13" s="11">
        <v>0.47013888888888888</v>
      </c>
      <c r="R13" s="8"/>
      <c r="S13" s="11">
        <v>0.51875000000000004</v>
      </c>
      <c r="T13" s="8"/>
      <c r="U13" s="11">
        <v>0.56736111111111109</v>
      </c>
      <c r="V13" s="8"/>
      <c r="W13" s="11">
        <v>0.60833333333333328</v>
      </c>
      <c r="X13" s="11">
        <v>0.61597222222222225</v>
      </c>
      <c r="Y13" s="8"/>
      <c r="Z13" s="11">
        <v>0.6645833333333333</v>
      </c>
      <c r="AA13" s="8"/>
      <c r="AB13" s="11">
        <v>0.70902777777777781</v>
      </c>
      <c r="AC13" s="11">
        <v>0.72013888888888888</v>
      </c>
      <c r="AD13" s="8"/>
      <c r="AE13" s="11">
        <v>0.76875000000000004</v>
      </c>
      <c r="AF13" s="11">
        <v>0.81388888888888888</v>
      </c>
      <c r="AG13" s="8"/>
      <c r="AH13" s="8"/>
      <c r="AI13" s="8"/>
      <c r="AJ13" s="8"/>
      <c r="AK13" s="8"/>
    </row>
    <row r="14" spans="2:37">
      <c r="B14" s="8" t="s">
        <v>32</v>
      </c>
      <c r="C14" s="8"/>
      <c r="D14" s="8"/>
      <c r="E14" s="11">
        <v>0.22638888888888889</v>
      </c>
      <c r="F14" s="11">
        <v>0.24652777777777779</v>
      </c>
      <c r="G14" s="8"/>
      <c r="H14" s="11">
        <v>0.27500000000000002</v>
      </c>
      <c r="I14" s="11">
        <v>0.32361111111111113</v>
      </c>
      <c r="J14" s="8"/>
      <c r="K14" s="11">
        <v>0.35069444444444442</v>
      </c>
      <c r="L14" s="11">
        <v>0.37569444444444444</v>
      </c>
      <c r="M14" s="8"/>
      <c r="N14" s="11">
        <v>0.42430555555555555</v>
      </c>
      <c r="O14" s="11">
        <v>0.45833333333333331</v>
      </c>
      <c r="P14" s="8"/>
      <c r="Q14" s="11">
        <v>0.47291666666666665</v>
      </c>
      <c r="R14" s="8"/>
      <c r="S14" s="11">
        <v>0.52152777777777781</v>
      </c>
      <c r="T14" s="8"/>
      <c r="U14" s="11">
        <v>0.57013888888888886</v>
      </c>
      <c r="V14" s="8"/>
      <c r="W14" s="11">
        <v>0.61111111111111116</v>
      </c>
      <c r="X14" s="11">
        <v>0.61875000000000002</v>
      </c>
      <c r="Y14" s="8"/>
      <c r="Z14" s="11">
        <v>0.66736111111111107</v>
      </c>
      <c r="AA14" s="8"/>
      <c r="AB14" s="11">
        <v>0.71180555555555558</v>
      </c>
      <c r="AC14" s="11">
        <v>0.72291666666666665</v>
      </c>
      <c r="AD14" s="8"/>
      <c r="AE14" s="11">
        <v>0.77152777777777781</v>
      </c>
      <c r="AF14" s="11">
        <v>0.81736111111111109</v>
      </c>
      <c r="AG14" s="8"/>
      <c r="AH14" s="8"/>
      <c r="AI14" s="8"/>
      <c r="AJ14" s="8"/>
      <c r="AK14" s="8"/>
    </row>
    <row r="15" spans="2:37">
      <c r="B15" s="8" t="s">
        <v>33</v>
      </c>
      <c r="C15" s="8"/>
      <c r="D15" s="8"/>
      <c r="E15" s="14">
        <v>0.2326388888888889</v>
      </c>
      <c r="F15" s="11">
        <v>0.25208333333333333</v>
      </c>
      <c r="G15" s="8"/>
      <c r="H15" s="14">
        <v>0.28125</v>
      </c>
      <c r="I15" s="14">
        <v>0.3298611111111111</v>
      </c>
      <c r="J15" s="8"/>
      <c r="K15" s="11">
        <v>0.35625000000000001</v>
      </c>
      <c r="L15" s="14">
        <v>0.38194444444444442</v>
      </c>
      <c r="M15" s="8"/>
      <c r="N15" s="11">
        <v>0.43055555555555558</v>
      </c>
      <c r="O15" s="11">
        <v>0.46388888888888891</v>
      </c>
      <c r="P15" s="8"/>
      <c r="Q15" s="15">
        <v>0.47916666666666669</v>
      </c>
      <c r="R15" s="8"/>
      <c r="S15" s="15">
        <v>0.52777777777777779</v>
      </c>
      <c r="T15" s="8"/>
      <c r="U15" s="15">
        <v>0.57638888888888884</v>
      </c>
      <c r="V15" s="8"/>
      <c r="W15" s="11">
        <v>0.6166666666666667</v>
      </c>
      <c r="X15" s="15">
        <v>0.625</v>
      </c>
      <c r="Y15" s="8"/>
      <c r="Z15" s="15">
        <v>0.67361111111111116</v>
      </c>
      <c r="AA15" s="8"/>
      <c r="AB15" s="15">
        <v>0.71736111111111112</v>
      </c>
      <c r="AC15" s="15">
        <v>0.72916666666666663</v>
      </c>
      <c r="AD15" s="8"/>
      <c r="AE15" s="15">
        <v>0.77777777777777779</v>
      </c>
      <c r="AF15" s="11">
        <v>0.82291666666666663</v>
      </c>
      <c r="AG15" s="8"/>
      <c r="AH15" s="8"/>
      <c r="AI15" s="8"/>
      <c r="AJ15" s="8"/>
      <c r="AK15" s="8"/>
    </row>
    <row r="16" spans="2:37">
      <c r="B16" s="8" t="s">
        <v>34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>
      <c r="B17" s="8" t="s">
        <v>35</v>
      </c>
      <c r="C17" s="8"/>
      <c r="D17" s="8"/>
      <c r="E17" s="8"/>
      <c r="F17" s="11">
        <v>0.26111111111111113</v>
      </c>
      <c r="G17" s="8"/>
      <c r="H17" s="8"/>
      <c r="I17" s="8"/>
      <c r="J17" s="8"/>
      <c r="K17" s="11">
        <v>0.36527777777777776</v>
      </c>
      <c r="L17" s="8"/>
      <c r="M17" s="8"/>
      <c r="N17" s="8"/>
      <c r="O17" s="11">
        <v>0.47291666666666665</v>
      </c>
      <c r="P17" s="8"/>
      <c r="Q17" s="8"/>
      <c r="R17" s="8"/>
      <c r="S17" s="8"/>
      <c r="T17" s="8"/>
      <c r="U17" s="8"/>
      <c r="V17" s="8"/>
      <c r="W17" s="11">
        <v>0.62569444444444444</v>
      </c>
      <c r="X17" s="8"/>
      <c r="Y17" s="8"/>
      <c r="Z17" s="8"/>
      <c r="AA17" s="8"/>
      <c r="AB17" s="8"/>
      <c r="AC17" s="8"/>
      <c r="AD17" s="8"/>
      <c r="AE17" s="8"/>
      <c r="AF17" s="11">
        <v>0.83333333333333337</v>
      </c>
      <c r="AG17" s="8"/>
      <c r="AH17" s="8"/>
      <c r="AI17" s="8"/>
      <c r="AJ17" s="8"/>
      <c r="AK17" s="8"/>
    </row>
    <row r="18" spans="1:37">
      <c r="B18" s="8" t="s">
        <v>36</v>
      </c>
      <c r="C18" s="8"/>
      <c r="D18" s="8"/>
      <c r="E18" s="8"/>
      <c r="F18" s="11">
        <v>0.26666666666666666</v>
      </c>
      <c r="G18" s="8"/>
      <c r="H18" s="8"/>
      <c r="I18" s="8"/>
      <c r="J18" s="8"/>
      <c r="K18" s="11">
        <v>0.37083333333333335</v>
      </c>
      <c r="L18" s="8"/>
      <c r="M18" s="8"/>
      <c r="N18" s="8"/>
      <c r="O18" s="11">
        <v>0.47847222222222224</v>
      </c>
      <c r="P18" s="8"/>
      <c r="Q18" s="8"/>
      <c r="R18" s="8"/>
      <c r="S18" s="8"/>
      <c r="T18" s="8"/>
      <c r="U18" s="8"/>
      <c r="V18" s="8"/>
      <c r="W18" s="11">
        <v>0.63124999999999998</v>
      </c>
      <c r="X18" s="8"/>
      <c r="Y18" s="8"/>
      <c r="Z18" s="8"/>
      <c r="AA18" s="8"/>
      <c r="AB18" s="8"/>
      <c r="AC18" s="8"/>
      <c r="AD18" s="8"/>
      <c r="AE18" s="8"/>
      <c r="AF18" s="11">
        <v>0.83888888888888891</v>
      </c>
      <c r="AG18" s="8"/>
      <c r="AH18" s="8"/>
      <c r="AI18" s="8"/>
      <c r="AJ18" s="8"/>
      <c r="AK18" s="8"/>
    </row>
    <row r="19" spans="1:37">
      <c r="A19" s="16"/>
      <c r="B19" s="17" t="s">
        <v>37</v>
      </c>
      <c r="C19" s="18">
        <v>0.15277777777777779</v>
      </c>
      <c r="D19" s="18">
        <v>0.21180555555555555</v>
      </c>
      <c r="E19" s="17"/>
      <c r="F19" s="17"/>
      <c r="G19" s="18">
        <v>0.25694444444444442</v>
      </c>
      <c r="H19" s="17"/>
      <c r="I19" s="17"/>
      <c r="J19" s="18">
        <v>0.32291666666666669</v>
      </c>
      <c r="K19" s="17"/>
      <c r="L19" s="17"/>
      <c r="M19" s="18">
        <v>0.37152777777777779</v>
      </c>
      <c r="N19" s="17"/>
      <c r="O19" s="17"/>
      <c r="P19" s="18">
        <v>0.44791666666666669</v>
      </c>
      <c r="Q19" s="17"/>
      <c r="R19" s="18">
        <v>0.48958333333333331</v>
      </c>
      <c r="S19" s="17"/>
      <c r="T19" s="18">
        <v>0.55208333333333337</v>
      </c>
      <c r="U19" s="17"/>
      <c r="V19" s="18">
        <v>0.59375</v>
      </c>
      <c r="W19" s="17"/>
      <c r="X19" s="17"/>
      <c r="Y19" s="18">
        <v>0.65625</v>
      </c>
      <c r="Z19" s="17"/>
      <c r="AA19" s="18">
        <v>0.69791666666666663</v>
      </c>
      <c r="AB19" s="17"/>
      <c r="AC19" s="17"/>
      <c r="AD19" s="18">
        <v>0.76041666666666663</v>
      </c>
      <c r="AE19" s="17"/>
      <c r="AF19" s="17"/>
      <c r="AG19" s="18">
        <v>0.81597222222222221</v>
      </c>
      <c r="AH19" s="18"/>
      <c r="AI19" s="18"/>
      <c r="AJ19" s="18"/>
      <c r="AK19" s="19"/>
    </row>
    <row r="20" spans="1:37">
      <c r="A20" s="20"/>
      <c r="B20" s="10" t="s">
        <v>38</v>
      </c>
      <c r="C20" s="14">
        <v>0.15694444444444444</v>
      </c>
      <c r="D20" s="14">
        <v>0.21597222222222223</v>
      </c>
      <c r="E20" s="10"/>
      <c r="F20" s="10"/>
      <c r="G20" s="14">
        <v>0.26111111111111113</v>
      </c>
      <c r="H20" s="10"/>
      <c r="I20" s="10"/>
      <c r="J20" s="14">
        <v>0.32708333333333334</v>
      </c>
      <c r="K20" s="10"/>
      <c r="L20" s="10"/>
      <c r="M20" s="14">
        <v>0.37569444444444444</v>
      </c>
      <c r="N20" s="10"/>
      <c r="O20" s="10"/>
      <c r="P20" s="14">
        <v>0.45208333333333334</v>
      </c>
      <c r="Q20" s="10"/>
      <c r="R20" s="14">
        <v>0.49375000000000002</v>
      </c>
      <c r="S20" s="10"/>
      <c r="T20" s="14">
        <v>0.55625000000000002</v>
      </c>
      <c r="U20" s="10"/>
      <c r="V20" s="14">
        <v>0.59791666666666665</v>
      </c>
      <c r="W20" s="10"/>
      <c r="X20" s="10"/>
      <c r="Y20" s="14">
        <v>0.66041666666666665</v>
      </c>
      <c r="Z20" s="10"/>
      <c r="AA20" s="14">
        <v>0.70208333333333328</v>
      </c>
      <c r="AB20" s="10"/>
      <c r="AC20" s="10"/>
      <c r="AD20" s="14">
        <v>0.76458333333333328</v>
      </c>
      <c r="AE20" s="10"/>
      <c r="AF20" s="10"/>
      <c r="AG20" s="14">
        <v>0.82013888888888886</v>
      </c>
      <c r="AH20" s="14"/>
      <c r="AI20" s="14"/>
      <c r="AJ20" s="14"/>
      <c r="AK20" s="21"/>
    </row>
    <row r="21" spans="1:37">
      <c r="A21" s="22"/>
      <c r="B21" s="23" t="s">
        <v>39</v>
      </c>
      <c r="C21" s="24">
        <v>0.16111111111111112</v>
      </c>
      <c r="D21" s="24">
        <v>0.22013888888888888</v>
      </c>
      <c r="E21" s="23"/>
      <c r="F21" s="23"/>
      <c r="G21" s="24">
        <v>0.26527777777777778</v>
      </c>
      <c r="H21" s="23"/>
      <c r="I21" s="23"/>
      <c r="J21" s="24">
        <v>0.33124999999999999</v>
      </c>
      <c r="K21" s="23"/>
      <c r="L21" s="23"/>
      <c r="M21" s="24">
        <v>0.37986111111111109</v>
      </c>
      <c r="N21" s="23"/>
      <c r="O21" s="23"/>
      <c r="P21" s="24">
        <v>0.45624999999999999</v>
      </c>
      <c r="Q21" s="23"/>
      <c r="R21" s="24">
        <v>0.49791666666666667</v>
      </c>
      <c r="S21" s="23"/>
      <c r="T21" s="24">
        <v>0.56041666666666667</v>
      </c>
      <c r="U21" s="23"/>
      <c r="V21" s="24">
        <v>0.6020833333333333</v>
      </c>
      <c r="W21" s="23"/>
      <c r="X21" s="23"/>
      <c r="Y21" s="24">
        <v>0.6645833333333333</v>
      </c>
      <c r="Z21" s="23"/>
      <c r="AA21" s="24">
        <v>0.70625000000000004</v>
      </c>
      <c r="AB21" s="23"/>
      <c r="AC21" s="23"/>
      <c r="AD21" s="24">
        <v>0.76875000000000004</v>
      </c>
      <c r="AE21" s="23"/>
      <c r="AF21" s="23"/>
      <c r="AG21" s="24">
        <v>0.82430555555555551</v>
      </c>
      <c r="AH21" s="24"/>
      <c r="AI21" s="24"/>
      <c r="AJ21" s="24"/>
      <c r="AK21" s="25"/>
    </row>
    <row r="22" spans="1:37">
      <c r="B22" s="8" t="s">
        <v>40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>
      <c r="B23" s="8" t="s">
        <v>41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>
      <c r="B24" s="8" t="s">
        <v>42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>
      <c r="B25" s="8" t="s">
        <v>43</v>
      </c>
      <c r="C25" s="11">
        <v>0.17777777777777778</v>
      </c>
      <c r="D25" s="11">
        <v>0.23680555555555555</v>
      </c>
      <c r="E25" s="8"/>
      <c r="F25" s="26">
        <v>0.27777777777777779</v>
      </c>
      <c r="G25" s="11">
        <v>0.28194444444444444</v>
      </c>
      <c r="H25" s="8"/>
      <c r="I25" s="8"/>
      <c r="J25" s="11">
        <v>0.34791666666666665</v>
      </c>
      <c r="K25" s="26">
        <v>0.38194444444444442</v>
      </c>
      <c r="L25" s="8"/>
      <c r="M25" s="11">
        <v>0.39652777777777776</v>
      </c>
      <c r="N25" s="8"/>
      <c r="O25" s="15">
        <v>0.48958333333333331</v>
      </c>
      <c r="P25" s="11">
        <v>0.47291666666666665</v>
      </c>
      <c r="Q25" s="8"/>
      <c r="R25" s="11">
        <v>0.51458333333333328</v>
      </c>
      <c r="S25" s="8"/>
      <c r="T25" s="11">
        <v>0.57708333333333328</v>
      </c>
      <c r="U25" s="8"/>
      <c r="V25" s="11">
        <v>0.61875000000000002</v>
      </c>
      <c r="W25" s="15">
        <v>0.64236111111111116</v>
      </c>
      <c r="X25" s="8"/>
      <c r="Y25" s="11">
        <v>0.68125000000000002</v>
      </c>
      <c r="Z25" s="8"/>
      <c r="AA25" s="11">
        <v>0.72291666666666665</v>
      </c>
      <c r="AB25" s="15">
        <v>0.74305555555555558</v>
      </c>
      <c r="AC25" s="8"/>
      <c r="AD25" s="11">
        <v>0.78541666666666665</v>
      </c>
      <c r="AE25" s="8"/>
      <c r="AF25" s="11">
        <v>0.8520833333333333</v>
      </c>
      <c r="AG25" s="11">
        <v>0.84097222222222223</v>
      </c>
      <c r="AH25" s="11"/>
      <c r="AI25" s="11"/>
      <c r="AJ25" s="11"/>
      <c r="AK25" s="11"/>
    </row>
    <row r="26" spans="1:37">
      <c r="B26" s="8" t="s">
        <v>44</v>
      </c>
      <c r="C26" s="11">
        <v>0.18124999999999999</v>
      </c>
      <c r="D26" s="11">
        <v>0.24027777777777778</v>
      </c>
      <c r="E26" s="8"/>
      <c r="F26" s="8"/>
      <c r="G26" s="11">
        <v>0.28541666666666665</v>
      </c>
      <c r="H26" s="8"/>
      <c r="I26" s="8"/>
      <c r="J26" s="11">
        <v>0.35138888888888886</v>
      </c>
      <c r="K26" s="8"/>
      <c r="L26" s="8"/>
      <c r="M26" s="11">
        <v>0.4</v>
      </c>
      <c r="N26" s="8"/>
      <c r="O26" s="8"/>
      <c r="P26" s="11">
        <v>0.47638888888888886</v>
      </c>
      <c r="Q26" s="8"/>
      <c r="R26" s="11">
        <v>0.5180555555555556</v>
      </c>
      <c r="S26" s="8"/>
      <c r="T26" s="11">
        <v>0.5805555555555556</v>
      </c>
      <c r="U26" s="8"/>
      <c r="V26" s="11">
        <v>0.62222222222222223</v>
      </c>
      <c r="W26" s="8"/>
      <c r="X26" s="8"/>
      <c r="Y26" s="11">
        <v>0.68472222222222223</v>
      </c>
      <c r="Z26" s="8"/>
      <c r="AA26" s="11">
        <v>0.72638888888888886</v>
      </c>
      <c r="AB26" s="8"/>
      <c r="AC26" s="8"/>
      <c r="AD26" s="11">
        <v>0.78888888888888886</v>
      </c>
      <c r="AE26" s="8"/>
      <c r="AF26" s="11">
        <v>0.85486111111111107</v>
      </c>
      <c r="AG26" s="11">
        <v>0.84444444444444444</v>
      </c>
      <c r="AH26" s="11"/>
      <c r="AI26" s="11"/>
      <c r="AJ26" s="11"/>
      <c r="AK26" s="11"/>
    </row>
    <row r="27" spans="1:37">
      <c r="B27" s="8" t="s">
        <v>45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>
      <c r="B28" s="8" t="s">
        <v>46</v>
      </c>
    </row>
    <row r="29" spans="1:37">
      <c r="B29" s="8" t="s">
        <v>47</v>
      </c>
      <c r="C29" s="11">
        <v>0.18819444444444444</v>
      </c>
      <c r="D29" s="11">
        <v>0.24722222222222223</v>
      </c>
      <c r="E29" s="8"/>
      <c r="G29" s="11">
        <v>0.29236111111111113</v>
      </c>
      <c r="H29" s="8"/>
      <c r="I29" s="8"/>
      <c r="J29" s="11">
        <v>0.35902777777777778</v>
      </c>
      <c r="K29" s="8"/>
      <c r="L29" s="8"/>
      <c r="M29" s="11">
        <v>0.40763888888888888</v>
      </c>
      <c r="N29" s="8"/>
      <c r="O29" s="8"/>
      <c r="P29" s="11">
        <v>0.48402777777777778</v>
      </c>
      <c r="Q29" s="8"/>
      <c r="R29" s="11">
        <v>0.52569444444444446</v>
      </c>
      <c r="S29" s="8"/>
      <c r="T29" s="11">
        <v>0.58819444444444446</v>
      </c>
      <c r="U29" s="8"/>
      <c r="V29" s="11">
        <v>0.62986111111111109</v>
      </c>
      <c r="W29" s="8"/>
      <c r="X29" s="8"/>
      <c r="Y29" s="11">
        <v>0.69236111111111109</v>
      </c>
      <c r="Z29" s="8"/>
      <c r="AA29" s="11">
        <v>0.73402777777777772</v>
      </c>
      <c r="AB29" s="8"/>
      <c r="AC29" s="8"/>
      <c r="AD29" s="11">
        <v>0.79652777777777772</v>
      </c>
      <c r="AE29" s="8"/>
      <c r="AF29" s="15">
        <v>0.85902777777777772</v>
      </c>
      <c r="AG29" s="11">
        <v>0.8520833333333333</v>
      </c>
      <c r="AH29" s="11"/>
      <c r="AI29" s="11"/>
      <c r="AJ29" s="11"/>
      <c r="AK29" s="11"/>
    </row>
    <row r="30" spans="1:37">
      <c r="B30" s="8" t="s">
        <v>48</v>
      </c>
      <c r="C30" s="8"/>
      <c r="D30" s="8"/>
      <c r="E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spans="1:37">
      <c r="B31" s="10" t="s">
        <v>49</v>
      </c>
      <c r="C31" s="11">
        <v>0.19791666666666666</v>
      </c>
      <c r="D31" s="11">
        <v>0.25694444444444442</v>
      </c>
      <c r="E31" s="8"/>
      <c r="G31" s="11">
        <v>0.30208333333333331</v>
      </c>
      <c r="H31" s="8"/>
      <c r="I31" s="8"/>
      <c r="J31" s="11">
        <v>0.36875000000000002</v>
      </c>
      <c r="K31" s="8"/>
      <c r="L31" s="8"/>
      <c r="M31" s="11">
        <v>0.41736111111111113</v>
      </c>
      <c r="N31" s="8"/>
      <c r="O31" s="8"/>
      <c r="P31" s="11">
        <v>0.49375000000000002</v>
      </c>
      <c r="Q31" s="8"/>
      <c r="R31" s="11">
        <v>0.53541666666666665</v>
      </c>
      <c r="S31" s="8"/>
      <c r="T31" s="11">
        <v>0.59791666666666665</v>
      </c>
      <c r="U31" s="8"/>
      <c r="V31" s="11">
        <v>0.63958333333333328</v>
      </c>
      <c r="W31" s="8"/>
      <c r="X31" s="8"/>
      <c r="Y31" s="11">
        <v>0.70208333333333328</v>
      </c>
      <c r="Z31" s="8"/>
      <c r="AA31" s="11">
        <v>0.74375000000000002</v>
      </c>
      <c r="AB31" s="8"/>
      <c r="AC31" s="8"/>
      <c r="AD31" s="11">
        <v>0.80625000000000002</v>
      </c>
      <c r="AE31" s="8"/>
      <c r="AF31" s="8"/>
      <c r="AG31" s="11">
        <v>0.8618055555555556</v>
      </c>
      <c r="AH31" s="11"/>
      <c r="AI31" s="11"/>
      <c r="AJ31" s="11"/>
      <c r="AK31" s="11"/>
    </row>
    <row r="43" spans="2:32">
      <c r="B43" s="8" t="s">
        <v>27</v>
      </c>
      <c r="C43" s="8">
        <v>603</v>
      </c>
      <c r="D43" s="8">
        <v>501</v>
      </c>
      <c r="E43" s="8">
        <v>625</v>
      </c>
      <c r="F43" s="8">
        <v>505</v>
      </c>
      <c r="G43" s="8">
        <v>615</v>
      </c>
      <c r="H43" s="8">
        <v>627</v>
      </c>
      <c r="I43" s="8">
        <v>507</v>
      </c>
      <c r="J43" s="8">
        <v>629</v>
      </c>
      <c r="K43" s="8">
        <v>631</v>
      </c>
      <c r="L43" s="8">
        <v>617</v>
      </c>
      <c r="M43" s="8">
        <v>509</v>
      </c>
      <c r="N43" s="8">
        <v>633</v>
      </c>
      <c r="O43" s="8">
        <v>511</v>
      </c>
      <c r="P43" s="8">
        <v>635</v>
      </c>
      <c r="Q43" s="8">
        <v>619</v>
      </c>
      <c r="R43" s="8">
        <v>513</v>
      </c>
      <c r="S43" s="8">
        <v>637</v>
      </c>
      <c r="T43" s="8">
        <v>515</v>
      </c>
      <c r="U43" s="8">
        <v>639</v>
      </c>
      <c r="V43" s="8">
        <v>517</v>
      </c>
      <c r="W43" s="8">
        <v>641</v>
      </c>
      <c r="X43" s="8">
        <v>519</v>
      </c>
      <c r="Y43" s="8">
        <v>621</v>
      </c>
      <c r="Z43" s="8">
        <v>643</v>
      </c>
      <c r="AA43" s="8">
        <v>521</v>
      </c>
      <c r="AB43" s="8">
        <v>645</v>
      </c>
      <c r="AC43" s="8">
        <v>623</v>
      </c>
      <c r="AD43" s="8">
        <v>523</v>
      </c>
      <c r="AE43" s="8">
        <v>647</v>
      </c>
      <c r="AF43" s="8">
        <v>525</v>
      </c>
    </row>
    <row r="44" spans="2:32">
      <c r="B44" s="10" t="s">
        <v>49</v>
      </c>
      <c r="C44" s="8"/>
      <c r="D44" s="11">
        <v>0.2048611111111111</v>
      </c>
      <c r="E44" s="8"/>
      <c r="F44" s="11">
        <v>0.27083333333333331</v>
      </c>
      <c r="G44" s="8"/>
      <c r="H44" s="8"/>
      <c r="I44" s="11">
        <v>0.31944444444444442</v>
      </c>
      <c r="J44" s="8"/>
      <c r="K44" s="8"/>
      <c r="L44" s="8"/>
      <c r="M44" s="11">
        <v>0.39583333333333331</v>
      </c>
      <c r="N44" s="8"/>
      <c r="O44" s="11">
        <v>0.4375</v>
      </c>
      <c r="P44" s="8"/>
      <c r="Q44" s="8"/>
      <c r="R44" s="11">
        <v>0.5</v>
      </c>
      <c r="S44" s="8"/>
      <c r="T44" s="11">
        <v>0.54166666666666663</v>
      </c>
      <c r="U44" s="8"/>
      <c r="V44" s="11">
        <v>0.60416666666666663</v>
      </c>
      <c r="W44" s="8"/>
      <c r="X44" s="11">
        <v>0.64583333333333337</v>
      </c>
      <c r="Y44" s="8"/>
      <c r="Z44" s="8"/>
      <c r="AA44" s="11">
        <v>0.70833333333333337</v>
      </c>
      <c r="AB44" s="8"/>
      <c r="AC44" s="8"/>
      <c r="AD44" s="11">
        <v>0.76388888888888884</v>
      </c>
      <c r="AE44" s="8"/>
      <c r="AF44" s="11">
        <v>0.81944444444444442</v>
      </c>
    </row>
    <row r="45" spans="2:32">
      <c r="B45" s="8" t="s">
        <v>48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2:32">
      <c r="B46" s="8" t="s">
        <v>47</v>
      </c>
      <c r="C46" s="27"/>
      <c r="D46" s="11">
        <v>0.21388888888888888</v>
      </c>
      <c r="E46" s="8"/>
      <c r="F46" s="11">
        <v>0.27986111111111112</v>
      </c>
      <c r="G46" s="8"/>
      <c r="H46" s="8"/>
      <c r="I46" s="11">
        <v>0.32916666666666666</v>
      </c>
      <c r="J46" s="8"/>
      <c r="K46" s="8"/>
      <c r="L46" s="8"/>
      <c r="M46" s="11">
        <v>0.40555555555555556</v>
      </c>
      <c r="N46" s="8"/>
      <c r="O46" s="11">
        <v>0.44722222222222224</v>
      </c>
      <c r="P46" s="8"/>
      <c r="Q46" s="8"/>
      <c r="R46" s="11">
        <v>0.50972222222222219</v>
      </c>
      <c r="S46" s="8"/>
      <c r="T46" s="11">
        <v>0.55138888888888893</v>
      </c>
      <c r="U46" s="8"/>
      <c r="V46" s="11">
        <v>0.61319444444444449</v>
      </c>
      <c r="W46" s="8"/>
      <c r="X46" s="11">
        <v>0.65486111111111112</v>
      </c>
      <c r="Y46" s="8"/>
      <c r="Z46" s="8"/>
      <c r="AA46" s="11">
        <v>0.71805555555555556</v>
      </c>
      <c r="AB46" s="8"/>
      <c r="AC46" s="8"/>
      <c r="AD46" s="11">
        <v>0.77361111111111114</v>
      </c>
      <c r="AE46" s="8"/>
      <c r="AF46" s="11">
        <v>0.82916666666666672</v>
      </c>
    </row>
    <row r="47" spans="2:32">
      <c r="B47" s="8" t="s">
        <v>46</v>
      </c>
      <c r="C47" s="15">
        <v>0.1736111111111111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2:32">
      <c r="B48" s="8" t="s">
        <v>45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7">
      <c r="B49" s="8" t="s">
        <v>44</v>
      </c>
      <c r="C49" s="11">
        <v>0.17847222222222223</v>
      </c>
      <c r="D49" s="11">
        <v>0.22222222222222221</v>
      </c>
      <c r="E49" s="8"/>
      <c r="F49" s="11">
        <v>0.28819444444444442</v>
      </c>
      <c r="G49" s="8"/>
      <c r="H49" s="8"/>
      <c r="I49" s="11">
        <v>0.33750000000000002</v>
      </c>
      <c r="J49" s="8"/>
      <c r="K49" s="8"/>
      <c r="L49" s="8"/>
      <c r="M49" s="11">
        <v>0.41388888888888886</v>
      </c>
      <c r="N49" s="8"/>
      <c r="O49" s="11">
        <v>0.45555555555555555</v>
      </c>
      <c r="P49" s="8"/>
      <c r="Q49" s="8"/>
      <c r="R49" s="11">
        <v>0.5180555555555556</v>
      </c>
      <c r="S49" s="8"/>
      <c r="T49" s="11">
        <v>0.55972222222222223</v>
      </c>
      <c r="U49" s="8"/>
      <c r="V49" s="11">
        <v>0.62152777777777779</v>
      </c>
      <c r="W49" s="8"/>
      <c r="X49" s="11">
        <v>0.66319444444444442</v>
      </c>
      <c r="Y49" s="8"/>
      <c r="Z49" s="8"/>
      <c r="AA49" s="11">
        <v>0.72638888888888886</v>
      </c>
      <c r="AB49" s="8"/>
      <c r="AC49" s="8"/>
      <c r="AD49" s="11">
        <v>0.78194444444444444</v>
      </c>
      <c r="AE49" s="8"/>
      <c r="AF49" s="11">
        <v>0.83750000000000002</v>
      </c>
    </row>
    <row r="50" spans="1:37">
      <c r="B50" s="8" t="s">
        <v>43</v>
      </c>
      <c r="C50" s="11">
        <v>0.18124999999999999</v>
      </c>
      <c r="D50" s="11">
        <v>0.22569444444444445</v>
      </c>
      <c r="E50" s="8"/>
      <c r="F50" s="11">
        <v>0.29166666666666669</v>
      </c>
      <c r="G50" s="15">
        <v>0.28472222222222221</v>
      </c>
      <c r="H50" s="8"/>
      <c r="I50" s="11">
        <v>0.34097222222222223</v>
      </c>
      <c r="J50" s="8"/>
      <c r="K50" s="8"/>
      <c r="L50" s="15">
        <v>0.39583333333333331</v>
      </c>
      <c r="M50" s="11">
        <v>0.41736111111111113</v>
      </c>
      <c r="O50" s="11">
        <v>0.45902777777777776</v>
      </c>
      <c r="P50" s="8"/>
      <c r="Q50" s="15">
        <v>0.5</v>
      </c>
      <c r="R50" s="11">
        <v>0.52152777777777781</v>
      </c>
      <c r="S50" s="8"/>
      <c r="T50" s="11">
        <v>0.56319444444444444</v>
      </c>
      <c r="U50" s="8"/>
      <c r="V50" s="11">
        <v>0.625</v>
      </c>
      <c r="W50" s="8"/>
      <c r="X50" s="11">
        <v>0.66666666666666663</v>
      </c>
      <c r="Y50" s="15">
        <v>0.64930555555555558</v>
      </c>
      <c r="Z50" s="8"/>
      <c r="AA50" s="11">
        <v>0.72986111111111107</v>
      </c>
      <c r="AB50" s="8"/>
      <c r="AC50" s="15">
        <v>0.75347222222222221</v>
      </c>
      <c r="AD50" s="11">
        <v>0.78541666666666665</v>
      </c>
      <c r="AE50" s="8"/>
      <c r="AF50" s="11">
        <v>0.84097222222222223</v>
      </c>
    </row>
    <row r="51" spans="1:37">
      <c r="B51" s="8" t="s">
        <v>42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7">
      <c r="B52" s="8" t="s">
        <v>41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7">
      <c r="B53" s="8" t="s">
        <v>40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7">
      <c r="A54" s="28"/>
      <c r="B54" s="29" t="s">
        <v>39</v>
      </c>
      <c r="C54" s="29"/>
      <c r="D54" s="30">
        <v>0.24166666666666667</v>
      </c>
      <c r="E54" s="29"/>
      <c r="F54" s="30">
        <v>0.30763888888888891</v>
      </c>
      <c r="G54" s="29"/>
      <c r="H54" s="29"/>
      <c r="I54" s="30">
        <v>0.35694444444444445</v>
      </c>
      <c r="J54" s="29"/>
      <c r="K54" s="29"/>
      <c r="L54" s="29"/>
      <c r="M54" s="30">
        <v>0.43333333333333335</v>
      </c>
      <c r="N54" s="30"/>
      <c r="O54" s="30">
        <v>0.47499999999999998</v>
      </c>
      <c r="P54" s="30"/>
      <c r="Q54" s="29"/>
      <c r="R54" s="30">
        <v>0.53749999999999998</v>
      </c>
      <c r="S54" s="30"/>
      <c r="T54" s="30">
        <v>0.57916666666666672</v>
      </c>
      <c r="U54" s="30"/>
      <c r="V54" s="30">
        <v>0.64097222222222228</v>
      </c>
      <c r="W54" s="29"/>
      <c r="X54" s="30">
        <v>0.68263888888888891</v>
      </c>
      <c r="Y54" s="29"/>
      <c r="Z54" s="29"/>
      <c r="AA54" s="30">
        <v>0.74583333333333335</v>
      </c>
      <c r="AB54" s="29"/>
      <c r="AC54" s="29"/>
      <c r="AD54" s="30">
        <v>0.80138888888888893</v>
      </c>
      <c r="AE54" s="29"/>
      <c r="AF54" s="30">
        <v>0.8569444444444444</v>
      </c>
      <c r="AG54" s="31"/>
      <c r="AH54" s="31"/>
      <c r="AI54" s="31"/>
      <c r="AJ54" s="31"/>
      <c r="AK54" s="32"/>
    </row>
    <row r="55" spans="1:37">
      <c r="A55" s="33"/>
      <c r="B55" s="8" t="s">
        <v>38</v>
      </c>
      <c r="C55" s="8"/>
      <c r="D55" s="11">
        <v>0.24583333333333332</v>
      </c>
      <c r="E55" s="8"/>
      <c r="F55" s="11">
        <v>0.31180555555555556</v>
      </c>
      <c r="G55" s="8"/>
      <c r="H55" s="8"/>
      <c r="I55" s="11">
        <v>0.3611111111111111</v>
      </c>
      <c r="J55" s="8"/>
      <c r="K55" s="8"/>
      <c r="L55" s="8"/>
      <c r="M55" s="11">
        <v>0.4375</v>
      </c>
      <c r="N55" s="11"/>
      <c r="O55" s="11">
        <v>0.47916666666666669</v>
      </c>
      <c r="P55" s="11"/>
      <c r="Q55" s="8"/>
      <c r="R55" s="11">
        <v>0.54166666666666663</v>
      </c>
      <c r="S55" s="11"/>
      <c r="T55" s="11">
        <v>0.58333333333333337</v>
      </c>
      <c r="U55" s="11"/>
      <c r="V55" s="11">
        <v>0.64513888888888893</v>
      </c>
      <c r="W55" s="8"/>
      <c r="X55" s="11">
        <v>0.68680555555555556</v>
      </c>
      <c r="Y55" s="8"/>
      <c r="Z55" s="8"/>
      <c r="AA55" s="11">
        <v>0.75</v>
      </c>
      <c r="AB55" s="8"/>
      <c r="AC55" s="8"/>
      <c r="AD55" s="11">
        <v>0.80555555555555558</v>
      </c>
      <c r="AF55" s="11">
        <v>0.86111111111111116</v>
      </c>
      <c r="AK55" s="34"/>
    </row>
    <row r="56" spans="1:37">
      <c r="A56" s="35"/>
      <c r="B56" s="23" t="s">
        <v>37</v>
      </c>
      <c r="C56" s="36"/>
      <c r="D56" s="37">
        <v>0.25</v>
      </c>
      <c r="E56" s="36"/>
      <c r="F56" s="37">
        <v>0.31597222222222221</v>
      </c>
      <c r="G56" s="36"/>
      <c r="H56" s="36"/>
      <c r="I56" s="37">
        <v>0.36527777777777776</v>
      </c>
      <c r="J56" s="36"/>
      <c r="K56" s="36"/>
      <c r="L56" s="36"/>
      <c r="M56" s="37">
        <v>0.44166666666666665</v>
      </c>
      <c r="N56" s="37"/>
      <c r="O56" s="37">
        <v>0.48333333333333334</v>
      </c>
      <c r="P56" s="37"/>
      <c r="Q56" s="36"/>
      <c r="R56" s="37">
        <v>0.54583333333333328</v>
      </c>
      <c r="S56" s="36"/>
      <c r="T56" s="37">
        <v>0.58750000000000002</v>
      </c>
      <c r="U56" s="36"/>
      <c r="V56" s="37">
        <v>0.64930555555555558</v>
      </c>
      <c r="W56" s="36"/>
      <c r="X56" s="37">
        <v>0.69097222222222221</v>
      </c>
      <c r="Y56" s="36"/>
      <c r="Z56" s="36"/>
      <c r="AA56" s="37">
        <v>0.75416666666666665</v>
      </c>
      <c r="AB56" s="36"/>
      <c r="AC56" s="36"/>
      <c r="AD56" s="37">
        <v>0.80972222222222223</v>
      </c>
      <c r="AE56" s="36"/>
      <c r="AF56" s="37">
        <v>0.86527777777777781</v>
      </c>
      <c r="AG56" s="38"/>
      <c r="AH56" s="38"/>
      <c r="AI56" s="38"/>
      <c r="AJ56" s="38"/>
      <c r="AK56" s="39"/>
    </row>
    <row r="57" spans="1:37">
      <c r="B57" s="8" t="s">
        <v>36</v>
      </c>
      <c r="C57" s="11">
        <v>0.19513888888888889</v>
      </c>
      <c r="D57" s="8"/>
      <c r="E57" s="8"/>
      <c r="F57" s="8"/>
      <c r="G57" s="11">
        <v>0.29652777777777778</v>
      </c>
      <c r="H57" s="8"/>
      <c r="I57" s="8"/>
      <c r="J57" s="8"/>
      <c r="K57" s="8"/>
      <c r="L57" s="11">
        <v>0.40763888888888888</v>
      </c>
      <c r="M57" s="8"/>
      <c r="N57" s="8"/>
      <c r="O57" s="8"/>
      <c r="P57" s="8"/>
      <c r="Q57" s="11">
        <v>0.51180555555555551</v>
      </c>
      <c r="R57" s="11"/>
      <c r="S57" s="8"/>
      <c r="T57" s="8"/>
      <c r="U57" s="8"/>
      <c r="V57" s="8"/>
      <c r="W57" s="8"/>
      <c r="X57" s="8"/>
      <c r="Y57" s="11">
        <v>0.66111111111111109</v>
      </c>
      <c r="Z57" s="8"/>
      <c r="AA57" s="8"/>
      <c r="AB57" s="8"/>
      <c r="AC57" s="11">
        <v>0.76527777777777772</v>
      </c>
      <c r="AD57" s="8"/>
      <c r="AE57" s="8"/>
      <c r="AF57" s="8"/>
    </row>
    <row r="58" spans="1:37">
      <c r="B58" s="8" t="s">
        <v>35</v>
      </c>
      <c r="C58" s="11">
        <v>0.20069444444444445</v>
      </c>
      <c r="D58" s="8"/>
      <c r="E58" s="8"/>
      <c r="F58" s="8"/>
      <c r="G58" s="11">
        <v>0.30208333333333331</v>
      </c>
      <c r="H58" s="8"/>
      <c r="I58" s="8"/>
      <c r="J58" s="8"/>
      <c r="K58" s="8"/>
      <c r="L58" s="11">
        <v>0.41319444444444442</v>
      </c>
      <c r="M58" s="8"/>
      <c r="N58" s="8"/>
      <c r="O58" s="8"/>
      <c r="P58" s="8"/>
      <c r="Q58" s="11">
        <v>0.51736111111111116</v>
      </c>
      <c r="R58" s="11"/>
      <c r="S58" s="8"/>
      <c r="T58" s="8"/>
      <c r="U58" s="8"/>
      <c r="V58" s="8"/>
      <c r="W58" s="8"/>
      <c r="X58" s="8"/>
      <c r="Y58" s="11">
        <v>0.66666666666666663</v>
      </c>
      <c r="Z58" s="8"/>
      <c r="AA58" s="8"/>
      <c r="AB58" s="8"/>
      <c r="AC58" s="11">
        <v>0.77083333333333337</v>
      </c>
      <c r="AD58" s="8"/>
      <c r="AE58" s="8"/>
      <c r="AF58" s="8"/>
    </row>
    <row r="59" spans="1:37">
      <c r="B59" s="8" t="s">
        <v>34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7">
      <c r="B60" s="8" t="s">
        <v>33</v>
      </c>
      <c r="C60" s="11">
        <v>0.20972222222222223</v>
      </c>
      <c r="D60" s="8"/>
      <c r="E60" s="15">
        <v>0.23958333333333334</v>
      </c>
      <c r="F60" s="8"/>
      <c r="G60" s="11">
        <v>0.31041666666666667</v>
      </c>
      <c r="H60" s="15">
        <v>0.28819444444444442</v>
      </c>
      <c r="I60" s="8"/>
      <c r="J60" s="15">
        <v>0.33680555555555558</v>
      </c>
      <c r="K60" s="15">
        <v>0.3888888888888889</v>
      </c>
      <c r="L60" s="11">
        <v>0.42152777777777778</v>
      </c>
      <c r="M60" s="8"/>
      <c r="N60" s="15">
        <v>0.4375</v>
      </c>
      <c r="O60" s="8"/>
      <c r="P60" s="15">
        <v>0.4861111111111111</v>
      </c>
      <c r="Q60" s="11">
        <v>0.52569444444444446</v>
      </c>
      <c r="R60" s="8"/>
      <c r="S60" s="15">
        <v>0.53472222222222221</v>
      </c>
      <c r="T60" s="8"/>
      <c r="U60" s="15">
        <v>0.58333333333333337</v>
      </c>
      <c r="V60" s="8"/>
      <c r="W60" s="15">
        <v>0.63194444444444442</v>
      </c>
      <c r="X60" s="8"/>
      <c r="Y60" s="11">
        <v>0.67500000000000004</v>
      </c>
      <c r="Z60" s="15">
        <v>0.68055555555555558</v>
      </c>
      <c r="AA60" s="8"/>
      <c r="AB60" s="15">
        <v>0.73611111111111116</v>
      </c>
      <c r="AC60" s="11">
        <v>0.77916666666666667</v>
      </c>
      <c r="AD60" s="8"/>
      <c r="AE60" s="15">
        <v>0.78472222222222221</v>
      </c>
      <c r="AF60" s="8"/>
    </row>
    <row r="61" spans="1:37">
      <c r="B61" s="8" t="s">
        <v>32</v>
      </c>
      <c r="C61" s="11">
        <v>0.21666666666666667</v>
      </c>
      <c r="D61" s="8"/>
      <c r="E61" s="11">
        <v>0.24583333333333332</v>
      </c>
      <c r="F61" s="8"/>
      <c r="G61" s="11">
        <v>0.31666666666666665</v>
      </c>
      <c r="H61" s="11">
        <v>0.29444444444444445</v>
      </c>
      <c r="I61" s="8"/>
      <c r="J61" s="11">
        <v>0.34305555555555556</v>
      </c>
      <c r="K61" s="11">
        <v>0.39513888888888887</v>
      </c>
      <c r="L61" s="11">
        <v>0.42777777777777776</v>
      </c>
      <c r="M61" s="8"/>
      <c r="N61" s="11">
        <v>0.44374999999999998</v>
      </c>
      <c r="O61" s="8"/>
      <c r="P61" s="11">
        <v>0.49236111111111114</v>
      </c>
      <c r="Q61" s="11">
        <v>0.53194444444444444</v>
      </c>
      <c r="R61" s="8"/>
      <c r="S61" s="11">
        <v>0.54097222222222219</v>
      </c>
      <c r="T61" s="8"/>
      <c r="U61" s="11">
        <v>0.58958333333333335</v>
      </c>
      <c r="V61" s="8"/>
      <c r="W61" s="11">
        <v>0.6381944444444444</v>
      </c>
      <c r="X61" s="8"/>
      <c r="Y61" s="11">
        <v>0.68125000000000002</v>
      </c>
      <c r="Z61" s="11">
        <v>0.68680555555555556</v>
      </c>
      <c r="AA61" s="8"/>
      <c r="AB61" s="11">
        <v>0.74236111111111114</v>
      </c>
      <c r="AC61" s="11">
        <v>0.78541666666666665</v>
      </c>
      <c r="AD61" s="8"/>
      <c r="AE61" s="11">
        <v>0.79097222222222219</v>
      </c>
      <c r="AF61" s="8"/>
    </row>
    <row r="62" spans="1:37">
      <c r="B62" s="8" t="s">
        <v>31</v>
      </c>
      <c r="C62" s="11">
        <v>0.21875</v>
      </c>
      <c r="D62" s="8"/>
      <c r="E62" s="11">
        <v>0.24861111111111112</v>
      </c>
      <c r="F62" s="8"/>
      <c r="G62" s="11">
        <v>0.31874999999999998</v>
      </c>
      <c r="H62" s="11">
        <v>0.29722222222222222</v>
      </c>
      <c r="I62" s="8"/>
      <c r="J62" s="11">
        <v>0.34583333333333333</v>
      </c>
      <c r="K62" s="11">
        <v>0.39791666666666664</v>
      </c>
      <c r="L62" s="11">
        <v>0.42986111111111114</v>
      </c>
      <c r="M62" s="8"/>
      <c r="N62" s="11">
        <v>0.4465277777777778</v>
      </c>
      <c r="O62" s="8"/>
      <c r="P62" s="11">
        <v>0.49513888888888891</v>
      </c>
      <c r="Q62" s="11">
        <v>0.53402777777777777</v>
      </c>
      <c r="R62" s="8"/>
      <c r="S62" s="11">
        <v>0.54374999999999996</v>
      </c>
      <c r="T62" s="8"/>
      <c r="U62" s="11">
        <v>0.59236111111111112</v>
      </c>
      <c r="V62" s="8"/>
      <c r="W62" s="11">
        <v>0.64097222222222228</v>
      </c>
      <c r="X62" s="8"/>
      <c r="Y62" s="11">
        <v>0.68333333333333335</v>
      </c>
      <c r="Z62" s="11">
        <v>0.68958333333333333</v>
      </c>
      <c r="AA62" s="8"/>
      <c r="AB62" s="11">
        <v>0.74513888888888891</v>
      </c>
      <c r="AC62" s="11">
        <v>0.78749999999999998</v>
      </c>
      <c r="AD62" s="8"/>
      <c r="AE62" s="11">
        <v>0.79374999999999996</v>
      </c>
      <c r="AF62" s="8"/>
    </row>
    <row r="63" spans="1:37">
      <c r="B63" s="8" t="s">
        <v>30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7">
      <c r="B64" s="8" t="s">
        <v>29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2:32">
      <c r="B65" s="10" t="s">
        <v>24</v>
      </c>
      <c r="C65" s="11">
        <v>0.22708333333333333</v>
      </c>
      <c r="D65" s="8"/>
      <c r="E65" s="11">
        <v>0.25694444444444442</v>
      </c>
      <c r="F65" s="8"/>
      <c r="G65" s="11">
        <v>0.3263888888888889</v>
      </c>
      <c r="H65" s="11">
        <v>0.30555555555555558</v>
      </c>
      <c r="I65" s="8"/>
      <c r="J65" s="11">
        <v>0.35416666666666669</v>
      </c>
      <c r="K65" s="11">
        <v>0.40625</v>
      </c>
      <c r="L65" s="11">
        <v>0.4375</v>
      </c>
      <c r="M65" s="8"/>
      <c r="N65" s="11">
        <v>0.4548611111111111</v>
      </c>
      <c r="O65" s="8"/>
      <c r="P65" s="11">
        <v>0.50347222222222221</v>
      </c>
      <c r="Q65" s="11">
        <v>0.54166666666666663</v>
      </c>
      <c r="R65" s="8"/>
      <c r="S65" s="11">
        <v>0.55208333333333337</v>
      </c>
      <c r="T65" s="8"/>
      <c r="U65" s="11">
        <v>0.60069444444444442</v>
      </c>
      <c r="V65" s="8"/>
      <c r="W65" s="11">
        <v>0.64930555555555558</v>
      </c>
      <c r="X65" s="8"/>
      <c r="Y65" s="11">
        <v>0.69097222222222221</v>
      </c>
      <c r="Z65" s="11">
        <v>0.69791666666666663</v>
      </c>
      <c r="AA65" s="8"/>
      <c r="AB65" s="11">
        <v>0.75347222222222221</v>
      </c>
      <c r="AC65" s="11">
        <v>0.79513888888888884</v>
      </c>
      <c r="AD65" s="8"/>
      <c r="AE65" s="11">
        <v>0.80208333333333337</v>
      </c>
      <c r="AF65" s="8"/>
    </row>
    <row r="84" spans="2:33">
      <c r="B84" s="10" t="s">
        <v>24</v>
      </c>
      <c r="C84" s="8"/>
      <c r="D84" s="11">
        <v>0.21527777777777779</v>
      </c>
      <c r="E84" s="11">
        <v>0.2361111111111111</v>
      </c>
      <c r="F84" s="11">
        <v>0.2638888888888889</v>
      </c>
      <c r="G84" s="11">
        <v>0.3125</v>
      </c>
      <c r="H84" s="11">
        <v>0.34027777777777779</v>
      </c>
      <c r="I84" s="11">
        <v>0.36458333333333331</v>
      </c>
      <c r="J84" s="11">
        <v>0.41319444444444442</v>
      </c>
      <c r="K84" s="11">
        <v>0.44791666666666669</v>
      </c>
      <c r="L84" s="11">
        <v>0.46180555555555558</v>
      </c>
      <c r="M84" s="11">
        <v>0.51041666666666663</v>
      </c>
      <c r="N84" s="11">
        <v>0.55902777777777779</v>
      </c>
      <c r="O84" s="11">
        <v>0.60069444444444442</v>
      </c>
      <c r="P84" s="11">
        <v>0.60763888888888884</v>
      </c>
      <c r="Q84" s="11">
        <v>0.65625</v>
      </c>
      <c r="R84" s="11">
        <v>0.70138888888888884</v>
      </c>
      <c r="S84" s="11">
        <v>0.71180555555555558</v>
      </c>
      <c r="T84" s="11">
        <v>0.76041666666666663</v>
      </c>
      <c r="U84" s="11">
        <v>0.80555555555555558</v>
      </c>
      <c r="AG84" s="8"/>
    </row>
    <row r="85" spans="2:33">
      <c r="B85" s="8" t="s">
        <v>29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AG85" s="8"/>
    </row>
    <row r="86" spans="2:33">
      <c r="B86" s="8" t="s">
        <v>30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AG86" s="8"/>
    </row>
    <row r="87" spans="2:33">
      <c r="B87" s="8" t="s">
        <v>31</v>
      </c>
      <c r="C87" s="8"/>
      <c r="D87" s="11">
        <v>0.22361111111111112</v>
      </c>
      <c r="E87" s="11">
        <v>0.24374999999999999</v>
      </c>
      <c r="F87" s="11">
        <v>0.2722222222222222</v>
      </c>
      <c r="G87" s="11">
        <v>0.32083333333333336</v>
      </c>
      <c r="H87" s="11">
        <v>0.34791666666666665</v>
      </c>
      <c r="I87" s="11">
        <v>0.37291666666666667</v>
      </c>
      <c r="J87" s="11">
        <v>0.42152777777777778</v>
      </c>
      <c r="K87" s="11">
        <v>0.45555555555555555</v>
      </c>
      <c r="L87" s="11">
        <v>0.47013888888888888</v>
      </c>
      <c r="M87" s="11">
        <v>0.51875000000000004</v>
      </c>
      <c r="N87" s="11">
        <v>0.56736111111111109</v>
      </c>
      <c r="O87" s="11">
        <v>0.60833333333333328</v>
      </c>
      <c r="P87" s="11">
        <v>0.61597222222222225</v>
      </c>
      <c r="Q87" s="11">
        <v>0.6645833333333333</v>
      </c>
      <c r="R87" s="11">
        <v>0.70902777777777781</v>
      </c>
      <c r="S87" s="11">
        <v>0.72013888888888888</v>
      </c>
      <c r="T87" s="11">
        <v>0.76875000000000004</v>
      </c>
      <c r="U87" s="11">
        <v>0.81388888888888888</v>
      </c>
      <c r="AG87" s="8"/>
    </row>
    <row r="88" spans="2:33">
      <c r="B88" s="8" t="s">
        <v>32</v>
      </c>
      <c r="C88" s="8"/>
      <c r="D88" s="11">
        <v>0.22638888888888889</v>
      </c>
      <c r="E88" s="11">
        <v>0.24652777777777779</v>
      </c>
      <c r="F88" s="11">
        <v>0.27500000000000002</v>
      </c>
      <c r="G88" s="11">
        <v>0.32361111111111113</v>
      </c>
      <c r="H88" s="11">
        <v>0.35069444444444442</v>
      </c>
      <c r="I88" s="11">
        <v>0.37569444444444444</v>
      </c>
      <c r="J88" s="11">
        <v>0.42430555555555555</v>
      </c>
      <c r="K88" s="11">
        <v>0.45833333333333331</v>
      </c>
      <c r="L88" s="11">
        <v>0.47291666666666665</v>
      </c>
      <c r="M88" s="11">
        <v>0.52152777777777781</v>
      </c>
      <c r="N88" s="11">
        <v>0.57013888888888886</v>
      </c>
      <c r="O88" s="11">
        <v>0.61111111111111116</v>
      </c>
      <c r="P88" s="11">
        <v>0.61875000000000002</v>
      </c>
      <c r="Q88" s="11">
        <v>0.66736111111111107</v>
      </c>
      <c r="R88" s="11">
        <v>0.71180555555555558</v>
      </c>
      <c r="S88" s="11">
        <v>0.72291666666666665</v>
      </c>
      <c r="T88" s="11">
        <v>0.77152777777777781</v>
      </c>
      <c r="U88" s="11">
        <v>0.81736111111111109</v>
      </c>
      <c r="AG88" s="8"/>
    </row>
    <row r="89" spans="2:33">
      <c r="B89" s="8" t="s">
        <v>33</v>
      </c>
      <c r="C89" s="8"/>
      <c r="D89" s="14">
        <v>0.2326388888888889</v>
      </c>
      <c r="E89" s="11">
        <v>0.25208333333333333</v>
      </c>
      <c r="F89" s="14">
        <v>0.28125</v>
      </c>
      <c r="G89" s="14">
        <v>0.3298611111111111</v>
      </c>
      <c r="H89" s="11">
        <v>0.35625000000000001</v>
      </c>
      <c r="I89" s="14">
        <v>0.38194444444444442</v>
      </c>
      <c r="J89" s="11">
        <v>0.43055555555555558</v>
      </c>
      <c r="K89" s="11">
        <v>0.46388888888888891</v>
      </c>
      <c r="L89" s="15">
        <v>0.47916666666666669</v>
      </c>
      <c r="M89" s="15">
        <v>0.52777777777777779</v>
      </c>
      <c r="N89" s="15">
        <v>0.57638888888888884</v>
      </c>
      <c r="O89" s="11">
        <v>0.6166666666666667</v>
      </c>
      <c r="P89" s="15">
        <v>0.625</v>
      </c>
      <c r="Q89" s="15">
        <v>0.67361111111111116</v>
      </c>
      <c r="R89" s="15">
        <v>0.71736111111111112</v>
      </c>
      <c r="S89" s="15">
        <v>0.72916666666666663</v>
      </c>
      <c r="T89" s="15">
        <v>0.77777777777777779</v>
      </c>
      <c r="U89" s="11">
        <v>0.82291666666666663</v>
      </c>
      <c r="AG89" s="8"/>
    </row>
    <row r="90" spans="2:33">
      <c r="B90" s="8" t="s">
        <v>34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AG90" s="8"/>
    </row>
    <row r="91" spans="2:33">
      <c r="B91" s="8" t="s">
        <v>35</v>
      </c>
      <c r="C91" s="8"/>
      <c r="D91" s="8"/>
      <c r="E91" s="11">
        <v>0.26111111111111113</v>
      </c>
      <c r="F91" s="8"/>
      <c r="G91" s="8"/>
      <c r="H91" s="11">
        <v>0.36527777777777776</v>
      </c>
      <c r="I91" s="8"/>
      <c r="J91" s="8"/>
      <c r="K91" s="11">
        <v>0.47291666666666665</v>
      </c>
      <c r="L91" s="8"/>
      <c r="M91" s="8"/>
      <c r="N91" s="8"/>
      <c r="O91" s="11">
        <v>0.62569444444444444</v>
      </c>
      <c r="P91" s="8"/>
      <c r="Q91" s="8"/>
      <c r="R91" s="8"/>
      <c r="S91" s="8"/>
      <c r="T91" s="8"/>
      <c r="U91" s="11">
        <v>0.83333333333333337</v>
      </c>
      <c r="AG91" s="8"/>
    </row>
    <row r="92" spans="2:33">
      <c r="B92" s="8" t="s">
        <v>36</v>
      </c>
      <c r="C92" s="8"/>
      <c r="D92" s="8"/>
      <c r="E92" s="11">
        <v>0.26666666666666666</v>
      </c>
      <c r="F92" s="8"/>
      <c r="G92" s="8"/>
      <c r="H92" s="11">
        <v>0.37083333333333335</v>
      </c>
      <c r="I92" s="8"/>
      <c r="J92" s="8"/>
      <c r="K92" s="11">
        <v>0.47847222222222224</v>
      </c>
      <c r="L92" s="8"/>
      <c r="M92" s="8"/>
      <c r="N92" s="8"/>
      <c r="O92" s="11">
        <v>0.63124999999999998</v>
      </c>
      <c r="P92" s="8"/>
      <c r="Q92" s="8"/>
      <c r="R92" s="8"/>
      <c r="S92" s="8"/>
      <c r="T92" s="8"/>
      <c r="U92" s="11">
        <v>0.83888888888888891</v>
      </c>
      <c r="AG92" s="8"/>
    </row>
    <row r="93" spans="2:33">
      <c r="B93" s="8" t="s">
        <v>40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AG93" s="8"/>
    </row>
    <row r="94" spans="2:33">
      <c r="B94" s="8" t="s">
        <v>41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AG94" s="8"/>
    </row>
    <row r="95" spans="2:33">
      <c r="B95" s="8" t="s">
        <v>42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AG95" s="8"/>
    </row>
    <row r="96" spans="2:33">
      <c r="B96" s="8" t="s">
        <v>43</v>
      </c>
      <c r="C96" s="11"/>
      <c r="D96" s="8"/>
      <c r="E96" s="26">
        <v>0.27777777777777779</v>
      </c>
      <c r="F96" s="8"/>
      <c r="G96" s="8"/>
      <c r="H96" s="26">
        <v>0.38194444444444442</v>
      </c>
      <c r="I96" s="8"/>
      <c r="J96" s="8"/>
      <c r="K96" s="15">
        <v>0.48958333333333331</v>
      </c>
      <c r="L96" s="8"/>
      <c r="M96" s="8"/>
      <c r="N96" s="8"/>
      <c r="O96" s="15">
        <v>0.64236111111111116</v>
      </c>
      <c r="P96" s="8"/>
      <c r="Q96" s="8"/>
      <c r="R96" s="15">
        <v>0.74305555555555558</v>
      </c>
      <c r="S96" s="8"/>
      <c r="T96" s="8"/>
      <c r="U96" s="11">
        <v>0.8520833333333333</v>
      </c>
      <c r="AG96" s="11"/>
    </row>
    <row r="98" spans="2:9">
      <c r="B98" s="10" t="s">
        <v>50</v>
      </c>
      <c r="C98" s="8" t="s">
        <v>43</v>
      </c>
    </row>
    <row r="100" spans="2:9">
      <c r="B100" s="10" t="s">
        <v>24</v>
      </c>
      <c r="C100" s="8"/>
      <c r="D100" s="11">
        <v>0.2361111111111111</v>
      </c>
      <c r="E100" s="11">
        <v>0.34027777777777779</v>
      </c>
      <c r="F100" s="11">
        <v>0.44791666666666669</v>
      </c>
      <c r="G100" s="11">
        <v>0.60069444444444442</v>
      </c>
      <c r="H100" s="11">
        <v>0.70138888888888884</v>
      </c>
      <c r="I100" s="11">
        <v>0.80555555555555558</v>
      </c>
    </row>
    <row r="101" spans="2:9">
      <c r="B101" s="8" t="s">
        <v>29</v>
      </c>
      <c r="C101" s="8"/>
      <c r="D101" s="8"/>
      <c r="E101" s="8"/>
      <c r="F101" s="8"/>
      <c r="G101" s="8"/>
      <c r="H101" s="8"/>
      <c r="I101" s="8"/>
    </row>
    <row r="102" spans="2:9">
      <c r="B102" s="8" t="s">
        <v>30</v>
      </c>
      <c r="C102" s="8"/>
      <c r="D102" s="8"/>
      <c r="E102" s="8"/>
      <c r="F102" s="8"/>
      <c r="G102" s="8"/>
      <c r="H102" s="8"/>
      <c r="I102" s="8"/>
    </row>
    <row r="103" spans="2:9">
      <c r="B103" s="8" t="s">
        <v>31</v>
      </c>
      <c r="C103" s="8"/>
      <c r="D103" s="11">
        <v>0.24374999999999999</v>
      </c>
      <c r="E103" s="11">
        <v>0.34791666666666665</v>
      </c>
      <c r="F103" s="11">
        <v>0.45555555555555555</v>
      </c>
      <c r="G103" s="11">
        <v>0.60833333333333328</v>
      </c>
      <c r="H103" s="11">
        <v>0.70902777777777781</v>
      </c>
      <c r="I103" s="11">
        <v>0.81388888888888888</v>
      </c>
    </row>
    <row r="104" spans="2:9">
      <c r="B104" s="8" t="s">
        <v>32</v>
      </c>
      <c r="C104" s="8"/>
      <c r="D104" s="11">
        <v>0.24652777777777779</v>
      </c>
      <c r="E104" s="11">
        <v>0.35069444444444442</v>
      </c>
      <c r="F104" s="11">
        <v>0.45833333333333331</v>
      </c>
      <c r="G104" s="11">
        <v>0.61111111111111116</v>
      </c>
      <c r="H104" s="11">
        <v>0.71180555555555558</v>
      </c>
      <c r="I104" s="11">
        <v>0.81736111111111109</v>
      </c>
    </row>
    <row r="105" spans="2:9">
      <c r="B105" s="8" t="s">
        <v>33</v>
      </c>
      <c r="C105" s="8"/>
      <c r="D105" s="11">
        <v>0.25208333333333333</v>
      </c>
      <c r="E105" s="11">
        <v>0.35625000000000001</v>
      </c>
      <c r="F105" s="11">
        <v>0.46388888888888891</v>
      </c>
      <c r="G105" s="11">
        <v>0.6166666666666667</v>
      </c>
      <c r="H105" s="11">
        <v>0.71736111111111112</v>
      </c>
      <c r="I105" s="11">
        <v>0.82291666666666663</v>
      </c>
    </row>
    <row r="106" spans="2:9">
      <c r="B106" s="8" t="s">
        <v>34</v>
      </c>
      <c r="C106" s="8"/>
      <c r="D106" s="8"/>
      <c r="E106" s="8"/>
      <c r="F106" s="8"/>
      <c r="G106" s="8"/>
      <c r="H106" s="8"/>
      <c r="I106" s="8"/>
    </row>
    <row r="107" spans="2:9">
      <c r="B107" s="8" t="s">
        <v>35</v>
      </c>
      <c r="C107" s="8"/>
      <c r="D107" s="11">
        <v>0.26111111111111113</v>
      </c>
      <c r="E107" s="11">
        <v>0.36527777777777776</v>
      </c>
      <c r="F107" s="11">
        <v>0.47291666666666665</v>
      </c>
      <c r="G107" s="11">
        <v>0.62569444444444444</v>
      </c>
      <c r="H107" s="11">
        <v>0.72638888888888886</v>
      </c>
      <c r="I107" s="11">
        <v>0.83333333333333337</v>
      </c>
    </row>
    <row r="108" spans="2:9">
      <c r="B108" s="8" t="s">
        <v>36</v>
      </c>
      <c r="C108" s="8"/>
      <c r="D108" s="11">
        <v>0.26666666666666666</v>
      </c>
      <c r="E108" s="11">
        <v>0.37083333333333335</v>
      </c>
      <c r="F108" s="11">
        <v>0.47847222222222224</v>
      </c>
      <c r="G108" s="11">
        <v>0.63124999999999998</v>
      </c>
      <c r="H108" s="11">
        <v>0.7319444444444444</v>
      </c>
      <c r="I108" s="11">
        <v>0.83888888888888891</v>
      </c>
    </row>
    <row r="109" spans="2:9">
      <c r="B109" s="8" t="s">
        <v>40</v>
      </c>
      <c r="C109" s="8"/>
      <c r="D109" s="8"/>
      <c r="E109" s="8"/>
      <c r="F109" s="8"/>
      <c r="G109" s="8"/>
      <c r="H109" s="8"/>
      <c r="I109" s="8"/>
    </row>
    <row r="110" spans="2:9">
      <c r="B110" s="8" t="s">
        <v>41</v>
      </c>
      <c r="C110" s="8"/>
      <c r="D110" s="8"/>
      <c r="E110" s="8"/>
      <c r="F110" s="8"/>
      <c r="G110" s="8"/>
      <c r="H110" s="8"/>
      <c r="I110" s="8"/>
    </row>
    <row r="111" spans="2:9">
      <c r="B111" s="8" t="s">
        <v>42</v>
      </c>
      <c r="C111" s="8"/>
      <c r="D111" s="8"/>
      <c r="E111" s="8"/>
      <c r="F111" s="8"/>
      <c r="G111" s="8"/>
      <c r="H111" s="8"/>
      <c r="I111" s="8"/>
    </row>
    <row r="112" spans="2:9">
      <c r="B112" s="8" t="s">
        <v>43</v>
      </c>
      <c r="C112" s="11"/>
      <c r="D112" s="26">
        <v>0.27777777777777779</v>
      </c>
      <c r="E112" s="26">
        <v>0.38194444444444442</v>
      </c>
      <c r="F112" s="15">
        <v>0.48958333333333331</v>
      </c>
      <c r="G112" s="15">
        <v>0.64236111111111116</v>
      </c>
      <c r="H112" s="15">
        <v>0.74305555555555558</v>
      </c>
      <c r="I112" s="11">
        <v>0.8520833333333333</v>
      </c>
    </row>
    <row r="121" spans="1:37">
      <c r="B121" s="8" t="s">
        <v>51</v>
      </c>
      <c r="C121" s="8" t="s">
        <v>52</v>
      </c>
      <c r="D121" s="10" t="s">
        <v>24</v>
      </c>
    </row>
    <row r="124" spans="1:37">
      <c r="A124" s="40"/>
      <c r="B124" s="41" t="s">
        <v>27</v>
      </c>
      <c r="C124" s="42">
        <v>615</v>
      </c>
      <c r="D124" s="42">
        <v>617</v>
      </c>
      <c r="E124" s="42">
        <v>619</v>
      </c>
      <c r="F124" s="42">
        <v>621</v>
      </c>
      <c r="G124" s="42">
        <v>623</v>
      </c>
      <c r="H124" s="42"/>
      <c r="I124" s="42"/>
      <c r="K124" s="42"/>
      <c r="L124" s="42"/>
      <c r="M124" s="42"/>
      <c r="O124" s="42"/>
      <c r="P124" s="42"/>
      <c r="Q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D124" s="42"/>
      <c r="AE124" s="42"/>
      <c r="AF124" s="42"/>
      <c r="AG124" s="40"/>
      <c r="AH124" s="40"/>
      <c r="AI124" s="40"/>
      <c r="AJ124" s="40"/>
      <c r="AK124" s="40"/>
    </row>
    <row r="125" spans="1:37">
      <c r="A125" s="40"/>
      <c r="B125" s="43" t="s">
        <v>43</v>
      </c>
      <c r="C125" s="44">
        <v>0.28472222222222221</v>
      </c>
      <c r="D125" s="44">
        <v>0.39583333333333331</v>
      </c>
      <c r="E125" s="44">
        <v>0.5</v>
      </c>
      <c r="F125" s="44">
        <v>0.64930555555555558</v>
      </c>
      <c r="G125" s="44">
        <v>0.75347222222222221</v>
      </c>
      <c r="H125" s="45"/>
      <c r="I125" s="40"/>
      <c r="K125" s="40"/>
      <c r="L125" s="45"/>
      <c r="M125" s="40"/>
      <c r="O125" s="45"/>
      <c r="P125" s="45"/>
      <c r="Q125" s="40"/>
      <c r="S125" s="45"/>
      <c r="T125" s="45"/>
      <c r="U125" s="40"/>
      <c r="V125" s="40"/>
      <c r="W125" s="45"/>
      <c r="X125" s="45"/>
      <c r="Y125" s="40"/>
      <c r="Z125" s="40"/>
      <c r="AA125" s="45"/>
      <c r="AB125" s="40"/>
      <c r="AD125" s="45"/>
      <c r="AE125" s="40"/>
      <c r="AF125" s="45"/>
      <c r="AG125" s="40"/>
      <c r="AH125" s="40"/>
      <c r="AI125" s="40"/>
      <c r="AJ125" s="40"/>
      <c r="AK125" s="40"/>
    </row>
    <row r="126" spans="1:37">
      <c r="A126" s="40"/>
      <c r="B126" s="41" t="s">
        <v>42</v>
      </c>
      <c r="C126" s="40"/>
      <c r="D126" s="40"/>
      <c r="E126" s="40"/>
      <c r="F126" s="40"/>
      <c r="G126" s="40"/>
      <c r="H126" s="40"/>
      <c r="I126" s="40"/>
      <c r="K126" s="40"/>
      <c r="L126" s="40"/>
      <c r="M126" s="40"/>
      <c r="O126" s="40"/>
      <c r="P126" s="40"/>
      <c r="Q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D126" s="40"/>
      <c r="AE126" s="40"/>
      <c r="AF126" s="40"/>
      <c r="AG126" s="40"/>
      <c r="AH126" s="40"/>
      <c r="AI126" s="40"/>
      <c r="AJ126" s="40"/>
      <c r="AK126" s="40"/>
    </row>
    <row r="127" spans="1:37">
      <c r="A127" s="40"/>
      <c r="B127" s="41" t="s">
        <v>41</v>
      </c>
      <c r="C127" s="40"/>
      <c r="D127" s="40"/>
      <c r="E127" s="40"/>
      <c r="F127" s="40"/>
      <c r="G127" s="40"/>
      <c r="H127" s="45"/>
      <c r="I127" s="40"/>
      <c r="K127" s="40"/>
      <c r="L127" s="45"/>
      <c r="M127" s="40"/>
      <c r="O127" s="45"/>
      <c r="P127" s="45"/>
      <c r="Q127" s="40"/>
      <c r="S127" s="45"/>
      <c r="T127" s="45"/>
      <c r="U127" s="40"/>
      <c r="V127" s="40"/>
      <c r="W127" s="45"/>
      <c r="X127" s="45"/>
      <c r="Y127" s="40"/>
      <c r="Z127" s="40"/>
      <c r="AA127" s="45"/>
      <c r="AB127" s="40"/>
      <c r="AD127" s="45"/>
      <c r="AE127" s="40"/>
      <c r="AF127" s="45"/>
      <c r="AG127" s="40"/>
      <c r="AH127" s="40"/>
      <c r="AI127" s="40"/>
      <c r="AJ127" s="40"/>
      <c r="AK127" s="40"/>
    </row>
    <row r="128" spans="1:37">
      <c r="A128" s="40"/>
      <c r="B128" s="41" t="s">
        <v>40</v>
      </c>
      <c r="C128" s="40"/>
      <c r="D128" s="40"/>
      <c r="E128" s="40"/>
      <c r="F128" s="40"/>
      <c r="G128" s="40"/>
      <c r="H128" s="40"/>
      <c r="I128" s="40"/>
      <c r="K128" s="40"/>
      <c r="L128" s="40"/>
      <c r="M128" s="40"/>
      <c r="O128" s="40"/>
      <c r="P128" s="40"/>
      <c r="Q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D128" s="40"/>
      <c r="AE128" s="40"/>
      <c r="AF128" s="40"/>
      <c r="AG128" s="40"/>
      <c r="AH128" s="40"/>
      <c r="AI128" s="40"/>
      <c r="AJ128" s="40"/>
      <c r="AK128" s="40"/>
    </row>
    <row r="129" spans="1:37">
      <c r="A129" s="40"/>
      <c r="B129" s="41" t="s">
        <v>36</v>
      </c>
      <c r="C129" s="45">
        <v>0.29652777777777778</v>
      </c>
      <c r="D129" s="45">
        <v>0.40763888888888888</v>
      </c>
      <c r="E129" s="45">
        <v>0.51180555555555551</v>
      </c>
      <c r="F129" s="45">
        <v>0.66111111111111109</v>
      </c>
      <c r="G129" s="45">
        <v>0.76527777777777772</v>
      </c>
      <c r="H129" s="40"/>
      <c r="I129" s="40"/>
      <c r="K129" s="40"/>
      <c r="L129" s="40"/>
      <c r="M129" s="40"/>
      <c r="O129" s="40"/>
      <c r="P129" s="40"/>
      <c r="Q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D129" s="40"/>
      <c r="AE129" s="40"/>
      <c r="AF129" s="40"/>
      <c r="AG129" s="40"/>
      <c r="AH129" s="40"/>
      <c r="AI129" s="40"/>
      <c r="AJ129" s="40"/>
      <c r="AK129" s="40"/>
    </row>
    <row r="130" spans="1:37">
      <c r="A130" s="40"/>
      <c r="B130" s="41" t="s">
        <v>35</v>
      </c>
      <c r="C130" s="45">
        <v>0.30208333333333331</v>
      </c>
      <c r="D130" s="45">
        <v>0.41319444444444442</v>
      </c>
      <c r="E130" s="45">
        <v>0.51736111111111116</v>
      </c>
      <c r="F130" s="45">
        <v>0.66666666666666663</v>
      </c>
      <c r="G130" s="45">
        <v>0.77083333333333337</v>
      </c>
      <c r="H130" s="45"/>
      <c r="I130" s="40"/>
      <c r="K130" s="40"/>
      <c r="L130" s="45"/>
      <c r="M130" s="40"/>
      <c r="O130" s="45"/>
      <c r="P130" s="45"/>
      <c r="Q130" s="40"/>
      <c r="S130" s="45"/>
      <c r="T130" s="45"/>
      <c r="U130" s="40"/>
      <c r="V130" s="40"/>
      <c r="W130" s="45"/>
      <c r="X130" s="45"/>
      <c r="Y130" s="40"/>
      <c r="Z130" s="40"/>
      <c r="AA130" s="45"/>
      <c r="AB130" s="40"/>
      <c r="AD130" s="45"/>
      <c r="AE130" s="40"/>
      <c r="AF130" s="45"/>
      <c r="AG130" s="40"/>
      <c r="AH130" s="40"/>
      <c r="AI130" s="40"/>
      <c r="AJ130" s="40"/>
      <c r="AK130" s="40"/>
    </row>
    <row r="131" spans="1:37">
      <c r="A131" s="46"/>
      <c r="B131" s="41" t="s">
        <v>34</v>
      </c>
      <c r="C131" s="40"/>
      <c r="D131" s="40"/>
      <c r="E131" s="40"/>
      <c r="F131" s="40"/>
      <c r="G131" s="40"/>
      <c r="H131" s="47"/>
      <c r="I131" s="46"/>
      <c r="K131" s="44"/>
      <c r="L131" s="47"/>
      <c r="M131" s="46"/>
      <c r="O131" s="47"/>
      <c r="P131" s="47"/>
      <c r="Q131" s="46"/>
      <c r="S131" s="47"/>
      <c r="T131" s="47"/>
      <c r="U131" s="44"/>
      <c r="V131" s="44"/>
      <c r="W131" s="47"/>
      <c r="X131" s="47"/>
      <c r="Y131" s="44"/>
      <c r="Z131" s="44"/>
      <c r="AA131" s="47"/>
      <c r="AB131" s="46"/>
      <c r="AD131" s="47"/>
      <c r="AE131" s="46"/>
      <c r="AF131" s="47"/>
      <c r="AG131" s="46"/>
      <c r="AH131" s="46"/>
      <c r="AI131" s="46"/>
      <c r="AJ131" s="46"/>
      <c r="AK131" s="46"/>
    </row>
    <row r="132" spans="1:37">
      <c r="A132" s="40"/>
      <c r="B132" s="41" t="s">
        <v>33</v>
      </c>
      <c r="C132" s="45">
        <v>0.31041666666666667</v>
      </c>
      <c r="D132" s="45">
        <v>0.42152777777777778</v>
      </c>
      <c r="E132" s="45">
        <v>0.52569444444444446</v>
      </c>
      <c r="F132" s="45">
        <v>0.67500000000000004</v>
      </c>
      <c r="G132" s="45">
        <v>0.77916666666666667</v>
      </c>
      <c r="H132" s="40"/>
      <c r="I132" s="40"/>
      <c r="K132" s="40"/>
      <c r="L132" s="40"/>
      <c r="M132" s="40"/>
      <c r="O132" s="40"/>
      <c r="P132" s="40"/>
      <c r="Q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D132" s="40"/>
      <c r="AE132" s="40"/>
      <c r="AF132" s="40"/>
      <c r="AG132" s="40"/>
      <c r="AH132" s="40"/>
      <c r="AI132" s="40"/>
      <c r="AJ132" s="40"/>
      <c r="AK132" s="40"/>
    </row>
    <row r="133" spans="1:37">
      <c r="A133" s="40"/>
      <c r="B133" s="41" t="s">
        <v>32</v>
      </c>
      <c r="C133" s="45">
        <v>0.31666666666666665</v>
      </c>
      <c r="D133" s="45">
        <v>0.42777777777777776</v>
      </c>
      <c r="E133" s="45">
        <v>0.53194444444444444</v>
      </c>
      <c r="F133" s="45">
        <v>0.68125000000000002</v>
      </c>
      <c r="G133" s="45">
        <v>0.78541666666666665</v>
      </c>
      <c r="H133" s="40"/>
      <c r="I133" s="40"/>
      <c r="K133" s="40"/>
      <c r="L133" s="40"/>
      <c r="M133" s="40"/>
      <c r="O133" s="40"/>
      <c r="P133" s="40"/>
      <c r="Q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D133" s="40"/>
      <c r="AE133" s="40"/>
      <c r="AF133" s="40"/>
      <c r="AG133" s="40"/>
      <c r="AH133" s="40"/>
      <c r="AI133" s="40"/>
      <c r="AJ133" s="40"/>
      <c r="AK133" s="40"/>
    </row>
    <row r="134" spans="1:37">
      <c r="A134" s="40"/>
      <c r="B134" s="41" t="s">
        <v>31</v>
      </c>
      <c r="C134" s="45">
        <v>0.31874999999999998</v>
      </c>
      <c r="D134" s="45">
        <v>0.42986111111111114</v>
      </c>
      <c r="E134" s="45">
        <v>0.53402777777777777</v>
      </c>
      <c r="F134" s="45">
        <v>0.68333333333333335</v>
      </c>
      <c r="G134" s="45">
        <v>0.78749999999999998</v>
      </c>
      <c r="H134" s="40"/>
      <c r="I134" s="40"/>
      <c r="K134" s="40"/>
      <c r="L134" s="40"/>
      <c r="M134" s="40"/>
      <c r="O134" s="40"/>
      <c r="P134" s="40"/>
      <c r="Q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D134" s="40"/>
      <c r="AE134" s="40"/>
      <c r="AF134" s="40"/>
      <c r="AG134" s="40"/>
      <c r="AH134" s="40"/>
      <c r="AI134" s="40"/>
      <c r="AJ134" s="40"/>
      <c r="AK134" s="40"/>
    </row>
    <row r="135" spans="1:37">
      <c r="A135" s="40"/>
      <c r="B135" s="41" t="s">
        <v>30</v>
      </c>
      <c r="C135" s="40"/>
      <c r="D135" s="40"/>
      <c r="E135" s="40"/>
      <c r="F135" s="40"/>
      <c r="G135" s="40"/>
      <c r="H135" s="40"/>
      <c r="I135" s="40"/>
      <c r="K135" s="45"/>
      <c r="L135" s="40"/>
      <c r="M135" s="40"/>
      <c r="O135" s="40"/>
      <c r="P135" s="40"/>
      <c r="Q135" s="40"/>
      <c r="S135" s="40"/>
      <c r="T135" s="40"/>
      <c r="U135" s="45"/>
      <c r="V135" s="45"/>
      <c r="W135" s="40"/>
      <c r="X135" s="40"/>
      <c r="Y135" s="45"/>
      <c r="Z135" s="45"/>
      <c r="AA135" s="40"/>
      <c r="AB135" s="40"/>
      <c r="AD135" s="40"/>
      <c r="AE135" s="40"/>
      <c r="AF135" s="40"/>
      <c r="AG135" s="40"/>
      <c r="AH135" s="40"/>
      <c r="AI135" s="40"/>
      <c r="AJ135" s="40"/>
      <c r="AK135" s="40"/>
    </row>
    <row r="136" spans="1:37">
      <c r="A136" s="40"/>
      <c r="B136" s="41" t="s">
        <v>29</v>
      </c>
      <c r="C136" s="40"/>
      <c r="D136" s="40"/>
      <c r="E136" s="40"/>
      <c r="F136" s="40"/>
      <c r="G136" s="40"/>
      <c r="H136" s="40"/>
      <c r="I136" s="40"/>
      <c r="K136" s="45"/>
      <c r="L136" s="40"/>
      <c r="M136" s="40"/>
      <c r="O136" s="40"/>
      <c r="P136" s="40"/>
      <c r="Q136" s="40"/>
      <c r="S136" s="40"/>
      <c r="T136" s="40"/>
      <c r="U136" s="45"/>
      <c r="V136" s="45"/>
      <c r="W136" s="40"/>
      <c r="X136" s="40"/>
      <c r="Y136" s="45"/>
      <c r="Z136" s="45"/>
      <c r="AA136" s="40"/>
      <c r="AB136" s="40"/>
      <c r="AD136" s="40"/>
      <c r="AE136" s="40"/>
      <c r="AF136" s="40"/>
      <c r="AG136" s="40"/>
      <c r="AH136" s="40"/>
      <c r="AI136" s="40"/>
      <c r="AJ136" s="40"/>
      <c r="AK136" s="40"/>
    </row>
    <row r="137" spans="1:37">
      <c r="A137" s="40"/>
      <c r="B137" s="43" t="s">
        <v>24</v>
      </c>
      <c r="C137" s="45">
        <v>0.3263888888888889</v>
      </c>
      <c r="D137" s="45">
        <v>0.4375</v>
      </c>
      <c r="E137" s="45">
        <v>0.54166666666666663</v>
      </c>
      <c r="F137" s="45">
        <v>0.69097222222222221</v>
      </c>
      <c r="G137" s="45">
        <v>0.79513888888888884</v>
      </c>
      <c r="H137" s="40"/>
      <c r="I137" s="40"/>
      <c r="K137" s="40"/>
      <c r="L137" s="40"/>
      <c r="M137" s="40"/>
      <c r="O137" s="40"/>
      <c r="P137" s="40"/>
      <c r="Q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D137" s="40"/>
      <c r="AE137" s="40"/>
      <c r="AF137" s="40"/>
      <c r="AG137" s="40"/>
      <c r="AH137" s="40"/>
      <c r="AI137" s="40"/>
      <c r="AJ137" s="40"/>
      <c r="AK137" s="40"/>
    </row>
    <row r="138" spans="1:37">
      <c r="A138" s="40"/>
      <c r="H138" s="40"/>
      <c r="I138" s="48"/>
      <c r="K138" s="45"/>
      <c r="L138" s="40"/>
      <c r="M138" s="48"/>
      <c r="O138" s="40"/>
      <c r="P138" s="40"/>
      <c r="Q138" s="48"/>
      <c r="S138" s="40"/>
      <c r="T138" s="40"/>
      <c r="U138" s="45"/>
      <c r="V138" s="45"/>
      <c r="W138" s="40"/>
      <c r="X138" s="40"/>
      <c r="Y138" s="45"/>
      <c r="Z138" s="45"/>
      <c r="AA138" s="40"/>
      <c r="AB138" s="48"/>
      <c r="AD138" s="40"/>
      <c r="AE138" s="48"/>
      <c r="AF138" s="40"/>
      <c r="AG138" s="40"/>
      <c r="AH138" s="40"/>
      <c r="AI138" s="40"/>
      <c r="AJ138" s="40"/>
      <c r="AK138" s="40"/>
    </row>
    <row r="139" spans="1:37">
      <c r="A139" s="40"/>
      <c r="H139" s="40"/>
      <c r="I139" s="45"/>
      <c r="K139" s="45"/>
      <c r="L139" s="40"/>
      <c r="M139" s="45"/>
      <c r="O139" s="40"/>
      <c r="P139" s="40"/>
      <c r="Q139" s="45"/>
      <c r="S139" s="40"/>
      <c r="T139" s="40"/>
      <c r="U139" s="45"/>
      <c r="V139" s="45"/>
      <c r="W139" s="40"/>
      <c r="X139" s="40"/>
      <c r="Y139" s="45"/>
      <c r="Z139" s="45"/>
      <c r="AA139" s="40"/>
      <c r="AB139" s="45"/>
      <c r="AD139" s="40"/>
      <c r="AE139" s="45"/>
      <c r="AF139" s="40"/>
      <c r="AG139" s="40"/>
      <c r="AH139" s="40"/>
      <c r="AI139" s="40"/>
      <c r="AJ139" s="40"/>
      <c r="AK139" s="40"/>
    </row>
    <row r="140" spans="1:37">
      <c r="A140" s="40"/>
      <c r="H140" s="40"/>
      <c r="I140" s="45"/>
      <c r="K140" s="45"/>
      <c r="L140" s="40"/>
      <c r="M140" s="45"/>
      <c r="O140" s="40"/>
      <c r="P140" s="40"/>
      <c r="Q140" s="45"/>
      <c r="S140" s="40"/>
      <c r="T140" s="40"/>
      <c r="U140" s="45"/>
      <c r="V140" s="45"/>
      <c r="W140" s="40"/>
      <c r="X140" s="40"/>
      <c r="Y140" s="45"/>
      <c r="Z140" s="45"/>
      <c r="AA140" s="40"/>
      <c r="AB140" s="45"/>
      <c r="AD140" s="40"/>
      <c r="AE140" s="45"/>
      <c r="AF140" s="40"/>
      <c r="AG140" s="40"/>
      <c r="AH140" s="40"/>
      <c r="AI140" s="40"/>
      <c r="AJ140" s="40"/>
      <c r="AK140" s="40"/>
    </row>
    <row r="141" spans="1:37">
      <c r="A141" s="40"/>
      <c r="H141" s="40"/>
      <c r="I141" s="40"/>
      <c r="K141" s="40"/>
      <c r="L141" s="40"/>
      <c r="M141" s="40"/>
      <c r="O141" s="40"/>
      <c r="P141" s="40"/>
      <c r="Q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D141" s="40"/>
      <c r="AE141" s="40"/>
      <c r="AF141" s="40"/>
      <c r="AG141" s="40"/>
      <c r="AH141" s="40"/>
      <c r="AI141" s="40"/>
      <c r="AJ141" s="40"/>
      <c r="AK141" s="40"/>
    </row>
    <row r="142" spans="1:37">
      <c r="A142" s="40"/>
      <c r="H142" s="40"/>
      <c r="I142" s="40"/>
      <c r="K142" s="40"/>
      <c r="L142" s="40"/>
      <c r="M142" s="40"/>
      <c r="O142" s="40"/>
      <c r="P142" s="40"/>
      <c r="Q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D142" s="40"/>
      <c r="AE142" s="40"/>
      <c r="AF142" s="40"/>
      <c r="AG142" s="40"/>
      <c r="AH142" s="40"/>
      <c r="AI142" s="40"/>
      <c r="AJ142" s="40"/>
      <c r="AK142" s="40"/>
    </row>
    <row r="143" spans="1:37">
      <c r="A143" s="40"/>
      <c r="H143" s="40"/>
      <c r="I143" s="45"/>
      <c r="K143" s="45"/>
      <c r="L143" s="40"/>
      <c r="M143" s="45"/>
      <c r="O143" s="40"/>
      <c r="P143" s="40"/>
      <c r="Q143" s="45"/>
      <c r="S143" s="40"/>
      <c r="T143" s="40"/>
      <c r="U143" s="45"/>
      <c r="V143" s="45"/>
      <c r="W143" s="40"/>
      <c r="X143" s="40"/>
      <c r="Y143" s="45"/>
      <c r="Z143" s="45"/>
      <c r="AA143" s="40"/>
      <c r="AB143" s="45"/>
      <c r="AD143" s="40"/>
      <c r="AE143" s="45"/>
      <c r="AF143" s="40"/>
      <c r="AG143" s="40"/>
      <c r="AH143" s="40"/>
      <c r="AI143" s="40"/>
      <c r="AJ143" s="40"/>
      <c r="AK143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3:AN224"/>
  <sheetViews>
    <sheetView workbookViewId="0"/>
  </sheetViews>
  <sheetFormatPr defaultColWidth="12.5703125" defaultRowHeight="15.75" customHeight="1"/>
  <cols>
    <col min="1" max="1" width="23" customWidth="1"/>
    <col min="2" max="2" width="35.7109375" customWidth="1"/>
  </cols>
  <sheetData>
    <row r="3" spans="1:40">
      <c r="A3" s="6" t="s">
        <v>53</v>
      </c>
    </row>
    <row r="6" spans="1:40">
      <c r="A6" s="1" t="s">
        <v>2</v>
      </c>
      <c r="B6" s="1" t="str">
        <f>UPPER("Coordinates")</f>
        <v>COORDINATES</v>
      </c>
      <c r="C6" s="1">
        <v>9181</v>
      </c>
      <c r="D6" s="1">
        <v>1151</v>
      </c>
      <c r="E6" s="1">
        <v>9183</v>
      </c>
      <c r="F6" s="1">
        <v>1152</v>
      </c>
      <c r="G6" s="1">
        <v>1105</v>
      </c>
      <c r="H6" s="1">
        <v>1155</v>
      </c>
      <c r="I6" s="49">
        <v>1107</v>
      </c>
      <c r="J6" s="1">
        <v>1154</v>
      </c>
      <c r="K6" s="1">
        <v>1129</v>
      </c>
      <c r="L6" s="1">
        <v>1159</v>
      </c>
      <c r="M6" s="1">
        <v>1111</v>
      </c>
      <c r="N6" s="1">
        <v>1161</v>
      </c>
      <c r="O6" s="1">
        <v>1112</v>
      </c>
      <c r="P6" s="1">
        <v>1162</v>
      </c>
      <c r="Q6" s="1">
        <v>1115</v>
      </c>
      <c r="R6" s="1">
        <v>9129</v>
      </c>
      <c r="S6" s="1">
        <v>9111</v>
      </c>
      <c r="T6" s="1">
        <v>9152</v>
      </c>
      <c r="U6" s="1">
        <v>9115</v>
      </c>
      <c r="V6" s="1">
        <v>9117</v>
      </c>
      <c r="W6" s="1">
        <v>9119</v>
      </c>
      <c r="X6" s="1">
        <v>1167</v>
      </c>
      <c r="Y6" s="1">
        <v>1122</v>
      </c>
      <c r="Z6" s="1">
        <v>1165</v>
      </c>
      <c r="AA6" s="1">
        <v>1121</v>
      </c>
      <c r="AB6" s="1">
        <v>1171</v>
      </c>
      <c r="AC6" s="1">
        <v>1127</v>
      </c>
      <c r="AD6" s="1">
        <v>1169</v>
      </c>
      <c r="AE6" s="1">
        <v>1125</v>
      </c>
      <c r="AF6" s="1">
        <v>1172</v>
      </c>
      <c r="AG6" s="1">
        <v>1129</v>
      </c>
      <c r="AH6" s="1">
        <v>9121</v>
      </c>
      <c r="AI6" s="1">
        <v>9123</v>
      </c>
      <c r="AJ6" s="1"/>
      <c r="AM6" s="50" t="s">
        <v>54</v>
      </c>
    </row>
    <row r="7" spans="1:40">
      <c r="A7" s="4" t="s">
        <v>55</v>
      </c>
      <c r="B7" s="4" t="s">
        <v>25</v>
      </c>
      <c r="C7" s="5"/>
      <c r="D7" s="5">
        <v>0.1875</v>
      </c>
      <c r="E7" s="5"/>
      <c r="F7" s="5">
        <v>0.21527777777777779</v>
      </c>
      <c r="G7" s="5"/>
      <c r="H7" s="5">
        <v>0.22222222222222221</v>
      </c>
      <c r="I7" s="5"/>
      <c r="J7" s="5">
        <v>0.26527777777777778</v>
      </c>
      <c r="K7" s="5"/>
      <c r="L7" s="5">
        <v>0.27916666666666667</v>
      </c>
      <c r="M7" s="5"/>
      <c r="N7" s="5" t="e">
        <f>M19</f>
        <v>#REF!</v>
      </c>
      <c r="O7" s="5"/>
      <c r="P7" s="5">
        <v>0.33680555555555558</v>
      </c>
      <c r="Q7" s="5"/>
      <c r="R7" s="5">
        <v>0.3611111111111111</v>
      </c>
      <c r="S7" s="5">
        <v>0.4375</v>
      </c>
      <c r="T7" s="5">
        <v>0.51388888888888884</v>
      </c>
      <c r="U7" s="5">
        <v>0.59027777777777779</v>
      </c>
      <c r="V7" s="5">
        <v>0.62847222222222221</v>
      </c>
      <c r="W7" s="5">
        <v>0.63541666666666663</v>
      </c>
      <c r="X7" s="5">
        <v>0.66319444444444442</v>
      </c>
      <c r="Y7" s="4"/>
      <c r="Z7" s="5">
        <v>0.67013888888888884</v>
      </c>
      <c r="AA7" s="5"/>
      <c r="AB7" s="5">
        <v>0.70486111111111116</v>
      </c>
      <c r="AC7" s="5"/>
      <c r="AD7" s="5" t="e">
        <f>AB14</f>
        <v>#REF!</v>
      </c>
      <c r="AE7" s="5"/>
      <c r="AF7" s="5">
        <v>0.75</v>
      </c>
      <c r="AG7" s="5"/>
      <c r="AH7" s="51" t="e">
        <f t="shared" ref="AH7:AI7" si="0">AH8-#REF!</f>
        <v>#REF!</v>
      </c>
      <c r="AI7" s="51" t="e">
        <f t="shared" si="0"/>
        <v>#REF!</v>
      </c>
      <c r="AJ7" s="52"/>
      <c r="AL7" s="53"/>
      <c r="AM7" s="50" t="s">
        <v>56</v>
      </c>
      <c r="AN7" s="50" t="s">
        <v>57</v>
      </c>
    </row>
    <row r="8" spans="1:40">
      <c r="A8" s="6" t="s">
        <v>58</v>
      </c>
      <c r="B8" s="6" t="s">
        <v>59</v>
      </c>
      <c r="C8" s="7"/>
      <c r="D8" s="7">
        <v>0.18958333333333333</v>
      </c>
      <c r="E8" s="7"/>
      <c r="F8" s="7" t="e">
        <f>F7+#REF!+TIME(0,1,0)</f>
        <v>#REF!</v>
      </c>
      <c r="G8" s="7"/>
      <c r="H8" s="7" t="e">
        <f t="shared" ref="H8:H14" si="1">H7+#REF!</f>
        <v>#REF!</v>
      </c>
      <c r="I8" s="54"/>
      <c r="J8" s="7" t="e">
        <f t="shared" ref="J8:J14" si="2">J7+#REF!</f>
        <v>#REF!</v>
      </c>
      <c r="K8" s="7"/>
      <c r="L8" s="7">
        <v>0.28055555555555561</v>
      </c>
      <c r="M8" s="7"/>
      <c r="N8" s="7" t="e">
        <f>N7+#REF!+TIME(0,1,0)</f>
        <v>#REF!</v>
      </c>
      <c r="O8" s="7"/>
      <c r="P8" s="7">
        <v>0.33888888888888896</v>
      </c>
      <c r="Q8" s="7"/>
      <c r="R8" s="7" t="e">
        <f t="shared" ref="R8:X8" si="3">R7+#REF!</f>
        <v>#REF!</v>
      </c>
      <c r="S8" s="7" t="e">
        <f t="shared" si="3"/>
        <v>#REF!</v>
      </c>
      <c r="T8" s="7" t="e">
        <f t="shared" si="3"/>
        <v>#REF!</v>
      </c>
      <c r="U8" s="7" t="e">
        <f t="shared" si="3"/>
        <v>#REF!</v>
      </c>
      <c r="V8" s="7" t="e">
        <f t="shared" si="3"/>
        <v>#REF!</v>
      </c>
      <c r="W8" s="7" t="e">
        <f t="shared" si="3"/>
        <v>#REF!</v>
      </c>
      <c r="X8" s="7" t="e">
        <f t="shared" si="3"/>
        <v>#REF!</v>
      </c>
      <c r="Z8" s="7" t="e">
        <f t="shared" ref="Z8:Z13" si="4">Z7+#REF!</f>
        <v>#REF!</v>
      </c>
      <c r="AA8" s="7"/>
      <c r="AB8" s="7" t="e">
        <f t="shared" ref="AB8:AB13" si="5">AB7+#REF!</f>
        <v>#REF!</v>
      </c>
      <c r="AC8" s="7"/>
      <c r="AD8" s="7" t="e">
        <f>AD7+#REF!+TIME(0,1,0)</f>
        <v>#REF!</v>
      </c>
      <c r="AE8" s="7"/>
      <c r="AF8" s="7" t="e">
        <f>AF7+#REF!+TIME(0,1,0)</f>
        <v>#REF!</v>
      </c>
      <c r="AG8" s="7"/>
      <c r="AH8" s="7">
        <v>0.76388888888888884</v>
      </c>
      <c r="AI8" s="7">
        <v>0.80902777777777779</v>
      </c>
      <c r="AJ8" s="52"/>
      <c r="AL8" s="55" t="str">
        <f>'PTA-to-PIEN_Weekday'!A3</f>
        <v xml:space="preserve">PRETORIA </v>
      </c>
      <c r="AM8" s="56">
        <v>0</v>
      </c>
      <c r="AN8" s="56">
        <v>0</v>
      </c>
    </row>
    <row r="9" spans="1:40">
      <c r="A9" s="6" t="s">
        <v>60</v>
      </c>
      <c r="B9" s="6" t="s">
        <v>61</v>
      </c>
      <c r="C9" s="7"/>
      <c r="D9" s="7">
        <v>0.19097222222222221</v>
      </c>
      <c r="E9" s="7"/>
      <c r="F9" s="7" t="e">
        <f t="shared" ref="F9:F13" si="6">F8+#REF!</f>
        <v>#REF!</v>
      </c>
      <c r="G9" s="7"/>
      <c r="H9" s="7" t="e">
        <f t="shared" si="1"/>
        <v>#REF!</v>
      </c>
      <c r="I9" s="54"/>
      <c r="J9" s="7" t="e">
        <f t="shared" si="2"/>
        <v>#REF!</v>
      </c>
      <c r="K9" s="7"/>
      <c r="L9" s="7">
        <v>0.2819444444444445</v>
      </c>
      <c r="M9" s="7"/>
      <c r="N9" s="7" t="e">
        <f t="shared" ref="N9:N14" si="7">N8+#REF!</f>
        <v>#REF!</v>
      </c>
      <c r="O9" s="7"/>
      <c r="P9" s="7">
        <v>0.34027777777777785</v>
      </c>
      <c r="Q9" s="7"/>
      <c r="R9" s="7" t="e">
        <f t="shared" ref="R9:X9" si="8">R8+#REF!</f>
        <v>#REF!</v>
      </c>
      <c r="S9" s="7" t="e">
        <f t="shared" si="8"/>
        <v>#REF!</v>
      </c>
      <c r="T9" s="7" t="e">
        <f t="shared" si="8"/>
        <v>#REF!</v>
      </c>
      <c r="U9" s="7" t="e">
        <f t="shared" si="8"/>
        <v>#REF!</v>
      </c>
      <c r="V9" s="7" t="e">
        <f t="shared" si="8"/>
        <v>#REF!</v>
      </c>
      <c r="W9" s="7" t="e">
        <f t="shared" si="8"/>
        <v>#REF!</v>
      </c>
      <c r="X9" s="7" t="e">
        <f t="shared" si="8"/>
        <v>#REF!</v>
      </c>
      <c r="Z9" s="7" t="e">
        <f t="shared" si="4"/>
        <v>#REF!</v>
      </c>
      <c r="AA9" s="7"/>
      <c r="AB9" s="7" t="e">
        <f t="shared" si="5"/>
        <v>#REF!</v>
      </c>
      <c r="AC9" s="7"/>
      <c r="AD9" s="7" t="e">
        <f t="shared" ref="AD9:AD14" si="9">AD8+#REF!</f>
        <v>#REF!</v>
      </c>
      <c r="AE9" s="7"/>
      <c r="AF9" s="7" t="e">
        <f t="shared" ref="AF9:AF10" si="10">AF8+#REF!</f>
        <v>#REF!</v>
      </c>
      <c r="AG9" s="7"/>
      <c r="AH9" s="7" t="e">
        <f t="shared" ref="AH9:AI9" si="11">AH8+#REF!</f>
        <v>#REF!</v>
      </c>
      <c r="AI9" s="7" t="e">
        <f t="shared" si="11"/>
        <v>#REF!</v>
      </c>
      <c r="AJ9" s="52"/>
      <c r="AL9" s="55" t="str">
        <f>'PTA-to-PIEN_Weekday'!A4</f>
        <v xml:space="preserve">MEARS STREET </v>
      </c>
      <c r="AM9" s="56">
        <v>2.0833333333333398E-3</v>
      </c>
      <c r="AN9" s="56">
        <v>2.0833333333333814E-3</v>
      </c>
    </row>
    <row r="10" spans="1:40">
      <c r="A10" s="6" t="s">
        <v>62</v>
      </c>
      <c r="B10" s="6" t="s">
        <v>63</v>
      </c>
      <c r="C10" s="7"/>
      <c r="D10" s="7">
        <v>0.19236111111111109</v>
      </c>
      <c r="E10" s="7"/>
      <c r="F10" s="7" t="e">
        <f t="shared" si="6"/>
        <v>#REF!</v>
      </c>
      <c r="G10" s="7"/>
      <c r="H10" s="7" t="e">
        <f t="shared" si="1"/>
        <v>#REF!</v>
      </c>
      <c r="I10" s="54"/>
      <c r="J10" s="7" t="e">
        <f t="shared" si="2"/>
        <v>#REF!</v>
      </c>
      <c r="K10" s="7"/>
      <c r="L10" s="7">
        <v>0.28333333333333338</v>
      </c>
      <c r="M10" s="7"/>
      <c r="N10" s="7" t="e">
        <f t="shared" si="7"/>
        <v>#REF!</v>
      </c>
      <c r="O10" s="7"/>
      <c r="P10" s="7">
        <v>0.34166666666666673</v>
      </c>
      <c r="Q10" s="7"/>
      <c r="R10" s="7" t="e">
        <f t="shared" ref="R10:X10" si="12">R9+#REF!</f>
        <v>#REF!</v>
      </c>
      <c r="S10" s="7" t="e">
        <f t="shared" si="12"/>
        <v>#REF!</v>
      </c>
      <c r="T10" s="7" t="e">
        <f t="shared" si="12"/>
        <v>#REF!</v>
      </c>
      <c r="U10" s="7" t="e">
        <f t="shared" si="12"/>
        <v>#REF!</v>
      </c>
      <c r="V10" s="7" t="e">
        <f t="shared" si="12"/>
        <v>#REF!</v>
      </c>
      <c r="W10" s="7" t="e">
        <f t="shared" si="12"/>
        <v>#REF!</v>
      </c>
      <c r="X10" s="7" t="e">
        <f t="shared" si="12"/>
        <v>#REF!</v>
      </c>
      <c r="Z10" s="7" t="e">
        <f t="shared" si="4"/>
        <v>#REF!</v>
      </c>
      <c r="AA10" s="7"/>
      <c r="AB10" s="7" t="e">
        <f t="shared" si="5"/>
        <v>#REF!</v>
      </c>
      <c r="AC10" s="7"/>
      <c r="AD10" s="7" t="e">
        <f t="shared" si="9"/>
        <v>#REF!</v>
      </c>
      <c r="AE10" s="7"/>
      <c r="AF10" s="7" t="e">
        <f t="shared" si="10"/>
        <v>#REF!</v>
      </c>
      <c r="AG10" s="7"/>
      <c r="AH10" s="7" t="e">
        <f>AH9+#REF!+TIME(0,1,0)</f>
        <v>#REF!</v>
      </c>
      <c r="AI10" s="7" t="e">
        <f t="shared" ref="AI10:AI11" si="13">AI9+#REF!</f>
        <v>#REF!</v>
      </c>
      <c r="AJ10" s="52"/>
      <c r="AL10" s="55" t="str">
        <f>'PTA-to-PIEN_Weekday'!A5</f>
        <v xml:space="preserve">DEVENISH STREET </v>
      </c>
      <c r="AM10" s="56">
        <v>1.388888888888884E-3</v>
      </c>
      <c r="AN10" s="56">
        <v>1.388888888888884E-3</v>
      </c>
    </row>
    <row r="11" spans="1:40">
      <c r="A11" s="6" t="s">
        <v>64</v>
      </c>
      <c r="B11" s="6" t="s">
        <v>65</v>
      </c>
      <c r="C11" s="7"/>
      <c r="D11" s="7">
        <v>0.19444444444444442</v>
      </c>
      <c r="E11" s="7"/>
      <c r="F11" s="7" t="e">
        <f t="shared" si="6"/>
        <v>#REF!</v>
      </c>
      <c r="G11" s="7"/>
      <c r="H11" s="7" t="e">
        <f t="shared" si="1"/>
        <v>#REF!</v>
      </c>
      <c r="I11" s="54"/>
      <c r="J11" s="7" t="e">
        <f t="shared" si="2"/>
        <v>#REF!</v>
      </c>
      <c r="K11" s="7"/>
      <c r="L11" s="7">
        <v>0.28541666666666671</v>
      </c>
      <c r="M11" s="7"/>
      <c r="N11" s="7" t="e">
        <f t="shared" si="7"/>
        <v>#REF!</v>
      </c>
      <c r="O11" s="7"/>
      <c r="P11" s="7">
        <v>0.34375000000000006</v>
      </c>
      <c r="Q11" s="7"/>
      <c r="R11" s="7" t="e">
        <f t="shared" ref="R11:X11" si="14">R10+#REF!</f>
        <v>#REF!</v>
      </c>
      <c r="S11" s="7" t="e">
        <f t="shared" si="14"/>
        <v>#REF!</v>
      </c>
      <c r="T11" s="7" t="e">
        <f t="shared" si="14"/>
        <v>#REF!</v>
      </c>
      <c r="U11" s="7" t="e">
        <f t="shared" si="14"/>
        <v>#REF!</v>
      </c>
      <c r="V11" s="7" t="e">
        <f t="shared" si="14"/>
        <v>#REF!</v>
      </c>
      <c r="W11" s="7" t="e">
        <f t="shared" si="14"/>
        <v>#REF!</v>
      </c>
      <c r="X11" s="7" t="e">
        <f t="shared" si="14"/>
        <v>#REF!</v>
      </c>
      <c r="Z11" s="7" t="e">
        <f t="shared" si="4"/>
        <v>#REF!</v>
      </c>
      <c r="AA11" s="7"/>
      <c r="AB11" s="7" t="e">
        <f t="shared" si="5"/>
        <v>#REF!</v>
      </c>
      <c r="AC11" s="7"/>
      <c r="AD11" s="7" t="e">
        <f t="shared" si="9"/>
        <v>#REF!</v>
      </c>
      <c r="AE11" s="7"/>
      <c r="AF11" s="7" t="e">
        <f>AF10+#REF!-TIME(0,1,0)</f>
        <v>#REF!</v>
      </c>
      <c r="AG11" s="7"/>
      <c r="AH11" s="7" t="e">
        <f>AH10+#REF!-TIME(0,1,0)</f>
        <v>#REF!</v>
      </c>
      <c r="AI11" s="7" t="e">
        <f t="shared" si="13"/>
        <v>#REF!</v>
      </c>
      <c r="AJ11" s="52"/>
      <c r="AL11" s="55" t="str">
        <f>'PTA-to-PIEN_Weekday'!A6</f>
        <v xml:space="preserve">WALKER STREET </v>
      </c>
      <c r="AM11" s="56">
        <v>1.388888888888884E-3</v>
      </c>
      <c r="AN11" s="56">
        <v>1.388888888888884E-3</v>
      </c>
    </row>
    <row r="12" spans="1:40">
      <c r="A12" s="6" t="s">
        <v>66</v>
      </c>
      <c r="B12" s="6" t="s">
        <v>67</v>
      </c>
      <c r="C12" s="7"/>
      <c r="D12" s="7">
        <v>0.1958333333333333</v>
      </c>
      <c r="E12" s="7"/>
      <c r="F12" s="7" t="e">
        <f t="shared" si="6"/>
        <v>#REF!</v>
      </c>
      <c r="G12" s="7"/>
      <c r="H12" s="7" t="e">
        <f t="shared" si="1"/>
        <v>#REF!</v>
      </c>
      <c r="I12" s="54"/>
      <c r="J12" s="7" t="e">
        <f t="shared" si="2"/>
        <v>#REF!</v>
      </c>
      <c r="K12" s="7"/>
      <c r="L12" s="7">
        <v>0.28680555555555559</v>
      </c>
      <c r="M12" s="7"/>
      <c r="N12" s="7" t="e">
        <f t="shared" si="7"/>
        <v>#REF!</v>
      </c>
      <c r="O12" s="7"/>
      <c r="P12" s="7">
        <v>0.34583333333333338</v>
      </c>
      <c r="Q12" s="7"/>
      <c r="R12" s="7" t="e">
        <f t="shared" ref="R12:X12" si="15">R11+#REF!</f>
        <v>#REF!</v>
      </c>
      <c r="S12" s="7" t="e">
        <f t="shared" si="15"/>
        <v>#REF!</v>
      </c>
      <c r="T12" s="7" t="e">
        <f t="shared" si="15"/>
        <v>#REF!</v>
      </c>
      <c r="U12" s="7" t="e">
        <f t="shared" si="15"/>
        <v>#REF!</v>
      </c>
      <c r="V12" s="7" t="e">
        <f t="shared" si="15"/>
        <v>#REF!</v>
      </c>
      <c r="W12" s="7" t="e">
        <f t="shared" si="15"/>
        <v>#REF!</v>
      </c>
      <c r="X12" s="7" t="e">
        <f t="shared" si="15"/>
        <v>#REF!</v>
      </c>
      <c r="Z12" s="7" t="e">
        <f t="shared" si="4"/>
        <v>#REF!</v>
      </c>
      <c r="AA12" s="7"/>
      <c r="AB12" s="7" t="e">
        <f t="shared" si="5"/>
        <v>#REF!</v>
      </c>
      <c r="AC12" s="7"/>
      <c r="AD12" s="7" t="e">
        <f t="shared" si="9"/>
        <v>#REF!</v>
      </c>
      <c r="AE12" s="7"/>
      <c r="AF12" s="7" t="e">
        <f>AF11+#REF!+TIME(0,1,0)</f>
        <v>#REF!</v>
      </c>
      <c r="AG12" s="7"/>
      <c r="AH12" s="7" t="e">
        <f t="shared" ref="AH12:AI12" si="16">AH11+#REF!+TIME(0,1,0)</f>
        <v>#REF!</v>
      </c>
      <c r="AI12" s="7" t="e">
        <f t="shared" si="16"/>
        <v>#REF!</v>
      </c>
      <c r="AJ12" s="52"/>
      <c r="AL12" s="55" t="str">
        <f>'PTA-to-PIEN_Weekday'!A7</f>
        <v xml:space="preserve">LOFTUS VERSFELD PARK </v>
      </c>
      <c r="AM12" s="56">
        <v>2.0833333333333398E-3</v>
      </c>
      <c r="AN12" s="56">
        <v>2.0833333333333259E-3</v>
      </c>
    </row>
    <row r="13" spans="1:40">
      <c r="A13" s="6" t="s">
        <v>68</v>
      </c>
      <c r="B13" s="6" t="s">
        <v>69</v>
      </c>
      <c r="C13" s="7"/>
      <c r="D13" s="7">
        <v>0.19791666666666663</v>
      </c>
      <c r="E13" s="7"/>
      <c r="F13" s="7" t="e">
        <f t="shared" si="6"/>
        <v>#REF!</v>
      </c>
      <c r="G13" s="7"/>
      <c r="H13" s="7" t="e">
        <f t="shared" si="1"/>
        <v>#REF!</v>
      </c>
      <c r="I13" s="54"/>
      <c r="J13" s="7" t="e">
        <f t="shared" si="2"/>
        <v>#REF!</v>
      </c>
      <c r="K13" s="7"/>
      <c r="L13" s="7">
        <v>0.28819444444444448</v>
      </c>
      <c r="M13" s="7"/>
      <c r="N13" s="7" t="e">
        <f t="shared" si="7"/>
        <v>#REF!</v>
      </c>
      <c r="O13" s="7"/>
      <c r="P13" s="7">
        <v>0.34722222222222227</v>
      </c>
      <c r="Q13" s="7"/>
      <c r="R13" s="7" t="e">
        <f>R12+#REF!-TIME(0,1,0)</f>
        <v>#REF!</v>
      </c>
      <c r="S13" s="7" t="e">
        <f t="shared" ref="S13:X13" si="17">S12+#REF!</f>
        <v>#REF!</v>
      </c>
      <c r="T13" s="7" t="e">
        <f t="shared" si="17"/>
        <v>#REF!</v>
      </c>
      <c r="U13" s="7" t="e">
        <f t="shared" si="17"/>
        <v>#REF!</v>
      </c>
      <c r="V13" s="7" t="e">
        <f t="shared" si="17"/>
        <v>#REF!</v>
      </c>
      <c r="W13" s="7" t="e">
        <f t="shared" si="17"/>
        <v>#REF!</v>
      </c>
      <c r="X13" s="7" t="e">
        <f t="shared" si="17"/>
        <v>#REF!</v>
      </c>
      <c r="Z13" s="7" t="e">
        <f t="shared" si="4"/>
        <v>#REF!</v>
      </c>
      <c r="AA13" s="7"/>
      <c r="AB13" s="7" t="e">
        <f t="shared" si="5"/>
        <v>#REF!</v>
      </c>
      <c r="AC13" s="7"/>
      <c r="AD13" s="7" t="e">
        <f t="shared" si="9"/>
        <v>#REF!</v>
      </c>
      <c r="AE13" s="7"/>
      <c r="AF13" s="7" t="e">
        <f t="shared" ref="AF13:AF14" si="18">AF12+#REF!</f>
        <v>#REF!</v>
      </c>
      <c r="AG13" s="7"/>
      <c r="AH13" s="7" t="e">
        <f t="shared" ref="AH13:AH20" si="19">AH12+#REF!</f>
        <v>#REF!</v>
      </c>
      <c r="AI13" s="7" t="e">
        <f>AI12+#REF!+TIME(0,1,0)</f>
        <v>#REF!</v>
      </c>
      <c r="AJ13" s="52"/>
      <c r="AL13" s="55" t="str">
        <f>'PTA-to-PIEN_Weekday'!A8</f>
        <v xml:space="preserve">RISSIK </v>
      </c>
      <c r="AM13" s="56">
        <v>1.388888888888884E-3</v>
      </c>
      <c r="AN13" s="56">
        <v>1.388888888888884E-3</v>
      </c>
    </row>
    <row r="14" spans="1:40">
      <c r="A14" s="57" t="s">
        <v>70</v>
      </c>
      <c r="B14" s="58" t="s">
        <v>71</v>
      </c>
      <c r="C14" s="59">
        <v>0.19097222222222221</v>
      </c>
      <c r="D14" s="59">
        <v>0.2013888888888889</v>
      </c>
      <c r="E14" s="59">
        <v>0.21180555555555555</v>
      </c>
      <c r="F14" s="59" t="e">
        <f>F13+#REF!+TIME(0,1,0)</f>
        <v>#REF!</v>
      </c>
      <c r="G14" s="59">
        <v>0.23958333333333334</v>
      </c>
      <c r="H14" s="59" t="e">
        <f t="shared" si="1"/>
        <v>#REF!</v>
      </c>
      <c r="I14" s="60">
        <v>0.25</v>
      </c>
      <c r="J14" s="59" t="e">
        <f t="shared" si="2"/>
        <v>#REF!</v>
      </c>
      <c r="K14" s="59">
        <v>0.28819444444444442</v>
      </c>
      <c r="L14" s="59">
        <v>0.29166666666666669</v>
      </c>
      <c r="M14" s="59">
        <v>0.30208333333333331</v>
      </c>
      <c r="N14" s="59" t="e">
        <f t="shared" si="7"/>
        <v>#REF!</v>
      </c>
      <c r="O14" s="59">
        <v>0.33680555555555558</v>
      </c>
      <c r="P14" s="59">
        <v>0.35069444444444448</v>
      </c>
      <c r="Q14" s="59">
        <v>0.3576388888888889</v>
      </c>
      <c r="R14" s="59" t="e">
        <f>R13+#REF!+TIME(0,1,0)</f>
        <v>#REF!</v>
      </c>
      <c r="S14" s="59" t="e">
        <f t="shared" ref="S14:W14" si="20">S13+#REF!</f>
        <v>#REF!</v>
      </c>
      <c r="T14" s="59" t="e">
        <f t="shared" si="20"/>
        <v>#REF!</v>
      </c>
      <c r="U14" s="59" t="e">
        <f t="shared" si="20"/>
        <v>#REF!</v>
      </c>
      <c r="V14" s="59" t="e">
        <f t="shared" si="20"/>
        <v>#REF!</v>
      </c>
      <c r="W14" s="59" t="e">
        <f t="shared" si="20"/>
        <v>#REF!</v>
      </c>
      <c r="X14" s="59" t="e">
        <f>X13+#REF!+TIME(0,2,0)</f>
        <v>#REF!</v>
      </c>
      <c r="Y14" s="59" t="e">
        <f>Z14</f>
        <v>#REF!</v>
      </c>
      <c r="Z14" s="59" t="e">
        <f>Z13+#REF!+TIME(0,2,0)</f>
        <v>#REF!</v>
      </c>
      <c r="AA14" s="59">
        <v>0.6909722222222221</v>
      </c>
      <c r="AB14" s="59" t="e">
        <f>AB13+#REF!+TIME(0,1,0)+TIME(0,1,0)</f>
        <v>#REF!</v>
      </c>
      <c r="AC14" s="59">
        <v>0.72569444444444442</v>
      </c>
      <c r="AD14" s="59" t="e">
        <f t="shared" si="9"/>
        <v>#REF!</v>
      </c>
      <c r="AE14" s="59">
        <v>0.73958333333333337</v>
      </c>
      <c r="AF14" s="59" t="e">
        <f t="shared" si="18"/>
        <v>#REF!</v>
      </c>
      <c r="AG14" s="59">
        <v>0.77083333333333337</v>
      </c>
      <c r="AH14" s="59" t="e">
        <f t="shared" si="19"/>
        <v>#REF!</v>
      </c>
      <c r="AI14" s="59" t="e">
        <f>AI13+#REF!+TIME(0,1,0)+TIME(0,1,0)</f>
        <v>#REF!</v>
      </c>
      <c r="AJ14" s="52"/>
      <c r="AL14" s="55" t="str">
        <f>'PTA-to-PIEN_Weekday'!A9</f>
        <v xml:space="preserve">HARTBEESSPRUIT </v>
      </c>
      <c r="AM14" s="56">
        <v>2.0833333333333259E-3</v>
      </c>
      <c r="AN14" s="56">
        <v>1.388888888888884E-3</v>
      </c>
    </row>
    <row r="15" spans="1:40">
      <c r="A15" s="6" t="s">
        <v>72</v>
      </c>
      <c r="B15" s="6" t="s">
        <v>73</v>
      </c>
      <c r="C15" s="7">
        <v>0.19236111111111109</v>
      </c>
      <c r="E15" s="7" t="e">
        <f>E14+#REF!-TIME(0,1,0)</f>
        <v>#REF!</v>
      </c>
      <c r="F15" s="7"/>
      <c r="G15" s="7" t="e">
        <f t="shared" ref="G15:G16" si="21">G14+#REF!</f>
        <v>#REF!</v>
      </c>
      <c r="H15" s="7"/>
      <c r="I15" s="54">
        <v>0.25277777777777777</v>
      </c>
      <c r="J15" s="7"/>
      <c r="K15" s="7">
        <v>0.29027777777777775</v>
      </c>
      <c r="L15" s="7"/>
      <c r="M15" s="7" t="e">
        <f t="shared" ref="M15:M16" si="22">M14+#REF!</f>
        <v>#REF!</v>
      </c>
      <c r="N15" s="7"/>
      <c r="O15" s="7">
        <v>0.33819444444444446</v>
      </c>
      <c r="P15" s="7"/>
      <c r="Q15" s="7" t="e">
        <f>Q14+#REF!-TIME(0,1,0)</f>
        <v>#REF!</v>
      </c>
      <c r="R15" s="7" t="e">
        <f t="shared" ref="R15:W15" si="23">R14+#REF!</f>
        <v>#REF!</v>
      </c>
      <c r="S15" s="7" t="e">
        <f t="shared" si="23"/>
        <v>#REF!</v>
      </c>
      <c r="T15" s="7" t="e">
        <f t="shared" si="23"/>
        <v>#REF!</v>
      </c>
      <c r="U15" s="7" t="e">
        <f t="shared" si="23"/>
        <v>#REF!</v>
      </c>
      <c r="V15" s="7" t="e">
        <f t="shared" si="23"/>
        <v>#REF!</v>
      </c>
      <c r="W15" s="7" t="e">
        <f t="shared" si="23"/>
        <v>#REF!</v>
      </c>
      <c r="X15" s="7"/>
      <c r="Y15" s="7" t="e">
        <f>Y14+#REF!-TIME(0,2,0)</f>
        <v>#REF!</v>
      </c>
      <c r="AA15" s="7" t="e">
        <f>AA14+#REF!-TIME(0,2,0)</f>
        <v>#REF!</v>
      </c>
      <c r="AB15" s="7"/>
      <c r="AC15" s="7" t="e">
        <f t="shared" ref="AC15:AC16" si="24">AC14+#REF!</f>
        <v>#REF!</v>
      </c>
      <c r="AE15" s="7" t="e">
        <f t="shared" ref="AE15:AE16" si="25">AE14+#REF!</f>
        <v>#REF!</v>
      </c>
      <c r="AF15" s="7"/>
      <c r="AG15" s="7" t="e">
        <f>AG14+#REF!-TIME(0,1,0)</f>
        <v>#REF!</v>
      </c>
      <c r="AH15" s="7" t="e">
        <f t="shared" si="19"/>
        <v>#REF!</v>
      </c>
      <c r="AI15" s="7" t="e">
        <f>AI14+#REF!-TIME(0,1,0)</f>
        <v>#REF!</v>
      </c>
      <c r="AJ15" s="52"/>
      <c r="AL15" s="55" t="str">
        <f>'PTA-to-PIEN_Weekday'!A11</f>
        <v xml:space="preserve">KOEDOESPOORT </v>
      </c>
      <c r="AM15" s="56">
        <v>2.0833333333333814E-3</v>
      </c>
      <c r="AN15" s="56">
        <v>3.4722222222222099E-3</v>
      </c>
    </row>
    <row r="16" spans="1:40">
      <c r="A16" s="6" t="s">
        <v>74</v>
      </c>
      <c r="B16" s="6" t="s">
        <v>75</v>
      </c>
      <c r="C16" s="7">
        <v>0.19513888888888886</v>
      </c>
      <c r="E16" s="7" t="e">
        <f>E15+#REF!+TIME(0,1,0)</f>
        <v>#REF!</v>
      </c>
      <c r="F16" s="7"/>
      <c r="G16" s="7" t="e">
        <f t="shared" si="21"/>
        <v>#REF!</v>
      </c>
      <c r="I16" s="54">
        <v>0.25486111111111109</v>
      </c>
      <c r="J16" s="7"/>
      <c r="K16" s="7">
        <v>0.29236111111111107</v>
      </c>
      <c r="L16" s="7"/>
      <c r="M16" s="7" t="e">
        <f t="shared" si="22"/>
        <v>#REF!</v>
      </c>
      <c r="N16" s="7"/>
      <c r="O16" s="7">
        <v>0.34097222222222223</v>
      </c>
      <c r="P16" s="7"/>
      <c r="Q16" s="7" t="e">
        <f t="shared" ref="Q16:W16" si="26">Q15+#REF!</f>
        <v>#REF!</v>
      </c>
      <c r="R16" s="7" t="e">
        <f t="shared" si="26"/>
        <v>#REF!</v>
      </c>
      <c r="S16" s="7" t="e">
        <f t="shared" si="26"/>
        <v>#REF!</v>
      </c>
      <c r="T16" s="7" t="e">
        <f t="shared" si="26"/>
        <v>#REF!</v>
      </c>
      <c r="U16" s="7" t="e">
        <f t="shared" si="26"/>
        <v>#REF!</v>
      </c>
      <c r="V16" s="7" t="e">
        <f t="shared" si="26"/>
        <v>#REF!</v>
      </c>
      <c r="W16" s="7" t="e">
        <f t="shared" si="26"/>
        <v>#REF!</v>
      </c>
      <c r="X16" s="7"/>
      <c r="Y16" s="7" t="e">
        <f>Y15+#REF!+TIME(0,1,0)</f>
        <v>#REF!</v>
      </c>
      <c r="AA16" s="7" t="e">
        <f>AA15+#REF!+TIME(0,1,0)</f>
        <v>#REF!</v>
      </c>
      <c r="AB16" s="7"/>
      <c r="AC16" s="7" t="e">
        <f t="shared" si="24"/>
        <v>#REF!</v>
      </c>
      <c r="AE16" s="7" t="e">
        <f t="shared" si="25"/>
        <v>#REF!</v>
      </c>
      <c r="AF16" s="7"/>
      <c r="AG16" s="7" t="e">
        <f>AG15+#REF!+TIME(0,1,0)</f>
        <v>#REF!</v>
      </c>
      <c r="AH16" s="7" t="e">
        <f t="shared" si="19"/>
        <v>#REF!</v>
      </c>
      <c r="AI16" s="7" t="e">
        <f t="shared" ref="AI16:AI17" si="27">AI15+#REF!</f>
        <v>#REF!</v>
      </c>
      <c r="AJ16" s="52"/>
      <c r="AL16" s="55" t="str">
        <f>'PTA-to-PIEN_Weekday'!A12</f>
        <v xml:space="preserve">SILVERTON </v>
      </c>
      <c r="AM16" s="56">
        <v>2.7777777777777679E-3</v>
      </c>
      <c r="AN16" s="56">
        <v>2.0833333333333259E-3</v>
      </c>
    </row>
    <row r="17" spans="1:40">
      <c r="A17" s="6" t="s">
        <v>76</v>
      </c>
      <c r="B17" s="6" t="s">
        <v>77</v>
      </c>
      <c r="C17" s="7">
        <v>0.1965277777777778</v>
      </c>
      <c r="E17" s="7" t="e">
        <f>E16+#REF!-TIME(0,1,0)</f>
        <v>#REF!</v>
      </c>
      <c r="F17" s="7"/>
      <c r="G17" s="7" t="e">
        <f>G16+#REF!-TIME(0,1,0)</f>
        <v>#REF!</v>
      </c>
      <c r="I17" s="54">
        <v>0.25624999999999998</v>
      </c>
      <c r="J17" s="7"/>
      <c r="K17" s="7">
        <v>0.29375000000000001</v>
      </c>
      <c r="L17" s="7"/>
      <c r="M17" s="7" t="e">
        <f>M16+#REF!-TIME(0,1,0)</f>
        <v>#REF!</v>
      </c>
      <c r="N17" s="7"/>
      <c r="O17" s="7">
        <v>0.34236111111111117</v>
      </c>
      <c r="P17" s="7"/>
      <c r="Q17" s="7" t="e">
        <f t="shared" ref="Q17:W17" si="28">Q16+#REF!</f>
        <v>#REF!</v>
      </c>
      <c r="R17" s="7" t="e">
        <f t="shared" si="28"/>
        <v>#REF!</v>
      </c>
      <c r="S17" s="7" t="e">
        <f t="shared" si="28"/>
        <v>#REF!</v>
      </c>
      <c r="T17" s="7" t="e">
        <f t="shared" si="28"/>
        <v>#REF!</v>
      </c>
      <c r="U17" s="7" t="e">
        <f t="shared" si="28"/>
        <v>#REF!</v>
      </c>
      <c r="V17" s="7" t="e">
        <f t="shared" si="28"/>
        <v>#REF!</v>
      </c>
      <c r="W17" s="7" t="e">
        <f t="shared" si="28"/>
        <v>#REF!</v>
      </c>
      <c r="X17" s="7"/>
      <c r="Y17" s="7" t="e">
        <f>Y16+#REF!</f>
        <v>#REF!</v>
      </c>
      <c r="AA17" s="7" t="e">
        <f t="shared" ref="AA17:AA18" si="29">AA16+#REF!</f>
        <v>#REF!</v>
      </c>
      <c r="AB17" s="7"/>
      <c r="AC17" s="7" t="e">
        <f>AC16+#REF!-TIME(0,1,0)</f>
        <v>#REF!</v>
      </c>
      <c r="AE17" s="7" t="e">
        <f>AE16+#REF!-TIME(0,1,0)</f>
        <v>#REF!</v>
      </c>
      <c r="AF17" s="7"/>
      <c r="AG17" s="7" t="e">
        <f>AG16+#REF!-TIME(0,1,0)</f>
        <v>#REF!</v>
      </c>
      <c r="AH17" s="7" t="e">
        <f t="shared" si="19"/>
        <v>#REF!</v>
      </c>
      <c r="AI17" s="7" t="e">
        <f t="shared" si="27"/>
        <v>#REF!</v>
      </c>
      <c r="AJ17" s="52"/>
      <c r="AL17" s="55" t="str">
        <f>'PTA-to-PIEN_Weekday'!A14</f>
        <v xml:space="preserve">WALTOO </v>
      </c>
      <c r="AM17" s="56">
        <v>2.0833333333333398E-3</v>
      </c>
      <c r="AN17" s="56">
        <v>2.0833333333333259E-3</v>
      </c>
    </row>
    <row r="18" spans="1:40">
      <c r="A18" s="6" t="s">
        <v>78</v>
      </c>
      <c r="B18" s="6" t="s">
        <v>79</v>
      </c>
      <c r="C18" s="7">
        <v>0.19861111111111113</v>
      </c>
      <c r="E18" s="7" t="e">
        <f>E17+#REF!+TIME(0,1,0)</f>
        <v>#REF!</v>
      </c>
      <c r="F18" s="7"/>
      <c r="G18" s="7" t="e">
        <f t="shared" ref="G18:G20" si="30">G17+#REF!</f>
        <v>#REF!</v>
      </c>
      <c r="I18" s="54">
        <v>0.2583333333333333</v>
      </c>
      <c r="J18" s="7"/>
      <c r="K18" s="7">
        <v>0.29583333333333334</v>
      </c>
      <c r="L18" s="7"/>
      <c r="M18" s="7" t="e">
        <f t="shared" ref="M18:M19" si="31">M17+#REF!</f>
        <v>#REF!</v>
      </c>
      <c r="N18" s="7"/>
      <c r="O18" s="7">
        <v>0.3444444444444445</v>
      </c>
      <c r="P18" s="7"/>
      <c r="Q18" s="7" t="e">
        <f t="shared" ref="Q18:W18" si="32">Q17+#REF!</f>
        <v>#REF!</v>
      </c>
      <c r="R18" s="7" t="e">
        <f t="shared" si="32"/>
        <v>#REF!</v>
      </c>
      <c r="S18" s="7" t="e">
        <f t="shared" si="32"/>
        <v>#REF!</v>
      </c>
      <c r="T18" s="7" t="e">
        <f t="shared" si="32"/>
        <v>#REF!</v>
      </c>
      <c r="U18" s="7" t="e">
        <f t="shared" si="32"/>
        <v>#REF!</v>
      </c>
      <c r="V18" s="7" t="e">
        <f t="shared" si="32"/>
        <v>#REF!</v>
      </c>
      <c r="W18" s="7" t="e">
        <f t="shared" si="32"/>
        <v>#REF!</v>
      </c>
      <c r="X18" s="7"/>
      <c r="Y18" s="7" t="e">
        <f>Y17+#REF!+TIME(0,1,0)</f>
        <v>#REF!</v>
      </c>
      <c r="AA18" s="7" t="e">
        <f t="shared" si="29"/>
        <v>#REF!</v>
      </c>
      <c r="AB18" s="7"/>
      <c r="AC18" s="7" t="e">
        <f>AC17+#REF!+TIME(0,1,0)</f>
        <v>#REF!</v>
      </c>
      <c r="AE18" s="7" t="e">
        <f t="shared" ref="AE18:AE20" si="33">AE17+#REF!</f>
        <v>#REF!</v>
      </c>
      <c r="AF18" s="7"/>
      <c r="AG18" s="7" t="e">
        <f>AG17+#REF!+TIME(0,1,0)</f>
        <v>#REF!</v>
      </c>
      <c r="AH18" s="7" t="e">
        <f t="shared" si="19"/>
        <v>#REF!</v>
      </c>
      <c r="AI18" s="7" t="e">
        <f>AI17+#REF!+TIME(0,1,0)</f>
        <v>#REF!</v>
      </c>
      <c r="AJ18" s="52"/>
      <c r="AL18" s="55" t="str">
        <f>'PTA-to-PIEN_Weekday'!A15</f>
        <v xml:space="preserve">DENNEBOOM </v>
      </c>
      <c r="AM18" s="56">
        <v>1.388888888888884E-3</v>
      </c>
      <c r="AN18" s="56">
        <v>2.0833333333333814E-3</v>
      </c>
    </row>
    <row r="19" spans="1:40">
      <c r="A19" s="6" t="s">
        <v>80</v>
      </c>
      <c r="B19" s="6" t="s">
        <v>81</v>
      </c>
      <c r="C19" s="7">
        <v>0.2013888888888889</v>
      </c>
      <c r="E19" s="7" t="e">
        <f>E18+#REF!-TIME(0,1,0)</f>
        <v>#REF!</v>
      </c>
      <c r="F19" s="7"/>
      <c r="G19" s="7" t="e">
        <f t="shared" si="30"/>
        <v>#REF!</v>
      </c>
      <c r="I19" s="54">
        <v>0.26041666666666663</v>
      </c>
      <c r="J19" s="7"/>
      <c r="K19" s="7">
        <v>0.2986111111111111</v>
      </c>
      <c r="L19" s="7"/>
      <c r="M19" s="7" t="e">
        <f t="shared" si="31"/>
        <v>#REF!</v>
      </c>
      <c r="N19" s="7"/>
      <c r="O19" s="7">
        <v>0.34722222222222227</v>
      </c>
      <c r="P19" s="7"/>
      <c r="Q19" s="7" t="e">
        <f t="shared" ref="Q19:W19" si="34">Q18+#REF!</f>
        <v>#REF!</v>
      </c>
      <c r="R19" s="7" t="e">
        <f t="shared" si="34"/>
        <v>#REF!</v>
      </c>
      <c r="S19" s="7" t="e">
        <f t="shared" si="34"/>
        <v>#REF!</v>
      </c>
      <c r="T19" s="7" t="e">
        <f t="shared" si="34"/>
        <v>#REF!</v>
      </c>
      <c r="U19" s="7" t="e">
        <f t="shared" si="34"/>
        <v>#REF!</v>
      </c>
      <c r="V19" s="7" t="e">
        <f t="shared" si="34"/>
        <v>#REF!</v>
      </c>
      <c r="W19" s="7" t="e">
        <f t="shared" si="34"/>
        <v>#REF!</v>
      </c>
      <c r="X19" s="7"/>
      <c r="Y19" s="7" t="e">
        <f>Y18+#REF!</f>
        <v>#REF!</v>
      </c>
      <c r="AA19" s="7" t="e">
        <f>AA18+#REF!-TIME(0,1,0)</f>
        <v>#REF!</v>
      </c>
      <c r="AB19" s="7"/>
      <c r="AC19" s="7" t="e">
        <f>AC18+#REF!-TIME(0,1,0)</f>
        <v>#REF!</v>
      </c>
      <c r="AE19" s="7" t="e">
        <f t="shared" si="33"/>
        <v>#REF!</v>
      </c>
      <c r="AF19" s="7"/>
      <c r="AG19" s="7" t="e">
        <f>AG18+#REF!-TIME(0,1,0)</f>
        <v>#REF!</v>
      </c>
      <c r="AH19" s="7" t="e">
        <f t="shared" si="19"/>
        <v>#REF!</v>
      </c>
      <c r="AI19" s="7" t="e">
        <f>AI18+#REF!-TIME(0,1,0)</f>
        <v>#REF!</v>
      </c>
      <c r="AJ19" s="52"/>
      <c r="AL19" s="55" t="str">
        <f>'PTA-to-PIEN_Weekday'!A16</f>
        <v xml:space="preserve">EERSTE FABRIEKE </v>
      </c>
      <c r="AM19" s="56">
        <v>2.0833333333333259E-3</v>
      </c>
      <c r="AN19" s="56">
        <v>2.0833333333333259E-3</v>
      </c>
    </row>
    <row r="20" spans="1:40">
      <c r="A20" s="6" t="s">
        <v>82</v>
      </c>
      <c r="B20" s="6" t="s">
        <v>83</v>
      </c>
      <c r="C20" s="7">
        <v>0.20833333333333331</v>
      </c>
      <c r="E20" s="7"/>
      <c r="F20" s="7"/>
      <c r="G20" s="7" t="e">
        <f t="shared" si="30"/>
        <v>#REF!</v>
      </c>
      <c r="I20" s="54"/>
      <c r="J20" s="7"/>
      <c r="K20" s="7">
        <v>0.30555555555555552</v>
      </c>
      <c r="L20" s="7"/>
      <c r="M20" s="7"/>
      <c r="N20" s="7"/>
      <c r="O20" s="7">
        <v>0.35416666666666669</v>
      </c>
      <c r="P20" s="7"/>
      <c r="Q20" s="7"/>
      <c r="R20" s="7" t="e">
        <f t="shared" ref="R20:V20" si="35">R19+#REF!+TIME(0,5,0)</f>
        <v>#REF!</v>
      </c>
      <c r="S20" s="7" t="e">
        <f t="shared" si="35"/>
        <v>#REF!</v>
      </c>
      <c r="T20" s="7" t="e">
        <f t="shared" si="35"/>
        <v>#REF!</v>
      </c>
      <c r="U20" s="7" t="e">
        <f t="shared" si="35"/>
        <v>#REF!</v>
      </c>
      <c r="V20" s="7" t="e">
        <f t="shared" si="35"/>
        <v>#REF!</v>
      </c>
      <c r="W20" s="7"/>
      <c r="X20" s="7"/>
      <c r="Y20" s="7"/>
      <c r="AA20" s="7" t="e">
        <f>AA19+#REF!+TIME(0,5,0)</f>
        <v>#REF!</v>
      </c>
      <c r="AB20" s="7"/>
      <c r="AC20" s="7"/>
      <c r="AE20" s="7" t="e">
        <f t="shared" si="33"/>
        <v>#REF!</v>
      </c>
      <c r="AF20" s="7"/>
      <c r="AG20" s="7"/>
      <c r="AH20" s="7" t="e">
        <f t="shared" si="19"/>
        <v>#REF!</v>
      </c>
      <c r="AI20" s="7" t="e">
        <f>AI19+#REF!+TIME(0,5,0)</f>
        <v>#REF!</v>
      </c>
      <c r="AJ20" s="52"/>
      <c r="AL20" s="55" t="str">
        <f>'PTA-to-PIEN_Weekday'!A17</f>
        <v xml:space="preserve">MAMELODI GARDENS </v>
      </c>
      <c r="AM20" s="56">
        <v>3.4722222222222238E-3</v>
      </c>
      <c r="AN20" s="56">
        <v>2.7777777777777679E-3</v>
      </c>
    </row>
    <row r="21" spans="1:40">
      <c r="AL21" s="55" t="str">
        <f>'PTA-to-PIEN_Weekday'!A19</f>
        <v xml:space="preserve">PIENAARSPOORT </v>
      </c>
      <c r="AM21" s="56">
        <v>3.4722222222222099E-3</v>
      </c>
      <c r="AN21" s="56">
        <v>6.9444444444444198E-3</v>
      </c>
    </row>
    <row r="22" spans="1:40">
      <c r="AM22" s="6">
        <v>9</v>
      </c>
      <c r="AN22" s="6">
        <v>9</v>
      </c>
    </row>
    <row r="23" spans="1:40">
      <c r="A23" s="6" t="s">
        <v>84</v>
      </c>
    </row>
    <row r="26" spans="1:40">
      <c r="A26" s="61" t="s">
        <v>2</v>
      </c>
      <c r="B26" s="61" t="s">
        <v>3</v>
      </c>
      <c r="C26" s="61">
        <v>1100</v>
      </c>
      <c r="D26" s="62" t="s">
        <v>85</v>
      </c>
      <c r="E26" s="61">
        <v>1102</v>
      </c>
      <c r="F26" s="61">
        <v>1152</v>
      </c>
      <c r="G26" s="61">
        <v>1134</v>
      </c>
      <c r="H26" s="61">
        <v>1154</v>
      </c>
      <c r="I26" s="61">
        <v>1106</v>
      </c>
      <c r="J26" s="61">
        <v>1156</v>
      </c>
      <c r="K26" s="61">
        <v>1106</v>
      </c>
      <c r="L26" s="61">
        <v>1158</v>
      </c>
      <c r="M26" s="63">
        <v>1110</v>
      </c>
      <c r="N26" s="61">
        <v>1163</v>
      </c>
      <c r="O26" s="61">
        <v>1112</v>
      </c>
      <c r="P26" s="61">
        <v>1162</v>
      </c>
      <c r="Q26" s="61">
        <v>1114</v>
      </c>
      <c r="R26" s="61">
        <v>1154</v>
      </c>
      <c r="S26" s="61">
        <v>9108</v>
      </c>
      <c r="T26" s="61">
        <v>9106</v>
      </c>
      <c r="U26" s="61">
        <v>9110</v>
      </c>
      <c r="V26" s="61">
        <v>9112</v>
      </c>
      <c r="W26" s="61">
        <v>9154</v>
      </c>
      <c r="X26" s="61">
        <v>9116</v>
      </c>
      <c r="Y26" s="61">
        <v>1122</v>
      </c>
      <c r="Z26" s="61">
        <v>1120</v>
      </c>
      <c r="AA26" s="61">
        <v>1168</v>
      </c>
      <c r="AB26" s="61">
        <v>1166</v>
      </c>
      <c r="AC26" s="61">
        <v>1125</v>
      </c>
      <c r="AD26" s="61">
        <v>1124</v>
      </c>
      <c r="AE26" s="61">
        <v>1172</v>
      </c>
      <c r="AF26" s="61">
        <v>1170</v>
      </c>
      <c r="AG26" s="61">
        <v>1128</v>
      </c>
      <c r="AH26" s="61">
        <v>9122</v>
      </c>
      <c r="AI26" s="61">
        <v>1174</v>
      </c>
      <c r="AJ26" s="64"/>
      <c r="AL26" s="53"/>
      <c r="AM26" s="50" t="s">
        <v>86</v>
      </c>
      <c r="AN26" s="50" t="s">
        <v>54</v>
      </c>
    </row>
    <row r="27" spans="1:40">
      <c r="A27" s="4" t="s">
        <v>82</v>
      </c>
      <c r="B27" s="4" t="s">
        <v>83</v>
      </c>
      <c r="C27" s="5">
        <v>0.16666666666666666</v>
      </c>
      <c r="D27" s="5"/>
      <c r="E27" s="5"/>
      <c r="F27" s="5"/>
      <c r="G27" s="5">
        <v>0.21527777777777779</v>
      </c>
      <c r="H27" s="5"/>
      <c r="I27" s="4" t="s">
        <v>87</v>
      </c>
      <c r="J27" s="4" t="s">
        <v>87</v>
      </c>
      <c r="K27" s="5" t="e">
        <f>J40</f>
        <v>#REF!</v>
      </c>
      <c r="L27" s="5"/>
      <c r="M27" s="5"/>
      <c r="N27" s="5"/>
      <c r="O27" s="5">
        <v>0.3125</v>
      </c>
      <c r="P27" s="5"/>
      <c r="Q27" s="5"/>
      <c r="R27" s="5"/>
      <c r="S27" s="5">
        <v>0.3611111111111111</v>
      </c>
      <c r="T27" s="5"/>
      <c r="U27" s="5" t="e">
        <f>T40</f>
        <v>#REF!</v>
      </c>
      <c r="V27" s="5" t="e">
        <f>U40+TIME(1,5,0)</f>
        <v>#REF!</v>
      </c>
      <c r="W27" s="5">
        <v>0.55208333333333337</v>
      </c>
      <c r="X27" s="5">
        <v>0.62847222222222221</v>
      </c>
      <c r="Y27" s="5"/>
      <c r="Z27" s="5">
        <f>Y28</f>
        <v>0.66666666666666663</v>
      </c>
      <c r="AA27" s="5"/>
      <c r="AB27" s="5"/>
      <c r="AC27" s="5"/>
      <c r="AD27" s="5">
        <v>0.71527777777777779</v>
      </c>
      <c r="AE27" s="5"/>
      <c r="AF27" s="5"/>
      <c r="AG27" s="5"/>
      <c r="AH27" s="5" t="e">
        <f>AG33</f>
        <v>#REF!</v>
      </c>
      <c r="AI27" s="5"/>
      <c r="AJ27" s="52"/>
      <c r="AL27" s="55" t="str">
        <f>'PIEN-to-PTA_Weekday'!A3</f>
        <v xml:space="preserve">PIENAARSPOORT </v>
      </c>
      <c r="AM27" s="56">
        <v>0</v>
      </c>
      <c r="AN27" s="56">
        <v>0</v>
      </c>
    </row>
    <row r="28" spans="1:40">
      <c r="A28" s="6" t="s">
        <v>80</v>
      </c>
      <c r="B28" s="6" t="s">
        <v>81</v>
      </c>
      <c r="C28" s="7" t="e">
        <f t="shared" ref="C28:C33" si="36">C27+#REF!</f>
        <v>#REF!</v>
      </c>
      <c r="D28" s="7"/>
      <c r="E28" s="7">
        <v>0.19097222222222221</v>
      </c>
      <c r="F28" s="7"/>
      <c r="G28" s="7" t="e">
        <f t="shared" ref="G28:G33" si="37">G27+#REF!</f>
        <v>#REF!</v>
      </c>
      <c r="H28" s="7"/>
      <c r="I28" s="7" t="e">
        <f>G33</f>
        <v>#REF!</v>
      </c>
      <c r="J28" s="7"/>
      <c r="K28" s="7" t="e">
        <f t="shared" ref="K28:K33" si="38">K27+#REF!</f>
        <v>#REF!</v>
      </c>
      <c r="L28" s="7"/>
      <c r="M28" s="65">
        <v>0.2673611111111111</v>
      </c>
      <c r="N28" s="65"/>
      <c r="O28" s="7" t="e">
        <f t="shared" ref="O28:O33" si="39">O27+#REF!</f>
        <v>#REF!</v>
      </c>
      <c r="P28" s="7"/>
      <c r="Q28" s="7" t="e">
        <f>O33</f>
        <v>#REF!</v>
      </c>
      <c r="R28" s="7"/>
      <c r="S28" s="7" t="e">
        <f t="shared" ref="S28:S33" si="40">S27+#REF!</f>
        <v>#REF!</v>
      </c>
      <c r="T28" s="7">
        <v>0.375</v>
      </c>
      <c r="U28" s="7" t="e">
        <f t="shared" ref="U28:X28" si="41">U27+#REF!</f>
        <v>#REF!</v>
      </c>
      <c r="V28" s="7" t="e">
        <f t="shared" si="41"/>
        <v>#REF!</v>
      </c>
      <c r="W28" s="7" t="e">
        <f t="shared" si="41"/>
        <v>#REF!</v>
      </c>
      <c r="X28" s="7" t="e">
        <f t="shared" si="41"/>
        <v>#REF!</v>
      </c>
      <c r="Y28" s="7">
        <v>0.66666666666666663</v>
      </c>
      <c r="Z28" s="7" t="e">
        <f t="shared" ref="Z28:Z29" si="42">Z27+#REF!</f>
        <v>#REF!</v>
      </c>
      <c r="AA28" s="7"/>
      <c r="AB28" s="7"/>
      <c r="AC28" s="7" t="e">
        <f>AB40</f>
        <v>#REF!</v>
      </c>
      <c r="AD28" s="7" t="e">
        <f t="shared" ref="AD28:AD29" si="43">AD27+#REF!</f>
        <v>#REF!</v>
      </c>
      <c r="AE28" s="7"/>
      <c r="AF28" s="7"/>
      <c r="AG28" s="7">
        <v>0.75347222222222221</v>
      </c>
      <c r="AH28" s="7" t="e">
        <f t="shared" ref="AH28:AH29" si="44">AH27+#REF!</f>
        <v>#REF!</v>
      </c>
      <c r="AI28" s="7"/>
      <c r="AJ28" s="52"/>
      <c r="AL28" s="55" t="str">
        <f>'PIEN-to-PTA_Weekday'!A5</f>
        <v xml:space="preserve">MAMELODI GARDENS </v>
      </c>
      <c r="AM28" s="56">
        <v>6.2500000000000888E-3</v>
      </c>
      <c r="AN28" s="56">
        <v>6.2500000000000333E-3</v>
      </c>
    </row>
    <row r="29" spans="1:40">
      <c r="A29" s="6" t="s">
        <v>78</v>
      </c>
      <c r="B29" s="6" t="s">
        <v>79</v>
      </c>
      <c r="C29" s="7" t="e">
        <f t="shared" si="36"/>
        <v>#REF!</v>
      </c>
      <c r="D29" s="7"/>
      <c r="E29" s="7" t="e">
        <f>E28+#REF!-TIME(0,1,0)</f>
        <v>#REF!</v>
      </c>
      <c r="F29" s="7"/>
      <c r="G29" s="7" t="e">
        <f t="shared" si="37"/>
        <v>#REF!</v>
      </c>
      <c r="H29" s="7"/>
      <c r="I29" s="7" t="e">
        <f>I28+#REF!-TIME(0,1,0)</f>
        <v>#REF!</v>
      </c>
      <c r="J29" s="7"/>
      <c r="K29" s="7" t="e">
        <f t="shared" si="38"/>
        <v>#REF!</v>
      </c>
      <c r="L29" s="7"/>
      <c r="M29" s="65">
        <v>0.27013888888888887</v>
      </c>
      <c r="N29" s="65"/>
      <c r="O29" s="7" t="e">
        <f t="shared" si="39"/>
        <v>#REF!</v>
      </c>
      <c r="P29" s="7"/>
      <c r="Q29" s="7" t="e">
        <f>Q28+#REF!-TIME(0,1,0)</f>
        <v>#REF!</v>
      </c>
      <c r="R29" s="7"/>
      <c r="S29" s="7" t="e">
        <f t="shared" si="40"/>
        <v>#REF!</v>
      </c>
      <c r="T29" s="7" t="e">
        <f>T28+#REF!-TIME(0,1,0)</f>
        <v>#REF!</v>
      </c>
      <c r="U29" s="7" t="e">
        <f t="shared" ref="U29:X29" si="45">U28+#REF!</f>
        <v>#REF!</v>
      </c>
      <c r="V29" s="7" t="e">
        <f t="shared" si="45"/>
        <v>#REF!</v>
      </c>
      <c r="W29" s="7" t="e">
        <f t="shared" si="45"/>
        <v>#REF!</v>
      </c>
      <c r="X29" s="7" t="e">
        <f t="shared" si="45"/>
        <v>#REF!</v>
      </c>
      <c r="Y29" s="7" t="e">
        <f>Y28+#REF!-TIME(0,1,0)</f>
        <v>#REF!</v>
      </c>
      <c r="Z29" s="7" t="e">
        <f t="shared" si="42"/>
        <v>#REF!</v>
      </c>
      <c r="AA29" s="7"/>
      <c r="AB29" s="7"/>
      <c r="AC29" s="7" t="e">
        <f>AC28+#REF!-TIME(0,1,0)</f>
        <v>#REF!</v>
      </c>
      <c r="AD29" s="7" t="e">
        <f t="shared" si="43"/>
        <v>#REF!</v>
      </c>
      <c r="AE29" s="7"/>
      <c r="AF29" s="7"/>
      <c r="AG29" s="7" t="e">
        <f>AG28+#REF!-TIME(0,1,0)</f>
        <v>#REF!</v>
      </c>
      <c r="AH29" s="7" t="e">
        <f t="shared" si="44"/>
        <v>#REF!</v>
      </c>
      <c r="AI29" s="7"/>
      <c r="AJ29" s="52"/>
      <c r="AL29" s="55" t="str">
        <f>'PIEN-to-PTA_Weekday'!A6</f>
        <v xml:space="preserve">EERSTE FABRIEKE </v>
      </c>
      <c r="AM29" s="56">
        <v>9.7222222222222987E-3</v>
      </c>
      <c r="AN29" s="56">
        <v>3.4722222222222099E-3</v>
      </c>
    </row>
    <row r="30" spans="1:40">
      <c r="A30" s="6" t="s">
        <v>76</v>
      </c>
      <c r="B30" s="6" t="s">
        <v>77</v>
      </c>
      <c r="C30" s="7" t="e">
        <f t="shared" si="36"/>
        <v>#REF!</v>
      </c>
      <c r="D30" s="7"/>
      <c r="E30" s="7" t="e">
        <f t="shared" ref="E30:E33" si="46">E29+#REF!</f>
        <v>#REF!</v>
      </c>
      <c r="F30" s="7"/>
      <c r="G30" s="7" t="e">
        <f t="shared" si="37"/>
        <v>#REF!</v>
      </c>
      <c r="H30" s="7"/>
      <c r="I30" s="7" t="e">
        <f t="shared" ref="I30:I33" si="47">I29+#REF!</f>
        <v>#REF!</v>
      </c>
      <c r="J30" s="7"/>
      <c r="K30" s="7" t="e">
        <f t="shared" si="38"/>
        <v>#REF!</v>
      </c>
      <c r="L30" s="7"/>
      <c r="M30" s="65">
        <v>0.2722222222222222</v>
      </c>
      <c r="N30" s="65"/>
      <c r="O30" s="7" t="e">
        <f t="shared" si="39"/>
        <v>#REF!</v>
      </c>
      <c r="P30" s="7"/>
      <c r="Q30" s="7" t="e">
        <f t="shared" ref="Q30:Q33" si="48">Q29+#REF!</f>
        <v>#REF!</v>
      </c>
      <c r="R30" s="7"/>
      <c r="S30" s="7" t="e">
        <f t="shared" si="40"/>
        <v>#REF!</v>
      </c>
      <c r="T30" s="7" t="e">
        <f t="shared" ref="T30:Z30" si="49">T29+#REF!</f>
        <v>#REF!</v>
      </c>
      <c r="U30" s="7" t="e">
        <f t="shared" si="49"/>
        <v>#REF!</v>
      </c>
      <c r="V30" s="7" t="e">
        <f t="shared" si="49"/>
        <v>#REF!</v>
      </c>
      <c r="W30" s="7" t="e">
        <f t="shared" si="49"/>
        <v>#REF!</v>
      </c>
      <c r="X30" s="7" t="e">
        <f t="shared" si="49"/>
        <v>#REF!</v>
      </c>
      <c r="Y30" s="7" t="e">
        <f t="shared" si="49"/>
        <v>#REF!</v>
      </c>
      <c r="Z30" s="7" t="e">
        <f t="shared" si="49"/>
        <v>#REF!</v>
      </c>
      <c r="AA30" s="7"/>
      <c r="AB30" s="7"/>
      <c r="AC30" s="7" t="e">
        <f t="shared" ref="AC30:AD30" si="50">AC29+#REF!</f>
        <v>#REF!</v>
      </c>
      <c r="AD30" s="7" t="e">
        <f t="shared" si="50"/>
        <v>#REF!</v>
      </c>
      <c r="AE30" s="7"/>
      <c r="AF30" s="7"/>
      <c r="AG30" s="7" t="e">
        <f t="shared" ref="AG30:AH30" si="51">AG29+#REF!</f>
        <v>#REF!</v>
      </c>
      <c r="AH30" s="7" t="e">
        <f t="shared" si="51"/>
        <v>#REF!</v>
      </c>
      <c r="AI30" s="7"/>
      <c r="AJ30" s="52"/>
      <c r="AL30" s="55" t="str">
        <f>'PIEN-to-PTA_Weekday'!A7</f>
        <v xml:space="preserve">DENNEBOOM </v>
      </c>
      <c r="AM30" s="56">
        <v>1.1805555555555625E-2</v>
      </c>
      <c r="AN30" s="56">
        <v>2.0833333333333259E-3</v>
      </c>
    </row>
    <row r="31" spans="1:40">
      <c r="A31" s="6" t="s">
        <v>74</v>
      </c>
      <c r="B31" s="6" t="s">
        <v>75</v>
      </c>
      <c r="C31" s="7" t="e">
        <f t="shared" si="36"/>
        <v>#REF!</v>
      </c>
      <c r="D31" s="7"/>
      <c r="E31" s="7" t="e">
        <f t="shared" si="46"/>
        <v>#REF!</v>
      </c>
      <c r="F31" s="7"/>
      <c r="G31" s="7" t="e">
        <f t="shared" si="37"/>
        <v>#REF!</v>
      </c>
      <c r="H31" s="7"/>
      <c r="I31" s="7" t="e">
        <f t="shared" si="47"/>
        <v>#REF!</v>
      </c>
      <c r="J31" s="7"/>
      <c r="K31" s="7" t="e">
        <f t="shared" si="38"/>
        <v>#REF!</v>
      </c>
      <c r="L31" s="7"/>
      <c r="M31" s="65">
        <v>0.27361111111111108</v>
      </c>
      <c r="N31" s="65"/>
      <c r="O31" s="7" t="e">
        <f t="shared" si="39"/>
        <v>#REF!</v>
      </c>
      <c r="P31" s="7"/>
      <c r="Q31" s="7" t="e">
        <f t="shared" si="48"/>
        <v>#REF!</v>
      </c>
      <c r="R31" s="7"/>
      <c r="S31" s="7" t="e">
        <f t="shared" si="40"/>
        <v>#REF!</v>
      </c>
      <c r="T31" s="7" t="e">
        <f t="shared" ref="T31:Z31" si="52">T30+#REF!</f>
        <v>#REF!</v>
      </c>
      <c r="U31" s="7" t="e">
        <f t="shared" si="52"/>
        <v>#REF!</v>
      </c>
      <c r="V31" s="7" t="e">
        <f t="shared" si="52"/>
        <v>#REF!</v>
      </c>
      <c r="W31" s="7" t="e">
        <f t="shared" si="52"/>
        <v>#REF!</v>
      </c>
      <c r="X31" s="7" t="e">
        <f t="shared" si="52"/>
        <v>#REF!</v>
      </c>
      <c r="Y31" s="7" t="e">
        <f t="shared" si="52"/>
        <v>#REF!</v>
      </c>
      <c r="Z31" s="7" t="e">
        <f t="shared" si="52"/>
        <v>#REF!</v>
      </c>
      <c r="AA31" s="7"/>
      <c r="AB31" s="7"/>
      <c r="AC31" s="7" t="e">
        <f t="shared" ref="AC31:AD31" si="53">AC30+#REF!</f>
        <v>#REF!</v>
      </c>
      <c r="AD31" s="7" t="e">
        <f t="shared" si="53"/>
        <v>#REF!</v>
      </c>
      <c r="AE31" s="7"/>
      <c r="AF31" s="7"/>
      <c r="AG31" s="7" t="e">
        <f t="shared" ref="AG31:AH31" si="54">AG30+#REF!</f>
        <v>#REF!</v>
      </c>
      <c r="AH31" s="7" t="e">
        <f t="shared" si="54"/>
        <v>#REF!</v>
      </c>
      <c r="AI31" s="7"/>
      <c r="AJ31" s="52"/>
      <c r="AL31" s="55" t="str">
        <f>'PIEN-to-PTA_Weekday'!A8</f>
        <v xml:space="preserve">WALTOO </v>
      </c>
      <c r="AM31" s="56">
        <v>1.3194444444444509E-2</v>
      </c>
      <c r="AN31" s="56">
        <v>1.388888888888884E-3</v>
      </c>
    </row>
    <row r="32" spans="1:40">
      <c r="A32" s="6" t="s">
        <v>72</v>
      </c>
      <c r="B32" s="6" t="s">
        <v>73</v>
      </c>
      <c r="C32" s="7" t="e">
        <f t="shared" si="36"/>
        <v>#REF!</v>
      </c>
      <c r="D32" s="7"/>
      <c r="E32" s="7" t="e">
        <f t="shared" si="46"/>
        <v>#REF!</v>
      </c>
      <c r="F32" s="7"/>
      <c r="G32" s="7" t="e">
        <f t="shared" si="37"/>
        <v>#REF!</v>
      </c>
      <c r="H32" s="7"/>
      <c r="I32" s="7" t="e">
        <f t="shared" si="47"/>
        <v>#REF!</v>
      </c>
      <c r="J32" s="7"/>
      <c r="K32" s="7" t="e">
        <f t="shared" si="38"/>
        <v>#REF!</v>
      </c>
      <c r="L32" s="7"/>
      <c r="M32" s="65">
        <v>0.27569444444444441</v>
      </c>
      <c r="N32" s="65"/>
      <c r="O32" s="7" t="e">
        <f t="shared" si="39"/>
        <v>#REF!</v>
      </c>
      <c r="P32" s="7"/>
      <c r="Q32" s="7" t="e">
        <f t="shared" si="48"/>
        <v>#REF!</v>
      </c>
      <c r="R32" s="7"/>
      <c r="S32" s="7" t="e">
        <f t="shared" si="40"/>
        <v>#REF!</v>
      </c>
      <c r="T32" s="7" t="e">
        <f t="shared" ref="T32:Z32" si="55">T31+#REF!</f>
        <v>#REF!</v>
      </c>
      <c r="U32" s="7" t="e">
        <f t="shared" si="55"/>
        <v>#REF!</v>
      </c>
      <c r="V32" s="7" t="e">
        <f t="shared" si="55"/>
        <v>#REF!</v>
      </c>
      <c r="W32" s="7" t="e">
        <f t="shared" si="55"/>
        <v>#REF!</v>
      </c>
      <c r="X32" s="7" t="e">
        <f t="shared" si="55"/>
        <v>#REF!</v>
      </c>
      <c r="Y32" s="7" t="e">
        <f t="shared" si="55"/>
        <v>#REF!</v>
      </c>
      <c r="Z32" s="7" t="e">
        <f t="shared" si="55"/>
        <v>#REF!</v>
      </c>
      <c r="AA32" s="7"/>
      <c r="AB32" s="7"/>
      <c r="AC32" s="7" t="e">
        <f t="shared" ref="AC32:AD32" si="56">AC31+#REF!</f>
        <v>#REF!</v>
      </c>
      <c r="AD32" s="7" t="e">
        <f t="shared" si="56"/>
        <v>#REF!</v>
      </c>
      <c r="AE32" s="7"/>
      <c r="AF32" s="7"/>
      <c r="AG32" s="7" t="e">
        <f t="shared" ref="AG32:AH32" si="57">AG31+#REF!</f>
        <v>#REF!</v>
      </c>
      <c r="AH32" s="7" t="e">
        <f t="shared" si="57"/>
        <v>#REF!</v>
      </c>
      <c r="AI32" s="7"/>
      <c r="AJ32" s="52"/>
      <c r="AL32" s="55" t="str">
        <f>'PIEN-to-PTA_Weekday'!A10</f>
        <v xml:space="preserve">SILVERTON </v>
      </c>
      <c r="AM32" s="56">
        <v>1.5277777777777835E-2</v>
      </c>
      <c r="AN32" s="56">
        <v>2.0833333333333259E-3</v>
      </c>
    </row>
    <row r="33" spans="1:40">
      <c r="A33" s="57" t="s">
        <v>70</v>
      </c>
      <c r="B33" s="58" t="s">
        <v>71</v>
      </c>
      <c r="C33" s="59" t="e">
        <f t="shared" si="36"/>
        <v>#REF!</v>
      </c>
      <c r="D33" s="59" t="e">
        <f>C33+TIME(0,10,0)</f>
        <v>#REF!</v>
      </c>
      <c r="E33" s="59" t="e">
        <f t="shared" si="46"/>
        <v>#REF!</v>
      </c>
      <c r="F33" s="59">
        <v>0.20833333333333334</v>
      </c>
      <c r="G33" s="59" t="e">
        <f t="shared" si="37"/>
        <v>#REF!</v>
      </c>
      <c r="H33" s="59" t="e">
        <f>I31+TIME(0,1,0)</f>
        <v>#REF!</v>
      </c>
      <c r="I33" s="59" t="e">
        <f t="shared" si="47"/>
        <v>#REF!</v>
      </c>
      <c r="J33" s="59">
        <v>0.25</v>
      </c>
      <c r="K33" s="59" t="e">
        <f t="shared" si="38"/>
        <v>#REF!</v>
      </c>
      <c r="L33" s="59">
        <v>0.28819444444444442</v>
      </c>
      <c r="M33" s="66">
        <v>0.27777777777777773</v>
      </c>
      <c r="N33" s="66">
        <v>0.2986111111111111</v>
      </c>
      <c r="O33" s="59" t="e">
        <f t="shared" si="39"/>
        <v>#REF!</v>
      </c>
      <c r="P33" s="59">
        <v>0.33680555555555558</v>
      </c>
      <c r="Q33" s="59" t="e">
        <f t="shared" si="48"/>
        <v>#REF!</v>
      </c>
      <c r="R33" s="59" t="e">
        <f>P40+TIME(0,10,0)</f>
        <v>#REF!</v>
      </c>
      <c r="S33" s="59" t="e">
        <f t="shared" si="40"/>
        <v>#REF!</v>
      </c>
      <c r="T33" s="59" t="e">
        <f t="shared" ref="T33:Z33" si="58">T32+#REF!</f>
        <v>#REF!</v>
      </c>
      <c r="U33" s="59" t="e">
        <f t="shared" si="58"/>
        <v>#REF!</v>
      </c>
      <c r="V33" s="59" t="e">
        <f t="shared" si="58"/>
        <v>#REF!</v>
      </c>
      <c r="W33" s="59" t="e">
        <f t="shared" si="58"/>
        <v>#REF!</v>
      </c>
      <c r="X33" s="59" t="e">
        <f t="shared" si="58"/>
        <v>#REF!</v>
      </c>
      <c r="Y33" s="59" t="e">
        <f t="shared" si="58"/>
        <v>#REF!</v>
      </c>
      <c r="Z33" s="59" t="e">
        <f t="shared" si="58"/>
        <v>#REF!</v>
      </c>
      <c r="AA33" s="59" t="e">
        <f>Z33</f>
        <v>#REF!</v>
      </c>
      <c r="AB33" s="59" t="e">
        <f>AA38</f>
        <v>#REF!</v>
      </c>
      <c r="AC33" s="59" t="e">
        <f t="shared" ref="AC33:AD33" si="59">AC32+#REF!</f>
        <v>#REF!</v>
      </c>
      <c r="AD33" s="59" t="e">
        <f t="shared" si="59"/>
        <v>#REF!</v>
      </c>
      <c r="AE33" s="59" t="e">
        <f>AD33-TIME(0,10,0)</f>
        <v>#REF!</v>
      </c>
      <c r="AF33" s="59">
        <v>0.74305555555555558</v>
      </c>
      <c r="AG33" s="59" t="e">
        <f t="shared" ref="AG33:AH33" si="60">AG32+#REF!</f>
        <v>#REF!</v>
      </c>
      <c r="AH33" s="59" t="e">
        <f t="shared" si="60"/>
        <v>#REF!</v>
      </c>
      <c r="AI33" s="67" t="e">
        <f>AH27+TIME(0,10,0)</f>
        <v>#REF!</v>
      </c>
      <c r="AJ33" s="52"/>
      <c r="AL33" s="55" t="str">
        <f>'PIEN-to-PTA_Weekday'!A11</f>
        <v xml:space="preserve">KOEDOESPOORT </v>
      </c>
      <c r="AM33" s="56">
        <v>1.736111111111116E-2</v>
      </c>
      <c r="AN33" s="56">
        <v>2.0833333333333259E-3</v>
      </c>
    </row>
    <row r="34" spans="1:40">
      <c r="A34" s="6" t="s">
        <v>68</v>
      </c>
      <c r="B34" s="6" t="s">
        <v>69</v>
      </c>
      <c r="C34" s="7"/>
      <c r="D34" s="7" t="e">
        <f t="shared" ref="D34:D40" si="61">D33+#REF!</f>
        <v>#REF!</v>
      </c>
      <c r="E34" s="7"/>
      <c r="F34" s="7" t="e">
        <f t="shared" ref="F34:F40" si="62">F33+#REF!</f>
        <v>#REF!</v>
      </c>
      <c r="G34" s="7"/>
      <c r="H34" s="7" t="e">
        <f t="shared" ref="H34:H40" si="63">H33+#REF!</f>
        <v>#REF!</v>
      </c>
      <c r="J34" s="7" t="e">
        <f t="shared" ref="J34:J40" si="64">J33+#REF!</f>
        <v>#REF!</v>
      </c>
      <c r="K34" s="7"/>
      <c r="L34" s="7" t="e">
        <f t="shared" ref="L34:L40" si="65">L33+#REF!</f>
        <v>#REF!</v>
      </c>
      <c r="M34" s="68"/>
      <c r="N34" s="65" t="e">
        <f t="shared" ref="N34:N40" si="66">N33+#REF!</f>
        <v>#REF!</v>
      </c>
      <c r="O34" s="7"/>
      <c r="P34" s="7" t="e">
        <f t="shared" ref="P34:P40" si="67">P33+#REF!</f>
        <v>#REF!</v>
      </c>
      <c r="Q34" s="7"/>
      <c r="R34" s="7" t="e">
        <f t="shared" ref="R34:X34" si="68">R33+#REF!</f>
        <v>#REF!</v>
      </c>
      <c r="S34" s="7" t="e">
        <f t="shared" si="68"/>
        <v>#REF!</v>
      </c>
      <c r="T34" s="7" t="e">
        <f t="shared" si="68"/>
        <v>#REF!</v>
      </c>
      <c r="U34" s="7" t="e">
        <f t="shared" si="68"/>
        <v>#REF!</v>
      </c>
      <c r="V34" s="7" t="e">
        <f t="shared" si="68"/>
        <v>#REF!</v>
      </c>
      <c r="W34" s="7" t="e">
        <f t="shared" si="68"/>
        <v>#REF!</v>
      </c>
      <c r="X34" s="7" t="e">
        <f t="shared" si="68"/>
        <v>#REF!</v>
      </c>
      <c r="Y34" s="7"/>
      <c r="Z34" s="7"/>
      <c r="AA34" s="7" t="e">
        <f t="shared" ref="AA34:AB34" si="69">AA33+#REF!</f>
        <v>#REF!</v>
      </c>
      <c r="AB34" s="7" t="e">
        <f t="shared" si="69"/>
        <v>#REF!</v>
      </c>
      <c r="AC34" s="7"/>
      <c r="AD34" s="7"/>
      <c r="AE34" s="7" t="e">
        <f t="shared" ref="AE34:AF34" si="70">AE33+#REF!</f>
        <v>#REF!</v>
      </c>
      <c r="AF34" s="7" t="e">
        <f t="shared" si="70"/>
        <v>#REF!</v>
      </c>
      <c r="AG34" s="7"/>
      <c r="AH34" s="7" t="e">
        <f t="shared" ref="AH34:AI34" si="71">AH33+#REF!</f>
        <v>#REF!</v>
      </c>
      <c r="AI34" s="7" t="e">
        <f t="shared" si="71"/>
        <v>#REF!</v>
      </c>
      <c r="AJ34" s="52"/>
      <c r="AL34" s="55" t="str">
        <f>'PIEN-to-PTA_Weekday'!A13</f>
        <v xml:space="preserve">HARTBEESSPRUIT </v>
      </c>
      <c r="AM34" s="56">
        <v>1.9444444444444486E-2</v>
      </c>
      <c r="AN34" s="56">
        <v>2.0833333333333259E-3</v>
      </c>
    </row>
    <row r="35" spans="1:40">
      <c r="A35" s="6" t="s">
        <v>66</v>
      </c>
      <c r="B35" s="6" t="s">
        <v>67</v>
      </c>
      <c r="C35" s="7"/>
      <c r="D35" s="7" t="e">
        <f t="shared" si="61"/>
        <v>#REF!</v>
      </c>
      <c r="E35" s="7"/>
      <c r="F35" s="7" t="e">
        <f t="shared" si="62"/>
        <v>#REF!</v>
      </c>
      <c r="G35" s="7"/>
      <c r="H35" s="7" t="e">
        <f t="shared" si="63"/>
        <v>#REF!</v>
      </c>
      <c r="J35" s="7" t="e">
        <f t="shared" si="64"/>
        <v>#REF!</v>
      </c>
      <c r="K35" s="7"/>
      <c r="L35" s="7" t="e">
        <f t="shared" si="65"/>
        <v>#REF!</v>
      </c>
      <c r="M35" s="68"/>
      <c r="N35" s="65" t="e">
        <f t="shared" si="66"/>
        <v>#REF!</v>
      </c>
      <c r="O35" s="7"/>
      <c r="P35" s="7" t="e">
        <f t="shared" si="67"/>
        <v>#REF!</v>
      </c>
      <c r="Q35" s="7"/>
      <c r="R35" s="7" t="e">
        <f t="shared" ref="R35:X35" si="72">R34+#REF!</f>
        <v>#REF!</v>
      </c>
      <c r="S35" s="7" t="e">
        <f t="shared" si="72"/>
        <v>#REF!</v>
      </c>
      <c r="T35" s="7" t="e">
        <f t="shared" si="72"/>
        <v>#REF!</v>
      </c>
      <c r="U35" s="7" t="e">
        <f t="shared" si="72"/>
        <v>#REF!</v>
      </c>
      <c r="V35" s="7" t="e">
        <f t="shared" si="72"/>
        <v>#REF!</v>
      </c>
      <c r="W35" s="7" t="e">
        <f t="shared" si="72"/>
        <v>#REF!</v>
      </c>
      <c r="X35" s="7" t="e">
        <f t="shared" si="72"/>
        <v>#REF!</v>
      </c>
      <c r="Y35" s="7"/>
      <c r="Z35" s="7"/>
      <c r="AA35" s="7" t="e">
        <f t="shared" ref="AA35:AB35" si="73">AA34+#REF!</f>
        <v>#REF!</v>
      </c>
      <c r="AB35" s="7" t="e">
        <f t="shared" si="73"/>
        <v>#REF!</v>
      </c>
      <c r="AC35" s="7"/>
      <c r="AD35" s="7"/>
      <c r="AE35" s="7" t="e">
        <f t="shared" ref="AE35:AF35" si="74">AE34+#REF!</f>
        <v>#REF!</v>
      </c>
      <c r="AF35" s="7" t="e">
        <f t="shared" si="74"/>
        <v>#REF!</v>
      </c>
      <c r="AG35" s="7"/>
      <c r="AH35" s="7" t="e">
        <f t="shared" ref="AH35:AI35" si="75">AH34+#REF!</f>
        <v>#REF!</v>
      </c>
      <c r="AI35" s="7" t="e">
        <f t="shared" si="75"/>
        <v>#REF!</v>
      </c>
      <c r="AJ35" s="52"/>
      <c r="AL35" s="55" t="str">
        <f>'PIEN-to-PTA_Weekday'!A14</f>
        <v xml:space="preserve">RISSIK </v>
      </c>
      <c r="AM35" s="56">
        <v>2.2916666666666696E-2</v>
      </c>
      <c r="AN35" s="56">
        <v>2.7777777777778234E-3</v>
      </c>
    </row>
    <row r="36" spans="1:40">
      <c r="A36" s="6" t="s">
        <v>64</v>
      </c>
      <c r="B36" s="6" t="s">
        <v>65</v>
      </c>
      <c r="C36" s="7"/>
      <c r="D36" s="7" t="e">
        <f t="shared" si="61"/>
        <v>#REF!</v>
      </c>
      <c r="E36" s="7"/>
      <c r="F36" s="7" t="e">
        <f t="shared" si="62"/>
        <v>#REF!</v>
      </c>
      <c r="G36" s="7"/>
      <c r="H36" s="7" t="e">
        <f t="shared" si="63"/>
        <v>#REF!</v>
      </c>
      <c r="J36" s="7" t="e">
        <f t="shared" si="64"/>
        <v>#REF!</v>
      </c>
      <c r="K36" s="7"/>
      <c r="L36" s="7" t="e">
        <f t="shared" si="65"/>
        <v>#REF!</v>
      </c>
      <c r="M36" s="68"/>
      <c r="N36" s="65" t="e">
        <f t="shared" si="66"/>
        <v>#REF!</v>
      </c>
      <c r="O36" s="7"/>
      <c r="P36" s="7" t="e">
        <f t="shared" si="67"/>
        <v>#REF!</v>
      </c>
      <c r="Q36" s="7"/>
      <c r="R36" s="7" t="e">
        <f t="shared" ref="R36:X36" si="76">R35+#REF!</f>
        <v>#REF!</v>
      </c>
      <c r="S36" s="7" t="e">
        <f t="shared" si="76"/>
        <v>#REF!</v>
      </c>
      <c r="T36" s="7" t="e">
        <f t="shared" si="76"/>
        <v>#REF!</v>
      </c>
      <c r="U36" s="7" t="e">
        <f t="shared" si="76"/>
        <v>#REF!</v>
      </c>
      <c r="V36" s="7" t="e">
        <f t="shared" si="76"/>
        <v>#REF!</v>
      </c>
      <c r="W36" s="7" t="e">
        <f t="shared" si="76"/>
        <v>#REF!</v>
      </c>
      <c r="X36" s="7" t="e">
        <f t="shared" si="76"/>
        <v>#REF!</v>
      </c>
      <c r="Y36" s="7"/>
      <c r="Z36" s="7"/>
      <c r="AA36" s="7" t="e">
        <f t="shared" ref="AA36:AB36" si="77">AA35+#REF!</f>
        <v>#REF!</v>
      </c>
      <c r="AB36" s="7" t="e">
        <f t="shared" si="77"/>
        <v>#REF!</v>
      </c>
      <c r="AC36" s="7"/>
      <c r="AD36" s="7"/>
      <c r="AE36" s="7" t="e">
        <f t="shared" ref="AE36:AF36" si="78">AE35+#REF!</f>
        <v>#REF!</v>
      </c>
      <c r="AF36" s="7" t="e">
        <f t="shared" si="78"/>
        <v>#REF!</v>
      </c>
      <c r="AG36" s="7"/>
      <c r="AH36" s="7" t="e">
        <f t="shared" ref="AH36:AI36" si="79">AH35+#REF!</f>
        <v>#REF!</v>
      </c>
      <c r="AI36" s="7" t="e">
        <f t="shared" si="79"/>
        <v>#REF!</v>
      </c>
      <c r="AJ36" s="52"/>
      <c r="AL36" s="55" t="str">
        <f>'PIEN-to-PTA_Weekday'!A15</f>
        <v xml:space="preserve">LOFTUS VERSFELD PARK </v>
      </c>
      <c r="AM36" s="56">
        <v>2.430555555555558E-2</v>
      </c>
      <c r="AN36" s="56">
        <v>2.0833333333333259E-3</v>
      </c>
    </row>
    <row r="37" spans="1:40">
      <c r="A37" s="6" t="s">
        <v>62</v>
      </c>
      <c r="B37" s="6" t="s">
        <v>63</v>
      </c>
      <c r="C37" s="7"/>
      <c r="D37" s="7" t="e">
        <f t="shared" si="61"/>
        <v>#REF!</v>
      </c>
      <c r="E37" s="7"/>
      <c r="F37" s="7" t="e">
        <f t="shared" si="62"/>
        <v>#REF!</v>
      </c>
      <c r="G37" s="7"/>
      <c r="H37" s="7" t="e">
        <f t="shared" si="63"/>
        <v>#REF!</v>
      </c>
      <c r="J37" s="7" t="e">
        <f t="shared" si="64"/>
        <v>#REF!</v>
      </c>
      <c r="K37" s="7"/>
      <c r="L37" s="7" t="e">
        <f t="shared" si="65"/>
        <v>#REF!</v>
      </c>
      <c r="M37" s="68"/>
      <c r="N37" s="65" t="e">
        <f t="shared" si="66"/>
        <v>#REF!</v>
      </c>
      <c r="O37" s="7"/>
      <c r="P37" s="7" t="e">
        <f t="shared" si="67"/>
        <v>#REF!</v>
      </c>
      <c r="R37" s="7" t="e">
        <f t="shared" ref="R37:X37" si="80">R36+#REF!</f>
        <v>#REF!</v>
      </c>
      <c r="S37" s="7" t="e">
        <f t="shared" si="80"/>
        <v>#REF!</v>
      </c>
      <c r="T37" s="7" t="e">
        <f t="shared" si="80"/>
        <v>#REF!</v>
      </c>
      <c r="U37" s="7" t="e">
        <f t="shared" si="80"/>
        <v>#REF!</v>
      </c>
      <c r="V37" s="7" t="e">
        <f t="shared" si="80"/>
        <v>#REF!</v>
      </c>
      <c r="W37" s="7" t="e">
        <f t="shared" si="80"/>
        <v>#REF!</v>
      </c>
      <c r="X37" s="7" t="e">
        <f t="shared" si="80"/>
        <v>#REF!</v>
      </c>
      <c r="Y37" s="7"/>
      <c r="Z37" s="7"/>
      <c r="AA37" s="7" t="e">
        <f t="shared" ref="AA37:AB37" si="81">AA36+#REF!</f>
        <v>#REF!</v>
      </c>
      <c r="AB37" s="7" t="e">
        <f t="shared" si="81"/>
        <v>#REF!</v>
      </c>
      <c r="AC37" s="7"/>
      <c r="AD37" s="7"/>
      <c r="AE37" s="7" t="e">
        <f t="shared" ref="AE37:AF37" si="82">AE36+#REF!</f>
        <v>#REF!</v>
      </c>
      <c r="AF37" s="7" t="e">
        <f t="shared" si="82"/>
        <v>#REF!</v>
      </c>
      <c r="AG37" s="7"/>
      <c r="AH37" s="7" t="e">
        <f t="shared" ref="AH37:AI37" si="83">AH36+#REF!</f>
        <v>#REF!</v>
      </c>
      <c r="AI37" s="7" t="e">
        <f t="shared" si="83"/>
        <v>#REF!</v>
      </c>
      <c r="AJ37" s="52"/>
      <c r="AL37" s="55" t="str">
        <f>'PIEN-to-PTA_Weekday'!A16</f>
        <v xml:space="preserve">WALKER STREET </v>
      </c>
      <c r="AM37" s="56">
        <v>2.6388888888888906E-2</v>
      </c>
      <c r="AN37" s="56">
        <v>2.0833333333333259E-3</v>
      </c>
    </row>
    <row r="38" spans="1:40">
      <c r="A38" s="6" t="s">
        <v>60</v>
      </c>
      <c r="B38" s="6" t="s">
        <v>61</v>
      </c>
      <c r="C38" s="7"/>
      <c r="D38" s="7" t="e">
        <f t="shared" si="61"/>
        <v>#REF!</v>
      </c>
      <c r="E38" s="7"/>
      <c r="F38" s="7" t="e">
        <f t="shared" si="62"/>
        <v>#REF!</v>
      </c>
      <c r="G38" s="7"/>
      <c r="H38" s="7" t="e">
        <f t="shared" si="63"/>
        <v>#REF!</v>
      </c>
      <c r="J38" s="7" t="e">
        <f t="shared" si="64"/>
        <v>#REF!</v>
      </c>
      <c r="K38" s="7"/>
      <c r="L38" s="7" t="e">
        <f t="shared" si="65"/>
        <v>#REF!</v>
      </c>
      <c r="M38" s="68"/>
      <c r="N38" s="65" t="e">
        <f t="shared" si="66"/>
        <v>#REF!</v>
      </c>
      <c r="O38" s="7"/>
      <c r="P38" s="7" t="e">
        <f t="shared" si="67"/>
        <v>#REF!</v>
      </c>
      <c r="R38" s="7" t="e">
        <f t="shared" ref="R38:X38" si="84">R37+#REF!</f>
        <v>#REF!</v>
      </c>
      <c r="S38" s="7" t="e">
        <f t="shared" si="84"/>
        <v>#REF!</v>
      </c>
      <c r="T38" s="7" t="e">
        <f t="shared" si="84"/>
        <v>#REF!</v>
      </c>
      <c r="U38" s="7" t="e">
        <f t="shared" si="84"/>
        <v>#REF!</v>
      </c>
      <c r="V38" s="7" t="e">
        <f t="shared" si="84"/>
        <v>#REF!</v>
      </c>
      <c r="W38" s="7" t="e">
        <f t="shared" si="84"/>
        <v>#REF!</v>
      </c>
      <c r="X38" s="7" t="e">
        <f t="shared" si="84"/>
        <v>#REF!</v>
      </c>
      <c r="Y38" s="7"/>
      <c r="Z38" s="7"/>
      <c r="AA38" s="7" t="e">
        <f t="shared" ref="AA38:AB38" si="85">AA37+#REF!</f>
        <v>#REF!</v>
      </c>
      <c r="AB38" s="7" t="e">
        <f t="shared" si="85"/>
        <v>#REF!</v>
      </c>
      <c r="AC38" s="7"/>
      <c r="AD38" s="7"/>
      <c r="AE38" s="7" t="e">
        <f t="shared" ref="AE38:AF38" si="86">AE37+#REF!</f>
        <v>#REF!</v>
      </c>
      <c r="AF38" s="7" t="e">
        <f t="shared" si="86"/>
        <v>#REF!</v>
      </c>
      <c r="AG38" s="7"/>
      <c r="AH38" s="7" t="e">
        <f t="shared" ref="AH38:AI38" si="87">AH37+#REF!</f>
        <v>#REF!</v>
      </c>
      <c r="AI38" s="7" t="e">
        <f t="shared" si="87"/>
        <v>#REF!</v>
      </c>
      <c r="AJ38" s="52"/>
      <c r="AL38" s="55" t="str">
        <f>'PIEN-to-PTA_Weekday'!A17</f>
        <v xml:space="preserve">DEVENISH STREET </v>
      </c>
      <c r="AM38" s="56">
        <v>2.777777777777779E-2</v>
      </c>
      <c r="AN38" s="56">
        <v>1.388888888888884E-3</v>
      </c>
    </row>
    <row r="39" spans="1:40">
      <c r="A39" s="6" t="s">
        <v>58</v>
      </c>
      <c r="B39" s="6" t="s">
        <v>59</v>
      </c>
      <c r="C39" s="7"/>
      <c r="D39" s="7" t="e">
        <f t="shared" si="61"/>
        <v>#REF!</v>
      </c>
      <c r="E39" s="7"/>
      <c r="F39" s="7" t="e">
        <f t="shared" si="62"/>
        <v>#REF!</v>
      </c>
      <c r="G39" s="7"/>
      <c r="H39" s="7" t="e">
        <f t="shared" si="63"/>
        <v>#REF!</v>
      </c>
      <c r="J39" s="7" t="e">
        <f t="shared" si="64"/>
        <v>#REF!</v>
      </c>
      <c r="K39" s="7"/>
      <c r="L39" s="7" t="e">
        <f t="shared" si="65"/>
        <v>#REF!</v>
      </c>
      <c r="M39" s="68"/>
      <c r="N39" s="65" t="e">
        <f t="shared" si="66"/>
        <v>#REF!</v>
      </c>
      <c r="O39" s="7"/>
      <c r="P39" s="7" t="e">
        <f t="shared" si="67"/>
        <v>#REF!</v>
      </c>
      <c r="R39" s="7" t="e">
        <f t="shared" ref="R39:X39" si="88">R38+#REF!</f>
        <v>#REF!</v>
      </c>
      <c r="S39" s="7" t="e">
        <f t="shared" si="88"/>
        <v>#REF!</v>
      </c>
      <c r="T39" s="7" t="e">
        <f t="shared" si="88"/>
        <v>#REF!</v>
      </c>
      <c r="U39" s="7" t="e">
        <f t="shared" si="88"/>
        <v>#REF!</v>
      </c>
      <c r="V39" s="7" t="e">
        <f t="shared" si="88"/>
        <v>#REF!</v>
      </c>
      <c r="W39" s="7" t="e">
        <f t="shared" si="88"/>
        <v>#REF!</v>
      </c>
      <c r="X39" s="7" t="e">
        <f t="shared" si="88"/>
        <v>#REF!</v>
      </c>
      <c r="Y39" s="7"/>
      <c r="Z39" s="7"/>
      <c r="AA39" s="7" t="e">
        <f t="shared" ref="AA39:AB39" si="89">AA38+#REF!</f>
        <v>#REF!</v>
      </c>
      <c r="AB39" s="7" t="e">
        <f t="shared" si="89"/>
        <v>#REF!</v>
      </c>
      <c r="AC39" s="7"/>
      <c r="AD39" s="7"/>
      <c r="AE39" s="7" t="e">
        <f t="shared" ref="AE39:AF39" si="90">AE38+#REF!</f>
        <v>#REF!</v>
      </c>
      <c r="AF39" s="7" t="e">
        <f t="shared" si="90"/>
        <v>#REF!</v>
      </c>
      <c r="AG39" s="7"/>
      <c r="AH39" s="7" t="e">
        <f t="shared" ref="AH39:AI39" si="91">AH38+#REF!</f>
        <v>#REF!</v>
      </c>
      <c r="AI39" s="7" t="e">
        <f t="shared" si="91"/>
        <v>#REF!</v>
      </c>
      <c r="AJ39" s="52"/>
      <c r="AL39" s="55" t="str">
        <f>'PIEN-to-PTA_Weekday'!A18</f>
        <v xml:space="preserve">MEARS STREET </v>
      </c>
      <c r="AM39" s="56">
        <v>2.8472222222222232E-2</v>
      </c>
      <c r="AN39" s="56">
        <v>6.9444444444444198E-4</v>
      </c>
    </row>
    <row r="40" spans="1:40">
      <c r="A40" s="6" t="s">
        <v>55</v>
      </c>
      <c r="B40" s="6" t="s">
        <v>25</v>
      </c>
      <c r="C40" s="7"/>
      <c r="D40" s="7" t="e">
        <f t="shared" si="61"/>
        <v>#REF!</v>
      </c>
      <c r="E40" s="7"/>
      <c r="F40" s="7" t="e">
        <f t="shared" si="62"/>
        <v>#REF!</v>
      </c>
      <c r="G40" s="7"/>
      <c r="H40" s="7" t="e">
        <f t="shared" si="63"/>
        <v>#REF!</v>
      </c>
      <c r="J40" s="7" t="e">
        <f t="shared" si="64"/>
        <v>#REF!</v>
      </c>
      <c r="K40" s="7"/>
      <c r="L40" s="7" t="e">
        <f t="shared" si="65"/>
        <v>#REF!</v>
      </c>
      <c r="M40" s="68"/>
      <c r="N40" s="65" t="e">
        <f t="shared" si="66"/>
        <v>#REF!</v>
      </c>
      <c r="O40" s="7"/>
      <c r="P40" s="7" t="e">
        <f t="shared" si="67"/>
        <v>#REF!</v>
      </c>
      <c r="R40" s="7" t="e">
        <f t="shared" ref="R40:X40" si="92">R39+#REF!</f>
        <v>#REF!</v>
      </c>
      <c r="S40" s="7" t="e">
        <f t="shared" si="92"/>
        <v>#REF!</v>
      </c>
      <c r="T40" s="7" t="e">
        <f t="shared" si="92"/>
        <v>#REF!</v>
      </c>
      <c r="U40" s="7" t="e">
        <f t="shared" si="92"/>
        <v>#REF!</v>
      </c>
      <c r="V40" s="7" t="e">
        <f t="shared" si="92"/>
        <v>#REF!</v>
      </c>
      <c r="W40" s="7" t="e">
        <f t="shared" si="92"/>
        <v>#REF!</v>
      </c>
      <c r="X40" s="7" t="e">
        <f t="shared" si="92"/>
        <v>#REF!</v>
      </c>
      <c r="Y40" s="7"/>
      <c r="Z40" s="7"/>
      <c r="AA40" s="7" t="e">
        <f t="shared" ref="AA40:AB40" si="93">AA39+#REF!</f>
        <v>#REF!</v>
      </c>
      <c r="AB40" s="7" t="e">
        <f t="shared" si="93"/>
        <v>#REF!</v>
      </c>
      <c r="AC40" s="7"/>
      <c r="AD40" s="7"/>
      <c r="AE40" s="7" t="e">
        <f t="shared" ref="AE40:AF40" si="94">AE39+#REF!</f>
        <v>#REF!</v>
      </c>
      <c r="AF40" s="7" t="e">
        <f t="shared" si="94"/>
        <v>#REF!</v>
      </c>
      <c r="AG40" s="7"/>
      <c r="AH40" s="7" t="e">
        <f t="shared" ref="AH40:AI40" si="95">AH39+#REF!</f>
        <v>#REF!</v>
      </c>
      <c r="AI40" s="7" t="e">
        <f t="shared" si="95"/>
        <v>#REF!</v>
      </c>
      <c r="AJ40" s="52"/>
      <c r="AL40" s="55" t="str">
        <f>'PIEN-to-PTA_Weekday'!A19</f>
        <v xml:space="preserve">PRETORIA </v>
      </c>
      <c r="AM40" s="56">
        <v>3.125E-2</v>
      </c>
      <c r="AN40" s="56">
        <v>2.7777777777777679E-3</v>
      </c>
    </row>
    <row r="41" spans="1:40">
      <c r="AM41" s="6">
        <v>9</v>
      </c>
      <c r="AN41" s="6">
        <v>9</v>
      </c>
    </row>
    <row r="44" spans="1:40">
      <c r="A44" s="6" t="s">
        <v>88</v>
      </c>
    </row>
    <row r="46" spans="1:40">
      <c r="A46" s="1" t="s">
        <v>0</v>
      </c>
      <c r="B46" s="2">
        <v>45995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40">
      <c r="A47" s="1" t="s">
        <v>2</v>
      </c>
      <c r="B47" s="1" t="s">
        <v>3</v>
      </c>
      <c r="C47" s="1">
        <v>4401</v>
      </c>
      <c r="D47" s="1">
        <v>4403</v>
      </c>
      <c r="E47" s="1">
        <v>4405</v>
      </c>
      <c r="F47" s="1">
        <v>4407</v>
      </c>
      <c r="G47" s="1">
        <v>4409</v>
      </c>
      <c r="H47" s="1">
        <v>4411</v>
      </c>
      <c r="I47" s="1">
        <v>4415</v>
      </c>
      <c r="J47" s="1">
        <v>4417</v>
      </c>
      <c r="K47" s="1">
        <v>4419</v>
      </c>
      <c r="L47" s="1">
        <v>4421</v>
      </c>
      <c r="M47" s="1">
        <v>4423</v>
      </c>
      <c r="N47" s="1">
        <v>4425</v>
      </c>
      <c r="O47" s="1">
        <v>4427</v>
      </c>
      <c r="P47" s="1">
        <v>4429</v>
      </c>
      <c r="Q47" s="1">
        <v>4431</v>
      </c>
      <c r="R47" s="1">
        <v>4433</v>
      </c>
      <c r="S47" s="1">
        <v>4435</v>
      </c>
      <c r="T47" s="1">
        <v>4437</v>
      </c>
      <c r="U47" s="1">
        <v>4439</v>
      </c>
      <c r="V47" s="1"/>
      <c r="W47" s="1"/>
      <c r="X47" s="1"/>
      <c r="Y47" s="1"/>
      <c r="Z47" s="1"/>
      <c r="AA47" s="1"/>
    </row>
    <row r="48" spans="1:40">
      <c r="A48" s="3" t="s">
        <v>24</v>
      </c>
      <c r="B48" s="5" t="s">
        <v>25</v>
      </c>
      <c r="C48" s="5">
        <v>0.21666666666666667</v>
      </c>
      <c r="D48" s="5">
        <v>0.2361111111111111</v>
      </c>
      <c r="E48" s="5">
        <v>0.2638888888888889</v>
      </c>
      <c r="F48" s="5">
        <v>0.29166666666666669</v>
      </c>
      <c r="G48" s="5">
        <v>0.32291666666666669</v>
      </c>
      <c r="H48" s="5">
        <v>0.35069444444444442</v>
      </c>
      <c r="I48" s="5">
        <v>0.40277777777777779</v>
      </c>
      <c r="J48" s="5">
        <v>0.44791666666666669</v>
      </c>
      <c r="K48" s="5">
        <v>0.5</v>
      </c>
      <c r="L48" s="5">
        <v>0.54513888888888884</v>
      </c>
      <c r="M48" s="5">
        <v>0.59722222222222221</v>
      </c>
      <c r="N48" s="5">
        <v>0.625</v>
      </c>
      <c r="O48" s="5">
        <v>0.64583333333333337</v>
      </c>
      <c r="P48" s="5">
        <v>0.67013888888888884</v>
      </c>
      <c r="Q48" s="5">
        <v>0.70347222222222228</v>
      </c>
      <c r="R48" s="5">
        <v>0.72569444444444442</v>
      </c>
      <c r="S48" s="5">
        <v>0.75694444444444442</v>
      </c>
      <c r="T48" s="5">
        <v>0.78472222222222221</v>
      </c>
      <c r="U48" s="5">
        <v>0.8125</v>
      </c>
    </row>
    <row r="49" spans="1:27">
      <c r="A49" s="1" t="s">
        <v>22</v>
      </c>
      <c r="B49" s="6" t="s">
        <v>23</v>
      </c>
      <c r="C49" s="7">
        <v>0.22083333333333333</v>
      </c>
      <c r="D49" s="7">
        <v>0.24027777777777778</v>
      </c>
      <c r="E49" s="7">
        <v>0.26805555555555555</v>
      </c>
      <c r="F49" s="7">
        <v>0.29583333333333334</v>
      </c>
      <c r="G49" s="7">
        <v>0.32708333333333334</v>
      </c>
      <c r="H49" s="7">
        <v>0.35486111111111113</v>
      </c>
      <c r="I49" s="7">
        <v>0.40694444444444444</v>
      </c>
      <c r="J49" s="7">
        <v>0.45208333333333334</v>
      </c>
      <c r="K49" s="7">
        <v>0.50416666666666665</v>
      </c>
      <c r="L49" s="7">
        <v>0.5493055555555556</v>
      </c>
      <c r="M49" s="7">
        <v>0.60138888888888886</v>
      </c>
      <c r="N49" s="7">
        <v>0.62916666666666665</v>
      </c>
      <c r="O49" s="7">
        <v>0.65</v>
      </c>
      <c r="P49" s="7">
        <v>0.6743055555555556</v>
      </c>
      <c r="Q49" s="7">
        <v>0.70763888888888893</v>
      </c>
      <c r="R49" s="7">
        <v>0.72986111111111107</v>
      </c>
      <c r="S49" s="7">
        <v>0.76111111111111107</v>
      </c>
      <c r="T49" s="7">
        <v>0.78888888888888886</v>
      </c>
      <c r="U49" s="7">
        <v>0.81666666666666665</v>
      </c>
    </row>
    <row r="50" spans="1:27">
      <c r="A50" s="1" t="s">
        <v>20</v>
      </c>
      <c r="B50" s="6" t="s">
        <v>21</v>
      </c>
      <c r="C50" s="7">
        <v>0.22569444444444445</v>
      </c>
      <c r="D50" s="7">
        <v>0.24513888888888888</v>
      </c>
      <c r="E50" s="7">
        <v>0.27291666666666664</v>
      </c>
      <c r="F50" s="7">
        <v>0.30069444444444443</v>
      </c>
      <c r="G50" s="7">
        <v>0.33194444444444443</v>
      </c>
      <c r="H50" s="7">
        <v>0.35972222222222222</v>
      </c>
      <c r="I50" s="7">
        <v>0.41180555555555554</v>
      </c>
      <c r="J50" s="7">
        <v>0.45694444444444443</v>
      </c>
      <c r="K50" s="7">
        <v>0.50902777777777775</v>
      </c>
      <c r="L50" s="7">
        <v>0.5541666666666667</v>
      </c>
      <c r="M50" s="7">
        <v>0.60624999999999996</v>
      </c>
      <c r="N50" s="7">
        <v>0.63402777777777775</v>
      </c>
      <c r="O50" s="7">
        <v>0.65486111111111112</v>
      </c>
      <c r="P50" s="7">
        <v>0.6791666666666667</v>
      </c>
      <c r="Q50" s="7">
        <v>0.71250000000000002</v>
      </c>
      <c r="R50" s="7">
        <v>0.73472222222222228</v>
      </c>
      <c r="S50" s="7">
        <v>0.76597222222222228</v>
      </c>
      <c r="T50" s="7">
        <v>0.79374999999999996</v>
      </c>
      <c r="U50" s="7">
        <v>0.82152777777777775</v>
      </c>
    </row>
    <row r="51" spans="1:27">
      <c r="A51" s="6" t="s">
        <v>18</v>
      </c>
      <c r="B51" s="6" t="s">
        <v>19</v>
      </c>
      <c r="C51" s="7">
        <v>0.22916666666666666</v>
      </c>
      <c r="D51" s="7">
        <v>0.24861111111111112</v>
      </c>
      <c r="E51" s="7">
        <v>0.27638888888888891</v>
      </c>
      <c r="F51" s="7">
        <v>0.30416666666666664</v>
      </c>
      <c r="G51" s="7">
        <v>0.33541666666666664</v>
      </c>
      <c r="H51" s="7">
        <v>0.36319444444444443</v>
      </c>
      <c r="I51" s="7">
        <v>0.4152777777777778</v>
      </c>
      <c r="J51" s="7">
        <v>0.46041666666666664</v>
      </c>
      <c r="K51" s="7">
        <v>0.51249999999999996</v>
      </c>
      <c r="L51" s="7">
        <v>0.55763888888888891</v>
      </c>
      <c r="M51" s="7">
        <v>0.60972222222222228</v>
      </c>
      <c r="N51" s="7">
        <v>0.63749999999999996</v>
      </c>
      <c r="O51" s="7">
        <v>0.65833333333333333</v>
      </c>
      <c r="P51" s="7">
        <v>0.68263888888888891</v>
      </c>
      <c r="Q51" s="7">
        <v>0.71597222222222223</v>
      </c>
      <c r="R51" s="7">
        <v>0.73819444444444449</v>
      </c>
      <c r="S51" s="7">
        <v>0.76944444444444449</v>
      </c>
      <c r="T51" s="7">
        <v>0.79722222222222228</v>
      </c>
      <c r="U51" s="7">
        <v>0.82499999999999996</v>
      </c>
    </row>
    <row r="52" spans="1:27">
      <c r="A52" s="6" t="s">
        <v>16</v>
      </c>
      <c r="B52" s="6" t="s">
        <v>17</v>
      </c>
      <c r="C52" s="7">
        <v>0.23402777777777778</v>
      </c>
      <c r="D52" s="7">
        <v>0.25347222222222221</v>
      </c>
      <c r="E52" s="7">
        <v>0.28125</v>
      </c>
      <c r="F52" s="7">
        <v>0.30902777777777779</v>
      </c>
      <c r="G52" s="7">
        <v>0.34027777777777779</v>
      </c>
      <c r="H52" s="7">
        <v>0.36805555555555558</v>
      </c>
      <c r="I52" s="7">
        <v>0.4201388888888889</v>
      </c>
      <c r="J52" s="7">
        <v>0.46527777777777779</v>
      </c>
      <c r="K52" s="7">
        <v>0.51736111111111116</v>
      </c>
      <c r="L52" s="7">
        <v>0.5625</v>
      </c>
      <c r="M52" s="7">
        <v>0.61458333333333337</v>
      </c>
      <c r="N52" s="7">
        <v>0.64236111111111116</v>
      </c>
      <c r="O52" s="7">
        <v>0.66319444444444442</v>
      </c>
      <c r="P52" s="7">
        <v>0.6875</v>
      </c>
      <c r="Q52" s="7">
        <v>0.72083333333333333</v>
      </c>
      <c r="R52" s="7">
        <v>0.74305555555555558</v>
      </c>
      <c r="S52" s="7">
        <v>0.77430555555555558</v>
      </c>
      <c r="T52" s="7">
        <v>0.80208333333333337</v>
      </c>
      <c r="U52" s="7">
        <v>0.82986111111111116</v>
      </c>
    </row>
    <row r="53" spans="1:27">
      <c r="A53" s="6" t="s">
        <v>14</v>
      </c>
      <c r="B53" s="6" t="s">
        <v>15</v>
      </c>
      <c r="C53" s="7">
        <v>0.23680555555555555</v>
      </c>
      <c r="D53" s="7">
        <v>0.25624999999999998</v>
      </c>
      <c r="E53" s="7">
        <v>0.28402777777777777</v>
      </c>
      <c r="F53" s="7">
        <v>0.31180555555555556</v>
      </c>
      <c r="G53" s="7">
        <v>0.34305555555555556</v>
      </c>
      <c r="H53" s="7">
        <v>0.37083333333333335</v>
      </c>
      <c r="I53" s="7">
        <v>0.42291666666666666</v>
      </c>
      <c r="J53" s="7">
        <v>0.46805555555555556</v>
      </c>
      <c r="K53" s="7">
        <v>0.52013888888888893</v>
      </c>
      <c r="L53" s="7">
        <v>0.56527777777777777</v>
      </c>
      <c r="M53" s="7">
        <v>0.61736111111111114</v>
      </c>
      <c r="N53" s="7">
        <v>0.64513888888888893</v>
      </c>
      <c r="O53" s="7">
        <v>0.66597222222222219</v>
      </c>
      <c r="P53" s="7">
        <v>0.69027777777777777</v>
      </c>
      <c r="Q53" s="7">
        <v>0.72361111111111109</v>
      </c>
      <c r="R53" s="7">
        <v>0.74583333333333335</v>
      </c>
      <c r="S53" s="7">
        <v>0.77708333333333335</v>
      </c>
      <c r="T53" s="7">
        <v>0.80486111111111114</v>
      </c>
      <c r="U53" s="7">
        <v>0.83263888888888893</v>
      </c>
    </row>
    <row r="54" spans="1:27">
      <c r="A54" s="1" t="s">
        <v>12</v>
      </c>
      <c r="B54" s="6" t="s">
        <v>13</v>
      </c>
      <c r="C54" s="7">
        <v>0.24097222222222223</v>
      </c>
      <c r="D54" s="7">
        <v>0.26041666666666669</v>
      </c>
      <c r="E54" s="7">
        <v>0.28819444444444442</v>
      </c>
      <c r="F54" s="7">
        <v>0.31597222222222221</v>
      </c>
      <c r="G54" s="7">
        <v>0.34722222222222221</v>
      </c>
      <c r="H54" s="7">
        <v>0.375</v>
      </c>
      <c r="I54" s="7">
        <v>0.42708333333333331</v>
      </c>
      <c r="J54" s="7">
        <v>0.47222222222222221</v>
      </c>
      <c r="K54" s="7">
        <v>0.52430555555555558</v>
      </c>
      <c r="L54" s="7">
        <v>0.56944444444444442</v>
      </c>
      <c r="M54" s="7">
        <v>0.62152777777777779</v>
      </c>
      <c r="N54" s="7">
        <v>0.64930555555555558</v>
      </c>
      <c r="O54" s="7">
        <v>0.67013888888888884</v>
      </c>
      <c r="P54" s="7">
        <v>0.69444444444444442</v>
      </c>
      <c r="Q54" s="7">
        <v>0.72777777777777775</v>
      </c>
      <c r="R54" s="7">
        <v>0.75</v>
      </c>
      <c r="S54" s="7">
        <v>0.78125</v>
      </c>
      <c r="T54" s="7">
        <v>0.80902777777777779</v>
      </c>
      <c r="U54" s="7">
        <v>0.83680555555555558</v>
      </c>
    </row>
    <row r="55" spans="1:27">
      <c r="A55" s="1" t="s">
        <v>10</v>
      </c>
      <c r="B55" s="6" t="s">
        <v>11</v>
      </c>
      <c r="C55" s="7">
        <v>0.24444444444444444</v>
      </c>
      <c r="D55" s="7">
        <v>0.2638888888888889</v>
      </c>
      <c r="E55" s="7">
        <v>0.29166666666666669</v>
      </c>
      <c r="F55" s="7">
        <v>0.31944444444444442</v>
      </c>
      <c r="G55" s="7">
        <v>0.35069444444444442</v>
      </c>
      <c r="H55" s="7">
        <v>0.37847222222222221</v>
      </c>
      <c r="I55" s="7">
        <v>0.43055555555555558</v>
      </c>
      <c r="J55" s="7">
        <v>0.47569444444444442</v>
      </c>
      <c r="K55" s="7">
        <v>0.52777777777777779</v>
      </c>
      <c r="L55" s="7">
        <v>0.57291666666666663</v>
      </c>
      <c r="M55" s="7">
        <v>0.625</v>
      </c>
      <c r="N55" s="7">
        <v>0.65277777777777779</v>
      </c>
      <c r="O55" s="7">
        <v>0.67361111111111116</v>
      </c>
      <c r="P55" s="7">
        <v>0.69791666666666663</v>
      </c>
      <c r="Q55" s="7">
        <v>0.73124999999999996</v>
      </c>
      <c r="R55" s="7">
        <v>0.75347222222222221</v>
      </c>
      <c r="S55" s="7">
        <v>0.78472222222222221</v>
      </c>
      <c r="T55" s="7">
        <v>0.8125</v>
      </c>
      <c r="U55" s="7">
        <v>0.84027777777777779</v>
      </c>
    </row>
    <row r="56" spans="1:27">
      <c r="A56" s="6" t="s">
        <v>8</v>
      </c>
      <c r="B56" s="6" t="s">
        <v>9</v>
      </c>
      <c r="C56" s="7">
        <v>0.25208333333333333</v>
      </c>
      <c r="D56" s="7">
        <v>0.27152777777777776</v>
      </c>
      <c r="E56" s="7">
        <v>0.29930555555555555</v>
      </c>
      <c r="F56" s="7">
        <v>0.32708333333333334</v>
      </c>
      <c r="G56" s="7">
        <v>0.35833333333333334</v>
      </c>
      <c r="H56" s="7">
        <v>0.38611111111111113</v>
      </c>
      <c r="I56" s="7">
        <v>0.43819444444444444</v>
      </c>
      <c r="J56" s="7">
        <v>0.48333333333333334</v>
      </c>
      <c r="K56" s="7">
        <v>0.53541666666666665</v>
      </c>
      <c r="L56" s="7">
        <v>0.5805555555555556</v>
      </c>
      <c r="M56" s="7">
        <v>0.63263888888888886</v>
      </c>
      <c r="N56" s="7">
        <v>0.66041666666666665</v>
      </c>
      <c r="O56" s="7">
        <v>0.68125000000000002</v>
      </c>
      <c r="P56" s="7">
        <v>0.7055555555555556</v>
      </c>
      <c r="Q56" s="7">
        <v>0.73888888888888893</v>
      </c>
      <c r="R56" s="7">
        <v>0.76111111111111107</v>
      </c>
      <c r="S56" s="7">
        <v>0.79236111111111107</v>
      </c>
      <c r="T56" s="7">
        <v>0.82013888888888886</v>
      </c>
      <c r="U56" s="7">
        <v>0.84791666666666665</v>
      </c>
    </row>
    <row r="57" spans="1:27">
      <c r="A57" s="6" t="s">
        <v>6</v>
      </c>
      <c r="B57" s="6" t="s">
        <v>7</v>
      </c>
      <c r="C57" s="7">
        <v>0.25486111111111109</v>
      </c>
      <c r="D57" s="7">
        <v>0.27430555555555558</v>
      </c>
      <c r="E57" s="7">
        <v>0.30208333333333331</v>
      </c>
      <c r="F57" s="7">
        <v>0.3298611111111111</v>
      </c>
      <c r="G57" s="7">
        <v>0.3611111111111111</v>
      </c>
      <c r="H57" s="7">
        <v>0.3888888888888889</v>
      </c>
      <c r="I57" s="7">
        <v>0.44097222222222221</v>
      </c>
      <c r="J57" s="7">
        <v>0.4861111111111111</v>
      </c>
      <c r="K57" s="7">
        <v>0.53819444444444442</v>
      </c>
      <c r="L57" s="7">
        <v>0.58333333333333337</v>
      </c>
      <c r="M57" s="7">
        <v>0.63541666666666663</v>
      </c>
      <c r="N57" s="7">
        <v>0.66319444444444442</v>
      </c>
      <c r="O57" s="7">
        <v>0.68402777777777779</v>
      </c>
      <c r="P57" s="7">
        <v>0.70833333333333337</v>
      </c>
      <c r="Q57" s="7">
        <v>0.7416666666666667</v>
      </c>
      <c r="R57" s="7">
        <v>0.76388888888888884</v>
      </c>
      <c r="S57" s="7">
        <v>0.79513888888888884</v>
      </c>
      <c r="T57" s="7">
        <v>0.82291666666666663</v>
      </c>
      <c r="U57" s="7">
        <v>0.85069444444444442</v>
      </c>
    </row>
    <row r="58" spans="1:27">
      <c r="A58" s="1" t="s">
        <v>4</v>
      </c>
      <c r="B58" s="6" t="s">
        <v>5</v>
      </c>
      <c r="C58" s="7">
        <v>0.25833333333333336</v>
      </c>
      <c r="D58" s="7">
        <v>0.27777777777777779</v>
      </c>
      <c r="E58" s="7">
        <v>0.30555555555555558</v>
      </c>
      <c r="F58" s="7">
        <v>0.33333333333333331</v>
      </c>
      <c r="G58" s="7">
        <v>0.36458333333333331</v>
      </c>
      <c r="H58" s="7">
        <v>0.3923611111111111</v>
      </c>
      <c r="I58" s="7">
        <v>0.44444444444444442</v>
      </c>
      <c r="J58" s="7">
        <v>0.48958333333333331</v>
      </c>
      <c r="K58" s="7">
        <v>0.54166666666666663</v>
      </c>
      <c r="L58" s="7">
        <v>0.58680555555555558</v>
      </c>
      <c r="M58" s="7">
        <v>0.63888888888888884</v>
      </c>
      <c r="N58" s="7">
        <v>0.66666666666666663</v>
      </c>
      <c r="O58" s="7">
        <v>0.6875</v>
      </c>
      <c r="P58" s="7">
        <v>0.71180555555555558</v>
      </c>
      <c r="Q58" s="7">
        <v>0.74513888888888891</v>
      </c>
      <c r="R58" s="7">
        <v>0.76736111111111116</v>
      </c>
      <c r="S58" s="7">
        <v>0.79861111111111116</v>
      </c>
      <c r="T58" s="7">
        <v>0.82638888888888884</v>
      </c>
      <c r="U58" s="7">
        <v>0.85416666666666663</v>
      </c>
    </row>
    <row r="61" spans="1:27">
      <c r="A61" s="6" t="s">
        <v>89</v>
      </c>
    </row>
    <row r="63" spans="1:27">
      <c r="A63" s="1" t="s">
        <v>2</v>
      </c>
      <c r="B63" s="1" t="s">
        <v>3</v>
      </c>
      <c r="C63" s="1">
        <v>4400</v>
      </c>
      <c r="D63" s="1">
        <v>4402</v>
      </c>
      <c r="E63" s="1">
        <v>4404</v>
      </c>
      <c r="F63" s="1">
        <v>4406</v>
      </c>
      <c r="G63" s="1">
        <v>4408</v>
      </c>
      <c r="H63" s="1">
        <v>4410</v>
      </c>
      <c r="I63" s="1">
        <v>4412</v>
      </c>
      <c r="J63" s="1">
        <v>4414</v>
      </c>
      <c r="K63" s="1">
        <v>4416</v>
      </c>
      <c r="L63" s="1">
        <v>4418</v>
      </c>
      <c r="M63" s="1">
        <v>4420</v>
      </c>
      <c r="N63" s="1">
        <v>4422</v>
      </c>
      <c r="O63" s="1">
        <v>4424</v>
      </c>
      <c r="P63" s="1">
        <v>4426</v>
      </c>
      <c r="Q63" s="1">
        <v>4428</v>
      </c>
      <c r="R63" s="1">
        <v>4430</v>
      </c>
      <c r="S63" s="1">
        <v>4432</v>
      </c>
      <c r="T63" s="1">
        <v>4434</v>
      </c>
      <c r="U63" s="1"/>
      <c r="V63" s="1"/>
      <c r="W63" s="1"/>
      <c r="X63" s="1"/>
      <c r="Y63" s="1"/>
      <c r="Z63" s="1"/>
      <c r="AA63" s="1"/>
    </row>
    <row r="64" spans="1:27">
      <c r="A64" s="3" t="s">
        <v>4</v>
      </c>
      <c r="B64" s="4" t="s">
        <v>5</v>
      </c>
      <c r="C64" s="5">
        <v>0.16319444444444445</v>
      </c>
      <c r="D64" s="5">
        <v>0.18402777777777779</v>
      </c>
      <c r="E64" s="5">
        <v>0.20833333333333334</v>
      </c>
      <c r="F64" s="5">
        <v>0.2361111111111111</v>
      </c>
      <c r="G64" s="5">
        <v>0.26527777777777778</v>
      </c>
      <c r="H64" s="5">
        <v>0.29166666666666669</v>
      </c>
      <c r="I64" s="5">
        <v>0.31944444444444442</v>
      </c>
      <c r="J64" s="5">
        <v>0.35416666666666669</v>
      </c>
      <c r="K64" s="5">
        <v>0.39930555555555558</v>
      </c>
      <c r="L64" s="5">
        <v>0.4513888888888889</v>
      </c>
      <c r="M64" s="5">
        <v>0.49652777777777779</v>
      </c>
      <c r="N64" s="5">
        <v>0.54861111111111116</v>
      </c>
      <c r="O64" s="5">
        <v>0.59375</v>
      </c>
      <c r="P64" s="5">
        <v>0.64583333333333337</v>
      </c>
      <c r="Q64" s="5">
        <v>0.67361111111111116</v>
      </c>
      <c r="R64" s="5">
        <v>0.69791666666666663</v>
      </c>
      <c r="S64" s="5">
        <v>0.72916666666666663</v>
      </c>
      <c r="T64" s="5">
        <v>0.75694444444444442</v>
      </c>
    </row>
    <row r="65" spans="1:27">
      <c r="A65" s="1" t="s">
        <v>6</v>
      </c>
      <c r="B65" s="6" t="s">
        <v>7</v>
      </c>
      <c r="C65" s="7">
        <v>0.16666666666666666</v>
      </c>
      <c r="D65" s="7">
        <v>0.1875</v>
      </c>
      <c r="E65" s="7">
        <v>0.21180555555555555</v>
      </c>
      <c r="F65" s="7">
        <v>0.23958333333333334</v>
      </c>
      <c r="G65" s="7">
        <v>0.26874999999999999</v>
      </c>
      <c r="H65" s="7">
        <v>0.2951388888888889</v>
      </c>
      <c r="I65" s="7">
        <v>0.32291666666666669</v>
      </c>
      <c r="J65" s="7">
        <v>0.3576388888888889</v>
      </c>
      <c r="K65" s="7">
        <v>0.40277777777777779</v>
      </c>
      <c r="L65" s="7">
        <v>0.4548611111111111</v>
      </c>
      <c r="M65" s="7">
        <v>0.5</v>
      </c>
      <c r="N65" s="7">
        <v>0.55208333333333337</v>
      </c>
      <c r="O65" s="7">
        <v>0.59722222222222221</v>
      </c>
      <c r="P65" s="7">
        <v>0.64930555555555558</v>
      </c>
      <c r="Q65" s="7">
        <v>0.67708333333333337</v>
      </c>
      <c r="R65" s="7">
        <v>0.70138888888888884</v>
      </c>
      <c r="S65" s="7">
        <v>0.73263888888888884</v>
      </c>
      <c r="T65" s="7">
        <v>0.76041666666666663</v>
      </c>
    </row>
    <row r="66" spans="1:27">
      <c r="A66" s="1" t="s">
        <v>8</v>
      </c>
      <c r="B66" s="6" t="s">
        <v>9</v>
      </c>
      <c r="C66" s="7">
        <v>0.16875000000000001</v>
      </c>
      <c r="D66" s="7">
        <v>0.18958333333333333</v>
      </c>
      <c r="E66" s="7">
        <v>0.21388888888888888</v>
      </c>
      <c r="F66" s="7">
        <v>0.24166666666666667</v>
      </c>
      <c r="G66" s="7">
        <v>0.27083333333333331</v>
      </c>
      <c r="H66" s="7">
        <v>0.29722222222222222</v>
      </c>
      <c r="I66" s="7">
        <v>0.32500000000000001</v>
      </c>
      <c r="J66" s="7">
        <v>0.35972222222222222</v>
      </c>
      <c r="K66" s="7">
        <v>0.40486111111111112</v>
      </c>
      <c r="L66" s="7">
        <v>0.45694444444444443</v>
      </c>
      <c r="M66" s="7">
        <v>0.50208333333333333</v>
      </c>
      <c r="N66" s="7">
        <v>0.5541666666666667</v>
      </c>
      <c r="O66" s="7">
        <v>0.59930555555555554</v>
      </c>
      <c r="P66" s="7">
        <v>0.65138888888888891</v>
      </c>
      <c r="Q66" s="7">
        <v>0.6791666666666667</v>
      </c>
      <c r="R66" s="7">
        <v>0.70347222222222228</v>
      </c>
      <c r="S66" s="7">
        <v>0.73472222222222228</v>
      </c>
      <c r="T66" s="7">
        <v>0.76249999999999996</v>
      </c>
    </row>
    <row r="67" spans="1:27">
      <c r="A67" s="6" t="s">
        <v>10</v>
      </c>
      <c r="B67" s="6" t="s">
        <v>11</v>
      </c>
      <c r="C67" s="7">
        <v>0.17708333333333334</v>
      </c>
      <c r="D67" s="7">
        <v>0.19791666666666666</v>
      </c>
      <c r="E67" s="7">
        <v>0.22222222222222221</v>
      </c>
      <c r="F67" s="7">
        <v>0.25</v>
      </c>
      <c r="G67" s="7">
        <v>0.27916666666666667</v>
      </c>
      <c r="H67" s="7">
        <v>0.30555555555555558</v>
      </c>
      <c r="I67" s="7">
        <v>0.33333333333333331</v>
      </c>
      <c r="J67" s="7">
        <v>0.36805555555555558</v>
      </c>
      <c r="K67" s="7">
        <v>0.41319444444444442</v>
      </c>
      <c r="L67" s="7">
        <v>0.46527777777777779</v>
      </c>
      <c r="M67" s="7">
        <v>0.51041666666666663</v>
      </c>
      <c r="N67" s="7">
        <v>0.5625</v>
      </c>
      <c r="O67" s="7">
        <v>0.60763888888888884</v>
      </c>
      <c r="P67" s="7">
        <v>0.65972222222222221</v>
      </c>
      <c r="Q67" s="7">
        <v>0.6875</v>
      </c>
      <c r="R67" s="7">
        <v>0.71180555555555558</v>
      </c>
      <c r="S67" s="7">
        <v>0.74305555555555558</v>
      </c>
      <c r="T67" s="7">
        <v>0.77083333333333337</v>
      </c>
    </row>
    <row r="68" spans="1:27">
      <c r="A68" s="6" t="s">
        <v>12</v>
      </c>
      <c r="B68" s="6" t="s">
        <v>13</v>
      </c>
      <c r="C68" s="7">
        <v>0.18055555555555555</v>
      </c>
      <c r="D68" s="7">
        <v>0.2013888888888889</v>
      </c>
      <c r="E68" s="7">
        <v>0.22569444444444445</v>
      </c>
      <c r="F68" s="7">
        <v>0.25347222222222221</v>
      </c>
      <c r="G68" s="7">
        <v>0.28263888888888888</v>
      </c>
      <c r="H68" s="7">
        <v>0.30902777777777779</v>
      </c>
      <c r="I68" s="7">
        <v>0.33680555555555558</v>
      </c>
      <c r="J68" s="7">
        <v>0.37152777777777779</v>
      </c>
      <c r="K68" s="7">
        <v>0.41666666666666669</v>
      </c>
      <c r="L68" s="7">
        <v>0.46875</v>
      </c>
      <c r="M68" s="7">
        <v>0.51388888888888884</v>
      </c>
      <c r="N68" s="7">
        <v>0.56597222222222221</v>
      </c>
      <c r="O68" s="7">
        <v>0.61111111111111116</v>
      </c>
      <c r="P68" s="7">
        <v>0.66319444444444442</v>
      </c>
      <c r="Q68" s="7">
        <v>0.69097222222222221</v>
      </c>
      <c r="R68" s="7">
        <v>0.71527777777777779</v>
      </c>
      <c r="S68" s="7">
        <v>0.74652777777777779</v>
      </c>
      <c r="T68" s="7">
        <v>0.77430555555555558</v>
      </c>
    </row>
    <row r="69" spans="1:27">
      <c r="A69" s="6" t="s">
        <v>14</v>
      </c>
      <c r="B69" s="6" t="s">
        <v>15</v>
      </c>
      <c r="C69" s="7">
        <v>0.18472222222222223</v>
      </c>
      <c r="D69" s="7">
        <v>0.20555555555555555</v>
      </c>
      <c r="E69" s="7">
        <v>0.2298611111111111</v>
      </c>
      <c r="F69" s="7">
        <v>0.25763888888888886</v>
      </c>
      <c r="G69" s="7">
        <v>0.28680555555555554</v>
      </c>
      <c r="H69" s="7">
        <v>0.31319444444444444</v>
      </c>
      <c r="I69" s="7">
        <v>0.34097222222222223</v>
      </c>
      <c r="J69" s="7">
        <v>0.37569444444444444</v>
      </c>
      <c r="K69" s="7">
        <v>0.42083333333333334</v>
      </c>
      <c r="L69" s="7">
        <v>0.47291666666666665</v>
      </c>
      <c r="M69" s="7">
        <v>0.5180555555555556</v>
      </c>
      <c r="N69" s="7">
        <v>0.57013888888888886</v>
      </c>
      <c r="O69" s="7">
        <v>0.61527777777777781</v>
      </c>
      <c r="P69" s="7">
        <v>0.66736111111111107</v>
      </c>
      <c r="Q69" s="7">
        <v>0.69513888888888886</v>
      </c>
      <c r="R69" s="7">
        <v>0.71944444444444444</v>
      </c>
      <c r="S69" s="7">
        <v>0.75069444444444444</v>
      </c>
      <c r="T69" s="7">
        <v>0.77847222222222223</v>
      </c>
    </row>
    <row r="70" spans="1:27">
      <c r="A70" s="1" t="s">
        <v>16</v>
      </c>
      <c r="B70" s="6" t="s">
        <v>17</v>
      </c>
      <c r="C70" s="7">
        <v>0.1875</v>
      </c>
      <c r="D70" s="7">
        <v>0.20833333333333334</v>
      </c>
      <c r="E70" s="7">
        <v>0.2326388888888889</v>
      </c>
      <c r="F70" s="7">
        <v>0.26041666666666669</v>
      </c>
      <c r="G70" s="7">
        <v>0.28958333333333336</v>
      </c>
      <c r="H70" s="7">
        <v>0.31597222222222221</v>
      </c>
      <c r="I70" s="7">
        <v>0.34375</v>
      </c>
      <c r="J70" s="7">
        <v>0.37847222222222221</v>
      </c>
      <c r="K70" s="7">
        <v>0.4236111111111111</v>
      </c>
      <c r="L70" s="7">
        <v>0.47569444444444442</v>
      </c>
      <c r="M70" s="7">
        <v>0.52083333333333337</v>
      </c>
      <c r="N70" s="7">
        <v>0.57291666666666663</v>
      </c>
      <c r="O70" s="7">
        <v>0.61805555555555558</v>
      </c>
      <c r="P70" s="7">
        <v>0.67013888888888884</v>
      </c>
      <c r="Q70" s="7">
        <v>0.69791666666666663</v>
      </c>
      <c r="R70" s="7">
        <v>0.72222222222222221</v>
      </c>
      <c r="S70" s="7">
        <v>0.75347222222222221</v>
      </c>
      <c r="T70" s="7">
        <v>0.78125</v>
      </c>
    </row>
    <row r="71" spans="1:27">
      <c r="A71" s="1" t="s">
        <v>18</v>
      </c>
      <c r="B71" s="6" t="s">
        <v>19</v>
      </c>
      <c r="C71" s="7">
        <v>0.19236111111111112</v>
      </c>
      <c r="D71" s="7">
        <v>0.21319444444444444</v>
      </c>
      <c r="E71" s="7">
        <v>0.23749999999999999</v>
      </c>
      <c r="F71" s="7">
        <v>0.26527777777777778</v>
      </c>
      <c r="G71" s="7">
        <v>0.29444444444444445</v>
      </c>
      <c r="H71" s="7">
        <v>0.32083333333333336</v>
      </c>
      <c r="I71" s="7">
        <v>0.34861111111111109</v>
      </c>
      <c r="J71" s="7">
        <v>0.38333333333333336</v>
      </c>
      <c r="K71" s="7">
        <v>0.4284722222222222</v>
      </c>
      <c r="L71" s="7">
        <v>0.48055555555555557</v>
      </c>
      <c r="M71" s="7">
        <v>0.52569444444444446</v>
      </c>
      <c r="N71" s="7">
        <v>0.57777777777777772</v>
      </c>
      <c r="O71" s="7">
        <v>0.62291666666666667</v>
      </c>
      <c r="P71" s="7">
        <v>0.67500000000000004</v>
      </c>
      <c r="Q71" s="7">
        <v>0.70277777777777772</v>
      </c>
      <c r="R71" s="7">
        <v>0.7270833333333333</v>
      </c>
      <c r="S71" s="7">
        <v>0.7583333333333333</v>
      </c>
      <c r="T71" s="7">
        <v>0.78611111111111109</v>
      </c>
    </row>
    <row r="72" spans="1:27">
      <c r="A72" s="6" t="s">
        <v>20</v>
      </c>
      <c r="B72" s="6" t="s">
        <v>21</v>
      </c>
      <c r="C72" s="7">
        <v>0.19583333333333333</v>
      </c>
      <c r="D72" s="7">
        <v>0.21666666666666667</v>
      </c>
      <c r="E72" s="7">
        <v>0.24097222222222223</v>
      </c>
      <c r="F72" s="7">
        <v>0.26874999999999999</v>
      </c>
      <c r="G72" s="7">
        <v>0.29791666666666666</v>
      </c>
      <c r="H72" s="7">
        <v>0.32430555555555557</v>
      </c>
      <c r="I72" s="7">
        <v>0.35208333333333336</v>
      </c>
      <c r="J72" s="7">
        <v>0.38680555555555557</v>
      </c>
      <c r="K72" s="7">
        <v>0.43194444444444446</v>
      </c>
      <c r="L72" s="7">
        <v>0.48402777777777778</v>
      </c>
      <c r="M72" s="7">
        <v>0.52916666666666667</v>
      </c>
      <c r="N72" s="7">
        <v>0.58125000000000004</v>
      </c>
      <c r="O72" s="7">
        <v>0.62638888888888888</v>
      </c>
      <c r="P72" s="7">
        <v>0.67847222222222225</v>
      </c>
      <c r="Q72" s="7">
        <v>0.70625000000000004</v>
      </c>
      <c r="R72" s="7">
        <v>0.73055555555555551</v>
      </c>
      <c r="S72" s="7">
        <v>0.76180555555555551</v>
      </c>
      <c r="T72" s="7">
        <v>0.7895833333333333</v>
      </c>
    </row>
    <row r="73" spans="1:27">
      <c r="A73" s="6" t="s">
        <v>22</v>
      </c>
      <c r="B73" s="6" t="s">
        <v>23</v>
      </c>
      <c r="C73" s="7">
        <v>0.20069444444444445</v>
      </c>
      <c r="D73" s="7">
        <v>0.22152777777777777</v>
      </c>
      <c r="E73" s="7">
        <v>0.24583333333333332</v>
      </c>
      <c r="F73" s="7">
        <v>0.27361111111111114</v>
      </c>
      <c r="G73" s="7">
        <v>0.30277777777777776</v>
      </c>
      <c r="H73" s="7">
        <v>0.32916666666666666</v>
      </c>
      <c r="I73" s="7">
        <v>0.35694444444444445</v>
      </c>
      <c r="J73" s="7">
        <v>0.39166666666666666</v>
      </c>
      <c r="K73" s="7">
        <v>0.43680555555555556</v>
      </c>
      <c r="L73" s="7">
        <v>0.48888888888888887</v>
      </c>
      <c r="M73" s="7">
        <v>0.53402777777777777</v>
      </c>
      <c r="N73" s="7">
        <v>0.58611111111111114</v>
      </c>
      <c r="O73" s="7">
        <v>0.63124999999999998</v>
      </c>
      <c r="P73" s="7">
        <v>0.68333333333333335</v>
      </c>
      <c r="Q73" s="7">
        <v>0.71111111111111114</v>
      </c>
      <c r="R73" s="7">
        <v>0.73541666666666672</v>
      </c>
      <c r="S73" s="7">
        <v>0.76666666666666672</v>
      </c>
      <c r="T73" s="7">
        <v>0.7944444444444444</v>
      </c>
    </row>
    <row r="74" spans="1:27">
      <c r="A74" s="1" t="s">
        <v>24</v>
      </c>
      <c r="B74" s="7" t="s">
        <v>25</v>
      </c>
      <c r="C74" s="7">
        <v>0.2048611111111111</v>
      </c>
      <c r="D74" s="7">
        <v>0.22569444444444445</v>
      </c>
      <c r="E74" s="7">
        <v>0.25</v>
      </c>
      <c r="F74" s="7">
        <v>0.27777777777777779</v>
      </c>
      <c r="G74" s="7">
        <v>0.30694444444444446</v>
      </c>
      <c r="H74" s="7">
        <v>0.33333333333333331</v>
      </c>
      <c r="I74" s="7">
        <v>0.3611111111111111</v>
      </c>
      <c r="J74" s="7">
        <v>0.39583333333333331</v>
      </c>
      <c r="K74" s="7">
        <v>0.44097222222222221</v>
      </c>
      <c r="L74" s="7">
        <v>0.49305555555555558</v>
      </c>
      <c r="M74" s="7">
        <v>0.53819444444444442</v>
      </c>
      <c r="N74" s="7">
        <v>0.59027777777777779</v>
      </c>
      <c r="O74" s="7">
        <v>0.63541666666666663</v>
      </c>
      <c r="P74" s="7">
        <v>0.6875</v>
      </c>
      <c r="Q74" s="7">
        <v>0.71527777777777779</v>
      </c>
      <c r="R74" s="7">
        <v>0.73958333333333337</v>
      </c>
      <c r="S74" s="7">
        <v>0.77083333333333337</v>
      </c>
      <c r="T74" s="7">
        <v>0.79861111111111116</v>
      </c>
    </row>
    <row r="77" spans="1:27">
      <c r="A77" s="6" t="s">
        <v>90</v>
      </c>
      <c r="B77" s="6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 t="s">
        <v>2</v>
      </c>
      <c r="B79" s="1" t="s">
        <v>3</v>
      </c>
      <c r="C79" s="1">
        <v>1801</v>
      </c>
      <c r="D79" s="1">
        <v>1803</v>
      </c>
      <c r="E79" s="1">
        <v>1805</v>
      </c>
      <c r="F79" s="1">
        <v>1807</v>
      </c>
      <c r="G79" s="1">
        <v>1809</v>
      </c>
      <c r="H79" s="1">
        <v>1811</v>
      </c>
      <c r="I79" s="1">
        <v>1813</v>
      </c>
      <c r="J79" s="1">
        <v>1815</v>
      </c>
      <c r="K79" s="1">
        <v>1817</v>
      </c>
      <c r="L79" s="1">
        <v>1819</v>
      </c>
      <c r="M79" s="1">
        <v>1821</v>
      </c>
      <c r="N79" s="1">
        <v>1823</v>
      </c>
      <c r="O79" s="1">
        <v>1825</v>
      </c>
      <c r="P79" s="1">
        <v>1827</v>
      </c>
      <c r="Q79" s="1">
        <v>1829</v>
      </c>
      <c r="R79" s="1">
        <v>1831</v>
      </c>
      <c r="S79" s="1">
        <v>1833</v>
      </c>
      <c r="T79" s="1"/>
      <c r="U79" s="1"/>
      <c r="V79" s="1"/>
      <c r="W79" s="1"/>
      <c r="X79" s="1"/>
      <c r="Y79" s="1"/>
      <c r="Z79" s="1"/>
      <c r="AA79" s="1"/>
    </row>
    <row r="80" spans="1:27">
      <c r="A80" s="4" t="s">
        <v>24</v>
      </c>
      <c r="B80" s="5">
        <f>'PTA-to-PIEN_Sat'!B79</f>
        <v>0</v>
      </c>
      <c r="C80" s="5">
        <v>0.21180555555555555</v>
      </c>
      <c r="D80" s="5">
        <v>0.24305555555555555</v>
      </c>
      <c r="E80" s="5">
        <v>0.27430555555555558</v>
      </c>
      <c r="F80" s="5">
        <v>0.30902777777777779</v>
      </c>
      <c r="G80" s="5">
        <v>0.34027777777777779</v>
      </c>
      <c r="H80" s="69">
        <v>0.375</v>
      </c>
      <c r="I80" s="5">
        <v>0.4375</v>
      </c>
      <c r="J80" s="69">
        <v>0.4861111111111111</v>
      </c>
      <c r="K80" s="5">
        <v>0.53472222222222221</v>
      </c>
      <c r="L80" s="5">
        <v>0.58333333333333337</v>
      </c>
      <c r="M80" s="5">
        <v>0.61458333333333337</v>
      </c>
      <c r="N80" s="5">
        <v>0.64583333333333337</v>
      </c>
      <c r="O80" s="5">
        <v>0.68055555555555558</v>
      </c>
      <c r="P80" s="5">
        <v>0.71180555555555558</v>
      </c>
      <c r="Q80" s="5">
        <v>0.74305555555555558</v>
      </c>
      <c r="R80" s="5">
        <v>0.77777777777777779</v>
      </c>
      <c r="S80" s="5">
        <v>0.81597222222222221</v>
      </c>
    </row>
    <row r="81" spans="1:19">
      <c r="A81" s="6" t="s">
        <v>91</v>
      </c>
      <c r="B81" s="6" t="s">
        <v>92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6" t="s">
        <v>93</v>
      </c>
      <c r="B82" s="6" t="s">
        <v>94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6" t="s">
        <v>22</v>
      </c>
      <c r="B83" s="6" t="s">
        <v>23</v>
      </c>
      <c r="C83" s="7">
        <v>0.21597222222222223</v>
      </c>
      <c r="D83" s="7">
        <v>0.24722222222222223</v>
      </c>
      <c r="E83" s="7">
        <v>0.27847222222222223</v>
      </c>
      <c r="F83" s="7">
        <v>0.31319444444444444</v>
      </c>
      <c r="G83" s="7">
        <v>0.34444444444444444</v>
      </c>
      <c r="H83" s="7">
        <v>0.37916666666666665</v>
      </c>
      <c r="I83" s="7">
        <v>0.44166666666666665</v>
      </c>
      <c r="J83" s="7">
        <v>0.49027777777777776</v>
      </c>
      <c r="K83" s="7">
        <v>0.53888888888888886</v>
      </c>
      <c r="L83" s="7">
        <v>0.58750000000000002</v>
      </c>
      <c r="M83" s="7">
        <v>0.61875000000000002</v>
      </c>
      <c r="N83" s="7">
        <v>0.65</v>
      </c>
      <c r="O83" s="7">
        <v>0.68472222222222223</v>
      </c>
      <c r="P83" s="7">
        <v>0.71597222222222223</v>
      </c>
      <c r="Q83" s="7">
        <v>0.74722222222222223</v>
      </c>
      <c r="R83" s="7">
        <v>0.78194444444444444</v>
      </c>
      <c r="S83" s="7">
        <v>0.82013888888888886</v>
      </c>
    </row>
    <row r="84" spans="1:19">
      <c r="A84" s="6" t="s">
        <v>95</v>
      </c>
      <c r="B84" s="6" t="s">
        <v>96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6" t="s">
        <v>97</v>
      </c>
      <c r="B85" s="6" t="s">
        <v>98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6" t="s">
        <v>99</v>
      </c>
      <c r="B86" s="6" t="s">
        <v>100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6" t="s">
        <v>101</v>
      </c>
      <c r="B87" s="6" t="s">
        <v>102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6" t="s">
        <v>20</v>
      </c>
      <c r="B88" s="6" t="s">
        <v>21</v>
      </c>
      <c r="C88" s="7">
        <v>0.22152777777777777</v>
      </c>
      <c r="D88" s="7">
        <v>0.25277777777777777</v>
      </c>
      <c r="E88" s="7">
        <v>0.28402777777777777</v>
      </c>
      <c r="F88" s="7">
        <v>0.31874999999999998</v>
      </c>
      <c r="G88" s="7">
        <v>0.35</v>
      </c>
      <c r="H88" s="7">
        <v>0.38472222222222224</v>
      </c>
      <c r="I88" s="7">
        <v>0.44722222222222224</v>
      </c>
      <c r="J88" s="7">
        <v>0.49583333333333335</v>
      </c>
      <c r="K88" s="7">
        <v>0.5444444444444444</v>
      </c>
      <c r="L88" s="7">
        <v>0.59305555555555556</v>
      </c>
      <c r="M88" s="7">
        <v>0.62430555555555556</v>
      </c>
      <c r="N88" s="7">
        <v>0.65555555555555556</v>
      </c>
      <c r="O88" s="7">
        <v>0.69027777777777777</v>
      </c>
      <c r="P88" s="7">
        <v>0.72152777777777777</v>
      </c>
      <c r="Q88" s="7">
        <v>0.75277777777777777</v>
      </c>
      <c r="R88" s="7">
        <v>0.78749999999999998</v>
      </c>
      <c r="S88" s="7">
        <v>0.8256944444444444</v>
      </c>
    </row>
    <row r="89" spans="1:19">
      <c r="A89" s="6" t="s">
        <v>103</v>
      </c>
      <c r="B89" s="6" t="s">
        <v>104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6" t="s">
        <v>18</v>
      </c>
      <c r="B90" s="6" t="s">
        <v>19</v>
      </c>
      <c r="C90" s="7">
        <v>0.22500000000000001</v>
      </c>
      <c r="D90" s="7">
        <v>0.25624999999999998</v>
      </c>
      <c r="E90" s="7">
        <v>0.28749999999999998</v>
      </c>
      <c r="F90" s="7">
        <v>0.32222222222222224</v>
      </c>
      <c r="G90" s="7">
        <v>0.35347222222222224</v>
      </c>
      <c r="H90" s="7">
        <v>0.38819444444444445</v>
      </c>
      <c r="I90" s="7">
        <v>0.45069444444444445</v>
      </c>
      <c r="J90" s="7">
        <v>0.49930555555555556</v>
      </c>
      <c r="K90" s="7">
        <v>0.54791666666666672</v>
      </c>
      <c r="L90" s="7">
        <v>0.59652777777777777</v>
      </c>
      <c r="M90" s="7">
        <v>0.62777777777777777</v>
      </c>
      <c r="N90" s="7">
        <v>0.65902777777777777</v>
      </c>
      <c r="O90" s="7">
        <v>0.69374999999999998</v>
      </c>
      <c r="P90" s="7">
        <v>0.72499999999999998</v>
      </c>
      <c r="Q90" s="7">
        <v>0.75624999999999998</v>
      </c>
      <c r="R90" s="7">
        <v>0.79097222222222219</v>
      </c>
      <c r="S90" s="7">
        <v>0.82916666666666672</v>
      </c>
    </row>
    <row r="91" spans="1:19">
      <c r="A91" s="6" t="s">
        <v>105</v>
      </c>
      <c r="B91" s="6" t="s">
        <v>106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6" t="s">
        <v>16</v>
      </c>
      <c r="B92" s="6" t="s">
        <v>17</v>
      </c>
      <c r="C92" s="7">
        <v>0.2298611111111111</v>
      </c>
      <c r="D92" s="7">
        <v>0.26111111111111113</v>
      </c>
      <c r="E92" s="7">
        <v>0.29236111111111113</v>
      </c>
      <c r="F92" s="7">
        <v>0.32708333333333334</v>
      </c>
      <c r="G92" s="7">
        <v>0.35833333333333334</v>
      </c>
      <c r="H92" s="7">
        <v>0.39305555555555555</v>
      </c>
      <c r="I92" s="7">
        <v>0.45555555555555555</v>
      </c>
      <c r="J92" s="7">
        <v>0.50416666666666665</v>
      </c>
      <c r="K92" s="7">
        <v>0.55277777777777781</v>
      </c>
      <c r="L92" s="7">
        <v>0.60138888888888886</v>
      </c>
      <c r="M92" s="7">
        <v>0.63263888888888886</v>
      </c>
      <c r="N92" s="7">
        <v>0.66388888888888886</v>
      </c>
      <c r="O92" s="7">
        <v>0.69861111111111107</v>
      </c>
      <c r="P92" s="7">
        <v>0.72986111111111107</v>
      </c>
      <c r="Q92" s="7">
        <v>0.76111111111111107</v>
      </c>
      <c r="R92" s="7">
        <v>0.79583333333333328</v>
      </c>
      <c r="S92" s="7">
        <v>0.83402777777777781</v>
      </c>
    </row>
    <row r="93" spans="1:19">
      <c r="A93" s="6" t="s">
        <v>14</v>
      </c>
      <c r="B93" s="6" t="s">
        <v>15</v>
      </c>
      <c r="C93" s="7">
        <v>0.2326388888888889</v>
      </c>
      <c r="D93" s="7">
        <v>0.2638888888888889</v>
      </c>
      <c r="E93" s="7">
        <v>0.2951388888888889</v>
      </c>
      <c r="F93" s="7">
        <v>0.3298611111111111</v>
      </c>
      <c r="G93" s="7">
        <v>0.3611111111111111</v>
      </c>
      <c r="H93" s="7">
        <v>0.39583333333333331</v>
      </c>
      <c r="I93" s="7">
        <v>0.45833333333333331</v>
      </c>
      <c r="J93" s="7">
        <v>0.50694444444444442</v>
      </c>
      <c r="K93" s="7">
        <v>0.55555555555555558</v>
      </c>
      <c r="L93" s="7">
        <v>0.60416666666666663</v>
      </c>
      <c r="M93" s="7">
        <v>0.63541666666666663</v>
      </c>
      <c r="N93" s="7">
        <v>0.66666666666666663</v>
      </c>
      <c r="O93" s="7">
        <v>0.70138888888888884</v>
      </c>
      <c r="P93" s="7">
        <v>0.73263888888888884</v>
      </c>
      <c r="Q93" s="7">
        <v>0.76388888888888884</v>
      </c>
      <c r="R93" s="7">
        <v>0.79861111111111116</v>
      </c>
      <c r="S93" s="7">
        <v>0.83680555555555558</v>
      </c>
    </row>
    <row r="94" spans="1:19">
      <c r="A94" s="6" t="s">
        <v>12</v>
      </c>
      <c r="B94" s="6" t="s">
        <v>13</v>
      </c>
      <c r="C94" s="7">
        <v>0.2361111111111111</v>
      </c>
      <c r="D94" s="7">
        <v>0.2673611111111111</v>
      </c>
      <c r="E94" s="7">
        <v>0.2986111111111111</v>
      </c>
      <c r="F94" s="7">
        <v>0.33333333333333331</v>
      </c>
      <c r="G94" s="7">
        <v>0.36458333333333331</v>
      </c>
      <c r="H94" s="7">
        <v>0.39930555555555558</v>
      </c>
      <c r="I94" s="7">
        <v>0.46180555555555558</v>
      </c>
      <c r="J94" s="7">
        <v>0.51041666666666663</v>
      </c>
      <c r="K94" s="7">
        <v>0.55902777777777779</v>
      </c>
      <c r="L94" s="7">
        <v>0.60763888888888884</v>
      </c>
      <c r="M94" s="7">
        <v>0.63888888888888884</v>
      </c>
      <c r="N94" s="7">
        <v>0.67013888888888884</v>
      </c>
      <c r="O94" s="7">
        <v>0.70486111111111116</v>
      </c>
      <c r="P94" s="7">
        <v>0.73611111111111116</v>
      </c>
      <c r="Q94" s="7">
        <v>0.76736111111111116</v>
      </c>
      <c r="R94" s="7">
        <v>0.80208333333333337</v>
      </c>
      <c r="S94" s="7">
        <v>0.84027777777777779</v>
      </c>
    </row>
    <row r="95" spans="1:19">
      <c r="A95" s="6" t="s">
        <v>107</v>
      </c>
      <c r="B95" s="6" t="s">
        <v>108</v>
      </c>
      <c r="C95" s="7">
        <v>0.24097222222222223</v>
      </c>
      <c r="D95" s="7">
        <v>0.2722222222222222</v>
      </c>
      <c r="E95" s="7">
        <v>0.3034722222222222</v>
      </c>
      <c r="F95" s="7">
        <v>0.33819444444444446</v>
      </c>
      <c r="G95" s="7">
        <v>0.36944444444444446</v>
      </c>
      <c r="H95" s="7">
        <v>0.40416666666666667</v>
      </c>
      <c r="I95" s="7">
        <v>0.46666666666666667</v>
      </c>
      <c r="J95" s="7">
        <v>0.51527777777777772</v>
      </c>
      <c r="K95" s="7">
        <v>0.56388888888888888</v>
      </c>
      <c r="L95" s="7">
        <v>0.61250000000000004</v>
      </c>
      <c r="M95" s="7">
        <v>0.64375000000000004</v>
      </c>
      <c r="N95" s="7">
        <v>0.67500000000000004</v>
      </c>
      <c r="O95" s="7">
        <v>0.70972222222222225</v>
      </c>
      <c r="P95" s="7">
        <v>0.74097222222222225</v>
      </c>
      <c r="Q95" s="7">
        <v>0.77222222222222225</v>
      </c>
      <c r="R95" s="7">
        <v>0.80694444444444446</v>
      </c>
      <c r="S95" s="7">
        <v>0.84513888888888888</v>
      </c>
    </row>
    <row r="96" spans="1:19">
      <c r="A96" s="6" t="s">
        <v>109</v>
      </c>
      <c r="B96" s="70" t="s">
        <v>110</v>
      </c>
      <c r="C96" s="7">
        <v>0.24444444444444444</v>
      </c>
      <c r="D96" s="7">
        <v>0.27569444444444446</v>
      </c>
      <c r="E96" s="7">
        <v>0.30694444444444446</v>
      </c>
      <c r="F96" s="7">
        <v>0.34166666666666667</v>
      </c>
      <c r="G96" s="7">
        <v>0.37291666666666667</v>
      </c>
      <c r="H96" s="7">
        <v>0.40763888888888888</v>
      </c>
      <c r="I96" s="7">
        <v>0.47013888888888888</v>
      </c>
      <c r="J96" s="7">
        <v>0.51875000000000004</v>
      </c>
      <c r="K96" s="7">
        <v>0.56736111111111109</v>
      </c>
      <c r="L96" s="7">
        <v>0.61597222222222225</v>
      </c>
      <c r="M96" s="7">
        <v>0.64722222222222225</v>
      </c>
      <c r="N96" s="7">
        <v>0.67847222222222225</v>
      </c>
      <c r="O96" s="7">
        <v>0.71319444444444446</v>
      </c>
      <c r="P96" s="7">
        <v>0.74444444444444446</v>
      </c>
      <c r="Q96" s="7">
        <v>0.77569444444444446</v>
      </c>
      <c r="R96" s="7">
        <v>0.81041666666666667</v>
      </c>
      <c r="S96" s="7">
        <v>0.84861111111111109</v>
      </c>
    </row>
    <row r="97" spans="1:27">
      <c r="A97" s="6" t="s">
        <v>111</v>
      </c>
      <c r="B97" s="6" t="s">
        <v>112</v>
      </c>
    </row>
    <row r="98" spans="1:27">
      <c r="A98" s="6" t="s">
        <v>113</v>
      </c>
      <c r="B98" s="6" t="s">
        <v>114</v>
      </c>
    </row>
    <row r="99" spans="1:27">
      <c r="A99" s="6" t="s">
        <v>115</v>
      </c>
      <c r="B99" s="6" t="s">
        <v>116</v>
      </c>
      <c r="C99" s="7">
        <v>0.25347222222222221</v>
      </c>
      <c r="D99" s="7">
        <v>0.28472222222222221</v>
      </c>
      <c r="E99" s="7">
        <v>0.31597222222222221</v>
      </c>
      <c r="F99" s="7">
        <v>0.35069444444444442</v>
      </c>
      <c r="G99" s="7">
        <v>0.38194444444444442</v>
      </c>
      <c r="H99" s="7">
        <v>0.41666666666666669</v>
      </c>
      <c r="I99" s="7">
        <v>0.47916666666666669</v>
      </c>
      <c r="J99" s="7">
        <v>0.52777777777777779</v>
      </c>
      <c r="K99" s="7">
        <v>0.57638888888888884</v>
      </c>
      <c r="L99" s="7">
        <v>0.625</v>
      </c>
      <c r="M99" s="7">
        <v>0.65625</v>
      </c>
      <c r="N99" s="7">
        <v>0.6875</v>
      </c>
      <c r="O99" s="7">
        <v>0.72222222222222221</v>
      </c>
      <c r="P99" s="7">
        <v>0.75347222222222221</v>
      </c>
      <c r="Q99" s="7">
        <v>0.78472222222222221</v>
      </c>
      <c r="R99" s="7">
        <v>0.81944444444444442</v>
      </c>
      <c r="S99" s="7">
        <v>0.85763888888888884</v>
      </c>
    </row>
    <row r="102" spans="1:27">
      <c r="A102" s="6" t="s">
        <v>117</v>
      </c>
    </row>
    <row r="104" spans="1:27">
      <c r="A104" s="1" t="s">
        <v>2</v>
      </c>
      <c r="B104" s="1" t="s">
        <v>3</v>
      </c>
      <c r="C104" s="1">
        <v>1800</v>
      </c>
      <c r="D104" s="1">
        <v>1802</v>
      </c>
      <c r="E104" s="1">
        <v>1804</v>
      </c>
      <c r="F104" s="1">
        <v>1806</v>
      </c>
      <c r="G104" s="1">
        <v>1808</v>
      </c>
      <c r="H104" s="1">
        <v>1810</v>
      </c>
      <c r="I104" s="1">
        <v>1812</v>
      </c>
      <c r="J104" s="1">
        <v>1814</v>
      </c>
      <c r="K104" s="1">
        <v>1816</v>
      </c>
      <c r="L104" s="1">
        <v>1818</v>
      </c>
      <c r="M104" s="1">
        <v>1820</v>
      </c>
      <c r="N104" s="1">
        <v>1822</v>
      </c>
      <c r="O104" s="1">
        <v>1824</v>
      </c>
      <c r="P104" s="1">
        <v>1826</v>
      </c>
      <c r="Q104" s="1">
        <v>1828</v>
      </c>
      <c r="R104" s="1">
        <v>1830</v>
      </c>
      <c r="S104" s="1">
        <v>1832</v>
      </c>
      <c r="T104" s="1">
        <v>1834</v>
      </c>
      <c r="U104" s="1"/>
      <c r="V104" s="1"/>
      <c r="W104" s="1"/>
      <c r="X104" s="1"/>
      <c r="Y104" s="1"/>
      <c r="Z104" s="1"/>
      <c r="AA104" s="1"/>
    </row>
    <row r="105" spans="1:27">
      <c r="A105" s="4" t="s">
        <v>115</v>
      </c>
      <c r="B105" s="4" t="s">
        <v>116</v>
      </c>
      <c r="C105" s="5">
        <v>0.16319444444444445</v>
      </c>
      <c r="D105" s="5">
        <v>0.19444444444444445</v>
      </c>
      <c r="E105" s="5">
        <v>0.22569444444444445</v>
      </c>
      <c r="F105" s="5">
        <v>0.26041666666666669</v>
      </c>
      <c r="G105" s="5">
        <v>0.29166666666666669</v>
      </c>
      <c r="H105" s="5">
        <v>0.32291666666666669</v>
      </c>
      <c r="I105" s="5">
        <v>0.3576388888888889</v>
      </c>
      <c r="J105" s="5">
        <v>0.3888888888888889</v>
      </c>
      <c r="K105" s="5">
        <v>0.4375</v>
      </c>
      <c r="L105" s="5">
        <v>0.4861111111111111</v>
      </c>
      <c r="M105" s="5">
        <v>0.53472222222222221</v>
      </c>
      <c r="N105" s="5">
        <v>0.56597222222222221</v>
      </c>
      <c r="O105" s="5">
        <v>0.59722222222222221</v>
      </c>
      <c r="P105" s="5">
        <v>0.63194444444444442</v>
      </c>
      <c r="Q105" s="5">
        <v>0.66319444444444442</v>
      </c>
      <c r="R105" s="5">
        <v>0.69444444444444442</v>
      </c>
      <c r="S105" s="5">
        <v>0.72916666666666663</v>
      </c>
      <c r="T105" s="5">
        <v>0.76041666666666663</v>
      </c>
    </row>
    <row r="106" spans="1:27">
      <c r="A106" s="6" t="s">
        <v>113</v>
      </c>
      <c r="B106" s="6" t="s">
        <v>114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27">
      <c r="A107" s="6" t="s">
        <v>111</v>
      </c>
      <c r="B107" s="6" t="s">
        <v>112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27">
      <c r="A108" s="6" t="s">
        <v>109</v>
      </c>
      <c r="B108" s="6" t="s">
        <v>110</v>
      </c>
      <c r="C108" s="7">
        <v>0.17152777777777778</v>
      </c>
      <c r="D108" s="7">
        <v>0.20277777777777778</v>
      </c>
      <c r="E108" s="7">
        <v>0.23402777777777778</v>
      </c>
      <c r="F108" s="7">
        <v>0.26874999999999999</v>
      </c>
      <c r="G108" s="7">
        <v>0.3</v>
      </c>
      <c r="H108" s="7">
        <v>0.33124999999999999</v>
      </c>
      <c r="I108" s="7">
        <v>0.3659722222222222</v>
      </c>
      <c r="J108" s="7">
        <v>0.3972222222222222</v>
      </c>
      <c r="K108" s="7">
        <v>0.44583333333333336</v>
      </c>
      <c r="L108" s="7">
        <v>0.49444444444444446</v>
      </c>
      <c r="M108" s="7">
        <v>0.54305555555555551</v>
      </c>
      <c r="N108" s="7">
        <v>0.57430555555555551</v>
      </c>
      <c r="O108" s="7">
        <v>0.60555555555555551</v>
      </c>
      <c r="P108" s="7">
        <v>0.64027777777777772</v>
      </c>
      <c r="Q108" s="7">
        <f t="shared" ref="Q108:T108" si="96">Q105+$X132</f>
        <v>0.66319444444444442</v>
      </c>
      <c r="R108" s="7">
        <f t="shared" si="96"/>
        <v>0.69444444444444442</v>
      </c>
      <c r="S108" s="7">
        <f t="shared" si="96"/>
        <v>0.72916666666666663</v>
      </c>
      <c r="T108" s="7">
        <f t="shared" si="96"/>
        <v>0.76041666666666663</v>
      </c>
    </row>
    <row r="109" spans="1:27">
      <c r="A109" s="6" t="s">
        <v>107</v>
      </c>
      <c r="B109" s="6" t="s">
        <v>108</v>
      </c>
      <c r="C109" s="7">
        <v>0.17569444444444443</v>
      </c>
      <c r="D109" s="7">
        <v>0.20694444444444443</v>
      </c>
      <c r="E109" s="7">
        <v>0.23819444444444443</v>
      </c>
      <c r="F109" s="7">
        <v>0.27291666666666664</v>
      </c>
      <c r="G109" s="7">
        <v>0.30416666666666664</v>
      </c>
      <c r="H109" s="7">
        <v>0.33541666666666664</v>
      </c>
      <c r="I109" s="7">
        <v>0.37013888888888891</v>
      </c>
      <c r="J109" s="7">
        <v>0.40138888888888891</v>
      </c>
      <c r="K109" s="7">
        <v>0.45</v>
      </c>
      <c r="L109" s="7">
        <v>0.49861111111111112</v>
      </c>
      <c r="M109" s="7">
        <v>0.54722222222222228</v>
      </c>
      <c r="N109" s="7">
        <v>0.57847222222222228</v>
      </c>
      <c r="O109" s="7">
        <v>0.60972222222222228</v>
      </c>
      <c r="P109" s="7">
        <v>0.64444444444444449</v>
      </c>
      <c r="Q109" s="7">
        <f t="shared" ref="Q109:T109" si="97">Q108+$X133</f>
        <v>0.66319444444444442</v>
      </c>
      <c r="R109" s="7">
        <f t="shared" si="97"/>
        <v>0.69444444444444442</v>
      </c>
      <c r="S109" s="7">
        <f t="shared" si="97"/>
        <v>0.72916666666666663</v>
      </c>
      <c r="T109" s="7">
        <f t="shared" si="97"/>
        <v>0.76041666666666663</v>
      </c>
    </row>
    <row r="110" spans="1:27">
      <c r="A110" s="6" t="s">
        <v>12</v>
      </c>
      <c r="B110" s="6" t="s">
        <v>13</v>
      </c>
      <c r="C110" s="7">
        <v>0.18055555555555555</v>
      </c>
      <c r="D110" s="7">
        <v>0.21180555555555555</v>
      </c>
      <c r="E110" s="7">
        <v>0.24305555555555555</v>
      </c>
      <c r="F110" s="7">
        <v>0.27777777777777779</v>
      </c>
      <c r="G110" s="7">
        <v>0.30902777777777779</v>
      </c>
      <c r="H110" s="7">
        <v>0.34027777777777779</v>
      </c>
      <c r="I110" s="7">
        <v>0.375</v>
      </c>
      <c r="J110" s="7">
        <v>0.40625</v>
      </c>
      <c r="K110" s="7">
        <v>0.4548611111111111</v>
      </c>
      <c r="L110" s="7">
        <v>0.50347222222222221</v>
      </c>
      <c r="M110" s="7">
        <v>0.55208333333333337</v>
      </c>
      <c r="N110" s="7">
        <v>0.58333333333333337</v>
      </c>
      <c r="O110" s="7">
        <v>0.61458333333333337</v>
      </c>
      <c r="P110" s="7">
        <v>0.64930555555555558</v>
      </c>
      <c r="Q110" s="7">
        <f t="shared" ref="Q110:T110" si="98">Q109+$X134</f>
        <v>0.66319444444444442</v>
      </c>
      <c r="R110" s="7">
        <f t="shared" si="98"/>
        <v>0.69444444444444442</v>
      </c>
      <c r="S110" s="7">
        <f t="shared" si="98"/>
        <v>0.72916666666666663</v>
      </c>
      <c r="T110" s="7">
        <f t="shared" si="98"/>
        <v>0.76041666666666663</v>
      </c>
    </row>
    <row r="111" spans="1:27">
      <c r="A111" s="6" t="s">
        <v>14</v>
      </c>
      <c r="B111" s="6" t="s">
        <v>15</v>
      </c>
      <c r="C111" s="7">
        <v>0.18472222222222223</v>
      </c>
      <c r="D111" s="7">
        <v>0.21597222222222223</v>
      </c>
      <c r="E111" s="7">
        <v>0.24722222222222223</v>
      </c>
      <c r="F111" s="7">
        <v>0.28194444444444444</v>
      </c>
      <c r="G111" s="7">
        <v>0.31319444444444444</v>
      </c>
      <c r="H111" s="7">
        <v>0.34444444444444444</v>
      </c>
      <c r="I111" s="7">
        <v>0.37916666666666665</v>
      </c>
      <c r="J111" s="7">
        <v>0.41041666666666665</v>
      </c>
      <c r="K111" s="7">
        <v>0.45902777777777776</v>
      </c>
      <c r="L111" s="7">
        <v>0.50763888888888886</v>
      </c>
      <c r="M111" s="7">
        <v>0.55625000000000002</v>
      </c>
      <c r="N111" s="7">
        <v>0.58750000000000002</v>
      </c>
      <c r="O111" s="7">
        <v>0.61875000000000002</v>
      </c>
      <c r="P111" s="7">
        <v>0.65347222222222223</v>
      </c>
      <c r="Q111" s="7">
        <f t="shared" ref="Q111:T111" si="99">Q110+$X135</f>
        <v>0.66319444444444442</v>
      </c>
      <c r="R111" s="7">
        <f t="shared" si="99"/>
        <v>0.69444444444444442</v>
      </c>
      <c r="S111" s="7">
        <f t="shared" si="99"/>
        <v>0.72916666666666663</v>
      </c>
      <c r="T111" s="7">
        <f t="shared" si="99"/>
        <v>0.76041666666666663</v>
      </c>
    </row>
    <row r="112" spans="1:27">
      <c r="A112" s="6" t="s">
        <v>16</v>
      </c>
      <c r="B112" s="6" t="s">
        <v>17</v>
      </c>
      <c r="C112" s="7">
        <v>0.1875</v>
      </c>
      <c r="D112" s="7">
        <v>0.21875</v>
      </c>
      <c r="E112" s="7">
        <v>0.25</v>
      </c>
      <c r="F112" s="7">
        <v>0.28472222222222221</v>
      </c>
      <c r="G112" s="7">
        <v>0.31597222222222221</v>
      </c>
      <c r="H112" s="7">
        <v>0.34722222222222221</v>
      </c>
      <c r="I112" s="7">
        <v>0.38194444444444442</v>
      </c>
      <c r="J112" s="7">
        <v>0.41319444444444442</v>
      </c>
      <c r="K112" s="7">
        <v>0.46180555555555558</v>
      </c>
      <c r="L112" s="7">
        <v>0.51041666666666663</v>
      </c>
      <c r="M112" s="7">
        <v>0.55902777777777779</v>
      </c>
      <c r="N112" s="7">
        <v>0.59027777777777779</v>
      </c>
      <c r="O112" s="7">
        <v>0.62152777777777779</v>
      </c>
      <c r="P112" s="7">
        <v>0.65625</v>
      </c>
      <c r="Q112" s="7">
        <f t="shared" ref="Q112:T112" si="100">Q111+$X136</f>
        <v>0.66319444444444442</v>
      </c>
      <c r="R112" s="7">
        <f t="shared" si="100"/>
        <v>0.69444444444444442</v>
      </c>
      <c r="S112" s="7">
        <f t="shared" si="100"/>
        <v>0.72916666666666663</v>
      </c>
      <c r="T112" s="7">
        <f t="shared" si="100"/>
        <v>0.76041666666666663</v>
      </c>
    </row>
    <row r="113" spans="1:27">
      <c r="A113" s="6" t="s">
        <v>105</v>
      </c>
      <c r="B113" s="6" t="s">
        <v>106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7">
      <c r="A114" s="6" t="s">
        <v>18</v>
      </c>
      <c r="B114" s="6" t="s">
        <v>19</v>
      </c>
      <c r="C114" s="7">
        <v>0.19236111111111112</v>
      </c>
      <c r="D114" s="7">
        <v>0.22361111111111112</v>
      </c>
      <c r="E114" s="7">
        <v>0.25486111111111109</v>
      </c>
      <c r="F114" s="7">
        <v>0.28958333333333336</v>
      </c>
      <c r="G114" s="7">
        <v>0.32083333333333336</v>
      </c>
      <c r="H114" s="7">
        <v>0.35208333333333336</v>
      </c>
      <c r="I114" s="7">
        <v>0.38680555555555557</v>
      </c>
      <c r="J114" s="7">
        <v>0.41805555555555557</v>
      </c>
      <c r="K114" s="7">
        <v>0.46666666666666667</v>
      </c>
      <c r="L114" s="7">
        <v>0.51527777777777772</v>
      </c>
      <c r="M114" s="7">
        <v>0.56388888888888888</v>
      </c>
      <c r="N114" s="7">
        <v>0.59513888888888888</v>
      </c>
      <c r="O114" s="7">
        <v>0.62638888888888888</v>
      </c>
      <c r="P114" s="7">
        <v>0.66111111111111109</v>
      </c>
      <c r="Q114" s="7">
        <f t="shared" ref="Q114:T114" si="101">Q112+$X138</f>
        <v>0.66319444444444442</v>
      </c>
      <c r="R114" s="7">
        <f t="shared" si="101"/>
        <v>0.69444444444444442</v>
      </c>
      <c r="S114" s="7">
        <f t="shared" si="101"/>
        <v>0.72916666666666663</v>
      </c>
      <c r="T114" s="7">
        <f t="shared" si="101"/>
        <v>0.76041666666666663</v>
      </c>
    </row>
    <row r="115" spans="1:27">
      <c r="A115" s="6" t="s">
        <v>103</v>
      </c>
      <c r="B115" s="6" t="s">
        <v>104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7">
      <c r="A116" s="6" t="s">
        <v>20</v>
      </c>
      <c r="B116" s="6" t="s">
        <v>21</v>
      </c>
      <c r="C116" s="7">
        <v>0.19583333333333333</v>
      </c>
      <c r="D116" s="7">
        <v>0.22708333333333333</v>
      </c>
      <c r="E116" s="7">
        <v>0.25833333333333336</v>
      </c>
      <c r="F116" s="7">
        <v>0.29305555555555557</v>
      </c>
      <c r="G116" s="7">
        <v>0.32430555555555557</v>
      </c>
      <c r="H116" s="7">
        <v>0.35555555555555557</v>
      </c>
      <c r="I116" s="7">
        <v>0.39027777777777778</v>
      </c>
      <c r="J116" s="7">
        <v>0.42152777777777778</v>
      </c>
      <c r="K116" s="7">
        <v>0.47013888888888888</v>
      </c>
      <c r="L116" s="7">
        <v>0.51875000000000004</v>
      </c>
      <c r="M116" s="7">
        <v>0.56736111111111109</v>
      </c>
      <c r="N116" s="7">
        <v>0.59861111111111109</v>
      </c>
      <c r="O116" s="7">
        <v>0.62986111111111109</v>
      </c>
      <c r="P116" s="7">
        <v>0.6645833333333333</v>
      </c>
      <c r="Q116" s="7">
        <f t="shared" ref="Q116:T116" si="102">Q114+$X140</f>
        <v>0.66319444444444442</v>
      </c>
      <c r="R116" s="7">
        <f t="shared" si="102"/>
        <v>0.69444444444444442</v>
      </c>
      <c r="S116" s="7">
        <f t="shared" si="102"/>
        <v>0.72916666666666663</v>
      </c>
      <c r="T116" s="7">
        <f t="shared" si="102"/>
        <v>0.76041666666666663</v>
      </c>
    </row>
    <row r="117" spans="1:27">
      <c r="A117" s="6" t="s">
        <v>101</v>
      </c>
      <c r="B117" s="6" t="s">
        <v>102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7">
      <c r="A118" s="6" t="s">
        <v>99</v>
      </c>
      <c r="B118" s="6" t="s">
        <v>100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7">
      <c r="A119" s="6" t="s">
        <v>97</v>
      </c>
      <c r="B119" s="6" t="s">
        <v>98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7">
      <c r="A120" s="6" t="s">
        <v>95</v>
      </c>
      <c r="B120" s="6" t="s">
        <v>96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7">
      <c r="A121" s="6" t="s">
        <v>22</v>
      </c>
      <c r="B121" s="6" t="s">
        <v>23</v>
      </c>
      <c r="C121" s="7">
        <v>0.20069444444444445</v>
      </c>
      <c r="D121" s="7">
        <v>0.23194444444444445</v>
      </c>
      <c r="E121" s="7">
        <v>0.26319444444444445</v>
      </c>
      <c r="F121" s="7">
        <v>0.29791666666666666</v>
      </c>
      <c r="G121" s="7">
        <v>0.32916666666666666</v>
      </c>
      <c r="H121" s="7">
        <v>0.36041666666666666</v>
      </c>
      <c r="I121" s="7">
        <v>0.39513888888888887</v>
      </c>
      <c r="J121" s="7">
        <v>0.42638888888888887</v>
      </c>
      <c r="K121" s="7">
        <v>0.47499999999999998</v>
      </c>
      <c r="L121" s="7">
        <v>0.52361111111111114</v>
      </c>
      <c r="M121" s="7">
        <v>0.57222222222222219</v>
      </c>
      <c r="N121" s="7">
        <v>0.60347222222222219</v>
      </c>
      <c r="O121" s="7">
        <v>0.63472222222222219</v>
      </c>
      <c r="P121" s="7">
        <v>0.6694444444444444</v>
      </c>
      <c r="Q121" s="7">
        <f t="shared" ref="Q121:T121" si="103">Q116+$X145</f>
        <v>0.66319444444444442</v>
      </c>
      <c r="R121" s="7">
        <f t="shared" si="103"/>
        <v>0.69444444444444442</v>
      </c>
      <c r="S121" s="7">
        <f t="shared" si="103"/>
        <v>0.72916666666666663</v>
      </c>
      <c r="T121" s="7">
        <f t="shared" si="103"/>
        <v>0.76041666666666663</v>
      </c>
    </row>
    <row r="122" spans="1:27">
      <c r="A122" s="6" t="s">
        <v>93</v>
      </c>
      <c r="B122" s="6" t="s">
        <v>94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7">
      <c r="A123" s="6" t="s">
        <v>91</v>
      </c>
      <c r="B123" s="6" t="s">
        <v>92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7">
      <c r="A124" s="6" t="s">
        <v>24</v>
      </c>
      <c r="B124" s="7" t="s">
        <v>25</v>
      </c>
      <c r="C124" s="7">
        <v>0.2048611111111111</v>
      </c>
      <c r="D124" s="7">
        <v>0.2361111111111111</v>
      </c>
      <c r="E124" s="7">
        <v>0.2673611111111111</v>
      </c>
      <c r="F124" s="7">
        <v>0.30208333333333331</v>
      </c>
      <c r="G124" s="7">
        <v>0.33333333333333331</v>
      </c>
      <c r="H124" s="7">
        <v>0.36458333333333331</v>
      </c>
      <c r="I124" s="7">
        <v>0.39930555555555558</v>
      </c>
      <c r="J124" s="7">
        <v>0.43055555555555558</v>
      </c>
      <c r="K124" s="7">
        <v>0.47916666666666669</v>
      </c>
      <c r="L124" s="7">
        <v>0.52777777777777779</v>
      </c>
      <c r="M124" s="7">
        <v>0.57638888888888884</v>
      </c>
      <c r="N124" s="7">
        <v>0.60763888888888884</v>
      </c>
      <c r="O124" s="7">
        <v>0.63888888888888884</v>
      </c>
      <c r="P124" s="7">
        <v>0.67361111111111116</v>
      </c>
      <c r="Q124" s="7">
        <f t="shared" ref="Q124:T124" si="104">Q121+$X148</f>
        <v>0.66319444444444442</v>
      </c>
      <c r="R124" s="7">
        <f t="shared" si="104"/>
        <v>0.69444444444444442</v>
      </c>
      <c r="S124" s="7">
        <f t="shared" si="104"/>
        <v>0.72916666666666663</v>
      </c>
      <c r="T124" s="7">
        <f t="shared" si="104"/>
        <v>0.76041666666666663</v>
      </c>
    </row>
    <row r="126" spans="1:27">
      <c r="A126" s="3" t="s">
        <v>118</v>
      </c>
    </row>
    <row r="128" spans="1:27">
      <c r="A128" s="1" t="s">
        <v>0</v>
      </c>
      <c r="B128" s="2" t="e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 t="s">
        <v>2</v>
      </c>
      <c r="B129" s="1" t="s">
        <v>3</v>
      </c>
      <c r="C129" s="1">
        <v>624</v>
      </c>
      <c r="D129" s="1">
        <v>626</v>
      </c>
      <c r="E129" s="1">
        <v>628</v>
      </c>
      <c r="F129" s="1">
        <v>630</v>
      </c>
      <c r="G129" s="1">
        <v>632</v>
      </c>
      <c r="H129" s="1">
        <v>634</v>
      </c>
      <c r="I129" s="1">
        <v>636</v>
      </c>
      <c r="J129" s="1">
        <v>638</v>
      </c>
      <c r="K129" s="1">
        <v>640</v>
      </c>
      <c r="L129" s="1">
        <v>642</v>
      </c>
      <c r="M129" s="1">
        <v>644</v>
      </c>
      <c r="N129" s="1">
        <v>646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3" t="s">
        <v>24</v>
      </c>
      <c r="B130" s="5" t="s">
        <v>25</v>
      </c>
      <c r="C130" s="5">
        <v>0.22222222222222221</v>
      </c>
      <c r="D130" s="5">
        <v>0.27083333333333331</v>
      </c>
      <c r="E130" s="5">
        <v>0.31944444444444442</v>
      </c>
      <c r="F130" s="5">
        <v>0.37152777777777779</v>
      </c>
      <c r="G130" s="5">
        <v>0.4201388888888889</v>
      </c>
      <c r="H130" s="5">
        <v>0.46875</v>
      </c>
      <c r="I130" s="5">
        <v>0.51736111111111116</v>
      </c>
      <c r="J130" s="5">
        <v>0.56597222222222221</v>
      </c>
      <c r="K130" s="5">
        <v>0.61458333333333337</v>
      </c>
      <c r="L130" s="5">
        <v>0.66319444444444442</v>
      </c>
      <c r="M130" s="5">
        <v>0.71180555555555558</v>
      </c>
      <c r="N130" s="5">
        <v>0.76041666666666663</v>
      </c>
      <c r="O130" s="5"/>
      <c r="P130" s="5"/>
      <c r="Q130" s="5"/>
      <c r="R130" s="5"/>
      <c r="S130" s="5"/>
      <c r="T130" s="5"/>
      <c r="U130" s="5"/>
    </row>
    <row r="131" spans="1:27">
      <c r="A131" s="1" t="s">
        <v>29</v>
      </c>
      <c r="B131" s="6" t="s">
        <v>119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7">
      <c r="A132" s="1" t="s">
        <v>30</v>
      </c>
      <c r="B132" s="6" t="s">
        <v>120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7">
      <c r="A133" s="6" t="s">
        <v>31</v>
      </c>
      <c r="B133" s="6" t="s">
        <v>121</v>
      </c>
      <c r="C133" s="7">
        <v>0.23055555555555557</v>
      </c>
      <c r="D133" s="7">
        <v>0.27916666666666667</v>
      </c>
      <c r="E133" s="7">
        <v>0.32777777777777778</v>
      </c>
      <c r="F133" s="7">
        <v>0.37986111111111109</v>
      </c>
      <c r="G133" s="7">
        <v>0.4284722222222222</v>
      </c>
      <c r="H133" s="7">
        <v>0.47708333333333336</v>
      </c>
      <c r="I133" s="7">
        <v>0.52569444444444446</v>
      </c>
      <c r="J133" s="7">
        <v>0.57430555555555551</v>
      </c>
      <c r="K133" s="7">
        <v>0.62291666666666667</v>
      </c>
      <c r="L133" s="7">
        <v>0.67152777777777772</v>
      </c>
      <c r="M133" s="7">
        <v>0.72013888888888888</v>
      </c>
      <c r="N133" s="7">
        <v>0.76875000000000004</v>
      </c>
      <c r="O133" s="7"/>
      <c r="P133" s="7"/>
      <c r="Q133" s="7"/>
      <c r="R133" s="7"/>
      <c r="S133" s="7"/>
      <c r="T133" s="7"/>
      <c r="U133" s="7"/>
    </row>
    <row r="134" spans="1:27">
      <c r="A134" s="6" t="s">
        <v>32</v>
      </c>
      <c r="B134" s="6" t="s">
        <v>122</v>
      </c>
      <c r="C134" s="7">
        <v>0.23333333333333334</v>
      </c>
      <c r="D134" s="7">
        <v>0.28194444444444444</v>
      </c>
      <c r="E134" s="7">
        <v>0.33055555555555555</v>
      </c>
      <c r="F134" s="7">
        <v>0.38263888888888886</v>
      </c>
      <c r="G134" s="7">
        <v>0.43125000000000002</v>
      </c>
      <c r="H134" s="7">
        <v>0.47986111111111113</v>
      </c>
      <c r="I134" s="7">
        <v>0.52847222222222223</v>
      </c>
      <c r="J134" s="7">
        <v>0.57708333333333328</v>
      </c>
      <c r="K134" s="7">
        <v>0.62569444444444444</v>
      </c>
      <c r="L134" s="7">
        <v>0.6743055555555556</v>
      </c>
      <c r="M134" s="7">
        <v>0.72291666666666665</v>
      </c>
      <c r="N134" s="7">
        <v>0.77152777777777781</v>
      </c>
      <c r="O134" s="7"/>
      <c r="P134" s="7"/>
      <c r="Q134" s="7"/>
      <c r="R134" s="7"/>
      <c r="S134" s="7"/>
      <c r="T134" s="7"/>
      <c r="U134" s="7"/>
    </row>
    <row r="135" spans="1:27">
      <c r="A135" s="6" t="s">
        <v>33</v>
      </c>
      <c r="B135" s="6" t="s">
        <v>123</v>
      </c>
      <c r="C135" s="7">
        <v>0.23958333333333334</v>
      </c>
      <c r="D135" s="7">
        <v>0.28819444444444442</v>
      </c>
      <c r="E135" s="7">
        <v>0.33680555555555558</v>
      </c>
      <c r="F135" s="7">
        <v>0.3888888888888889</v>
      </c>
      <c r="G135" s="7">
        <v>0.4375</v>
      </c>
      <c r="H135" s="7">
        <v>0.4861111111111111</v>
      </c>
      <c r="I135" s="7">
        <v>0.53472222222222221</v>
      </c>
      <c r="J135" s="7">
        <v>0.58333333333333337</v>
      </c>
      <c r="K135" s="7">
        <v>0.63194444444444442</v>
      </c>
      <c r="L135" s="7">
        <v>0.68055555555555558</v>
      </c>
      <c r="M135" s="7">
        <v>0.72916666666666663</v>
      </c>
      <c r="N135" s="7">
        <v>0.77777777777777779</v>
      </c>
      <c r="O135" s="7"/>
      <c r="P135" s="7"/>
      <c r="Q135" s="7"/>
      <c r="R135" s="7"/>
      <c r="S135" s="7"/>
      <c r="T135" s="7"/>
      <c r="U135" s="7"/>
    </row>
    <row r="138" spans="1:27">
      <c r="A138" s="3" t="s">
        <v>124</v>
      </c>
      <c r="B138" s="6"/>
    </row>
    <row r="140" spans="1:27">
      <c r="A140" s="1" t="s">
        <v>0</v>
      </c>
      <c r="B140" s="2">
        <v>45466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 t="s">
        <v>2</v>
      </c>
      <c r="B141" s="1" t="s">
        <v>3</v>
      </c>
      <c r="C141" s="1">
        <v>625</v>
      </c>
      <c r="D141" s="1">
        <v>627</v>
      </c>
      <c r="E141" s="1">
        <v>629</v>
      </c>
      <c r="F141" s="1">
        <v>631</v>
      </c>
      <c r="G141" s="1">
        <v>633</v>
      </c>
      <c r="H141" s="1">
        <v>635</v>
      </c>
      <c r="I141" s="1">
        <v>637</v>
      </c>
      <c r="J141" s="1">
        <v>639</v>
      </c>
      <c r="K141" s="1">
        <v>641</v>
      </c>
      <c r="L141" s="1">
        <v>643</v>
      </c>
      <c r="M141" s="1">
        <v>645</v>
      </c>
      <c r="N141" s="1">
        <v>647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3" t="s">
        <v>33</v>
      </c>
      <c r="B142" s="4" t="s">
        <v>123</v>
      </c>
      <c r="C142" s="69">
        <v>0.24652777777777779</v>
      </c>
      <c r="D142" s="5">
        <v>0.2951388888888889</v>
      </c>
      <c r="E142" s="5">
        <v>0.34375</v>
      </c>
      <c r="F142" s="5">
        <v>0.39583333333333331</v>
      </c>
      <c r="G142" s="5">
        <v>0.44444444444444442</v>
      </c>
      <c r="H142" s="5">
        <v>0.49305555555555558</v>
      </c>
      <c r="I142" s="5">
        <v>0.54166666666666663</v>
      </c>
      <c r="J142" s="5">
        <v>0.59027777777777779</v>
      </c>
      <c r="K142" s="5">
        <v>0.63888888888888884</v>
      </c>
      <c r="L142" s="5">
        <v>0.6875</v>
      </c>
      <c r="M142" s="5">
        <v>0.73611111111111116</v>
      </c>
      <c r="N142" s="5">
        <v>0.78472222222222221</v>
      </c>
      <c r="O142" s="5"/>
      <c r="P142" s="5"/>
      <c r="Q142" s="5"/>
      <c r="R142" s="5"/>
      <c r="S142" s="5"/>
      <c r="T142" s="5"/>
    </row>
    <row r="143" spans="1:27">
      <c r="A143" s="1" t="s">
        <v>32</v>
      </c>
      <c r="B143" s="6" t="s">
        <v>122</v>
      </c>
      <c r="C143" s="71">
        <v>0.25277777777777777</v>
      </c>
      <c r="D143" s="7">
        <v>0.30138888888888887</v>
      </c>
      <c r="E143" s="7">
        <v>0.35</v>
      </c>
      <c r="F143" s="7">
        <v>0.40208333333333335</v>
      </c>
      <c r="G143" s="7">
        <v>0.45069444444444445</v>
      </c>
      <c r="H143" s="7">
        <v>0.49930555555555556</v>
      </c>
      <c r="I143" s="7">
        <v>0.54791666666666672</v>
      </c>
      <c r="J143" s="7">
        <v>0.59652777777777777</v>
      </c>
      <c r="K143" s="7">
        <v>0.64513888888888893</v>
      </c>
      <c r="L143" s="7">
        <v>0.69374999999999998</v>
      </c>
      <c r="M143" s="7">
        <v>0.74236111111111114</v>
      </c>
      <c r="N143" s="7">
        <v>0.79097222222222219</v>
      </c>
      <c r="O143" s="7"/>
      <c r="P143" s="7"/>
      <c r="Q143" s="7"/>
      <c r="R143" s="7"/>
      <c r="S143" s="7"/>
      <c r="T143" s="7"/>
    </row>
    <row r="144" spans="1:27">
      <c r="A144" s="1" t="s">
        <v>31</v>
      </c>
      <c r="B144" s="7" t="s">
        <v>121</v>
      </c>
      <c r="C144" s="71">
        <v>0.25555555555555554</v>
      </c>
      <c r="D144" s="7">
        <v>0.30416666666666664</v>
      </c>
      <c r="E144" s="7">
        <v>0.3527777777777778</v>
      </c>
      <c r="F144" s="7">
        <v>0.40486111111111112</v>
      </c>
      <c r="G144" s="7">
        <v>0.45347222222222222</v>
      </c>
      <c r="H144" s="7">
        <v>0.50208333333333333</v>
      </c>
      <c r="I144" s="7">
        <v>0.55069444444444449</v>
      </c>
      <c r="J144" s="7">
        <v>0.59930555555555554</v>
      </c>
      <c r="K144" s="7">
        <v>0.6479166666666667</v>
      </c>
      <c r="L144" s="7">
        <v>0.69652777777777775</v>
      </c>
      <c r="M144" s="7">
        <v>0.74513888888888891</v>
      </c>
      <c r="N144" s="7">
        <v>0.79374999999999996</v>
      </c>
      <c r="O144" s="7"/>
      <c r="P144" s="7"/>
      <c r="Q144" s="7"/>
      <c r="R144" s="7"/>
      <c r="S144" s="7"/>
      <c r="T144" s="7"/>
    </row>
    <row r="145" spans="1:20">
      <c r="A145" s="6" t="s">
        <v>30</v>
      </c>
      <c r="B145" s="7" t="s">
        <v>120</v>
      </c>
      <c r="C145" s="7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>
      <c r="A146" s="6" t="s">
        <v>29</v>
      </c>
      <c r="B146" s="7" t="s">
        <v>119</v>
      </c>
      <c r="C146" s="7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>
      <c r="A147" s="6" t="s">
        <v>24</v>
      </c>
      <c r="B147" s="7" t="s">
        <v>25</v>
      </c>
      <c r="C147" s="71">
        <v>0.2638888888888889</v>
      </c>
      <c r="D147" s="7">
        <v>0.3125</v>
      </c>
      <c r="E147" s="7">
        <v>0.3611111111111111</v>
      </c>
      <c r="F147" s="7">
        <v>0.41319444444444442</v>
      </c>
      <c r="G147" s="7">
        <v>0.46180555555555558</v>
      </c>
      <c r="H147" s="7">
        <v>0.51041666666666663</v>
      </c>
      <c r="I147" s="7">
        <v>0.55902777777777779</v>
      </c>
      <c r="J147" s="7">
        <v>0.60763888888888884</v>
      </c>
      <c r="K147" s="7">
        <v>0.65625</v>
      </c>
      <c r="L147" s="7">
        <v>0.70486111111111116</v>
      </c>
      <c r="M147" s="7">
        <v>0.75347222222222221</v>
      </c>
      <c r="N147" s="7">
        <v>0.80208333333333337</v>
      </c>
      <c r="O147" s="7"/>
      <c r="P147" s="7"/>
      <c r="Q147" s="7"/>
      <c r="R147" s="7"/>
      <c r="S147" s="7"/>
      <c r="T147" s="7"/>
    </row>
    <row r="152" spans="1:20">
      <c r="A152" s="10" t="s">
        <v>50</v>
      </c>
      <c r="B152" s="8" t="s">
        <v>43</v>
      </c>
    </row>
    <row r="154" spans="1:20">
      <c r="A154" s="10" t="s">
        <v>24</v>
      </c>
      <c r="B154" s="8"/>
      <c r="C154" s="11">
        <v>0.2361111111111111</v>
      </c>
      <c r="D154" s="11">
        <v>0.34027777777777779</v>
      </c>
      <c r="E154" s="11">
        <v>0.44791666666666669</v>
      </c>
      <c r="F154" s="11">
        <v>0.60069444444444442</v>
      </c>
      <c r="G154" s="11">
        <v>0.70138888888888884</v>
      </c>
      <c r="H154" s="11">
        <v>0.80555555555555558</v>
      </c>
      <c r="J154" s="72">
        <f t="shared" ref="J154:N154" si="105">C154-C154</f>
        <v>0</v>
      </c>
      <c r="K154" s="73">
        <f t="shared" si="105"/>
        <v>0</v>
      </c>
      <c r="L154" s="73">
        <f t="shared" si="105"/>
        <v>0</v>
      </c>
      <c r="M154" s="73">
        <f t="shared" si="105"/>
        <v>0</v>
      </c>
      <c r="N154" s="74">
        <f t="shared" si="105"/>
        <v>0</v>
      </c>
    </row>
    <row r="155" spans="1:20">
      <c r="A155" s="8" t="s">
        <v>29</v>
      </c>
      <c r="B155" s="8"/>
      <c r="C155" s="8"/>
      <c r="D155" s="8"/>
      <c r="E155" s="8"/>
      <c r="F155" s="8"/>
      <c r="G155" s="8"/>
      <c r="H155" s="8"/>
      <c r="J155" s="33"/>
      <c r="N155" s="34"/>
    </row>
    <row r="156" spans="1:20">
      <c r="A156" s="8" t="s">
        <v>30</v>
      </c>
      <c r="B156" s="8"/>
      <c r="C156" s="8"/>
      <c r="D156" s="8"/>
      <c r="E156" s="8"/>
      <c r="F156" s="8"/>
      <c r="G156" s="8"/>
      <c r="H156" s="8"/>
      <c r="J156" s="33"/>
      <c r="N156" s="34"/>
    </row>
    <row r="157" spans="1:20">
      <c r="A157" s="8" t="s">
        <v>31</v>
      </c>
      <c r="B157" s="8"/>
      <c r="C157" s="11">
        <v>0.24374999999999999</v>
      </c>
      <c r="D157" s="11">
        <v>0.34791666666666665</v>
      </c>
      <c r="E157" s="11">
        <v>0.45555555555555555</v>
      </c>
      <c r="F157" s="11">
        <v>0.60833333333333328</v>
      </c>
      <c r="G157" s="11">
        <v>0.70902777777777781</v>
      </c>
      <c r="H157" s="11">
        <v>0.81388888888888888</v>
      </c>
      <c r="J157" s="75">
        <f t="shared" ref="J157:N157" si="106">C157-C154</f>
        <v>7.6388888888888895E-3</v>
      </c>
      <c r="K157" s="71">
        <f t="shared" si="106"/>
        <v>7.6388888888888618E-3</v>
      </c>
      <c r="L157" s="71">
        <f t="shared" si="106"/>
        <v>7.6388888888888618E-3</v>
      </c>
      <c r="M157" s="71">
        <f t="shared" si="106"/>
        <v>7.6388888888888618E-3</v>
      </c>
      <c r="N157" s="76">
        <f t="shared" si="106"/>
        <v>7.6388888888889728E-3</v>
      </c>
    </row>
    <row r="158" spans="1:20">
      <c r="A158" s="8" t="s">
        <v>32</v>
      </c>
      <c r="B158" s="8"/>
      <c r="C158" s="11">
        <v>0.24652777777777779</v>
      </c>
      <c r="D158" s="11">
        <v>0.35069444444444442</v>
      </c>
      <c r="E158" s="11">
        <v>0.45833333333333331</v>
      </c>
      <c r="F158" s="11">
        <v>0.61111111111111116</v>
      </c>
      <c r="G158" s="11">
        <v>0.71180555555555558</v>
      </c>
      <c r="H158" s="11">
        <v>0.81736111111111109</v>
      </c>
      <c r="J158" s="75">
        <f t="shared" ref="J158:N158" si="107">C158-C157</f>
        <v>2.7777777777777957E-3</v>
      </c>
      <c r="K158" s="71">
        <f t="shared" si="107"/>
        <v>2.7777777777777679E-3</v>
      </c>
      <c r="L158" s="71">
        <f t="shared" si="107"/>
        <v>2.7777777777777679E-3</v>
      </c>
      <c r="M158" s="71">
        <f t="shared" si="107"/>
        <v>2.7777777777778789E-3</v>
      </c>
      <c r="N158" s="76">
        <f t="shared" si="107"/>
        <v>2.7777777777777679E-3</v>
      </c>
    </row>
    <row r="159" spans="1:20">
      <c r="A159" s="8" t="s">
        <v>33</v>
      </c>
      <c r="B159" s="8"/>
      <c r="C159" s="11">
        <v>0.25208333333333333</v>
      </c>
      <c r="D159" s="11">
        <v>0.35625000000000001</v>
      </c>
      <c r="E159" s="11">
        <v>0.46388888888888891</v>
      </c>
      <c r="F159" s="11">
        <v>0.6166666666666667</v>
      </c>
      <c r="G159" s="11">
        <v>0.71736111111111112</v>
      </c>
      <c r="H159" s="11">
        <v>0.82291666666666663</v>
      </c>
      <c r="J159" s="75">
        <f t="shared" ref="J159:N159" si="108">C159-C158</f>
        <v>5.5555555555555358E-3</v>
      </c>
      <c r="K159" s="71">
        <f t="shared" si="108"/>
        <v>5.5555555555555913E-3</v>
      </c>
      <c r="L159" s="71">
        <f t="shared" si="108"/>
        <v>5.5555555555555913E-3</v>
      </c>
      <c r="M159" s="71">
        <f t="shared" si="108"/>
        <v>5.5555555555555358E-3</v>
      </c>
      <c r="N159" s="76">
        <f t="shared" si="108"/>
        <v>5.5555555555555358E-3</v>
      </c>
    </row>
    <row r="160" spans="1:20">
      <c r="A160" s="8" t="s">
        <v>34</v>
      </c>
      <c r="B160" s="8"/>
      <c r="C160" s="8"/>
      <c r="D160" s="8"/>
      <c r="E160" s="8"/>
      <c r="F160" s="8"/>
      <c r="G160" s="8"/>
      <c r="H160" s="8"/>
      <c r="J160" s="33"/>
      <c r="N160" s="34"/>
    </row>
    <row r="161" spans="1:14">
      <c r="A161" s="8" t="s">
        <v>35</v>
      </c>
      <c r="B161" s="8"/>
      <c r="C161" s="11">
        <v>0.26111111111111113</v>
      </c>
      <c r="D161" s="11">
        <v>0.36527777777777776</v>
      </c>
      <c r="E161" s="11">
        <v>0.47291666666666665</v>
      </c>
      <c r="F161" s="11">
        <v>0.62569444444444444</v>
      </c>
      <c r="G161" s="11">
        <v>0.72638888888888886</v>
      </c>
      <c r="H161" s="11">
        <v>0.83333333333333337</v>
      </c>
      <c r="J161" s="75">
        <f t="shared" ref="J161:N161" si="109">C161-C159</f>
        <v>9.0277777777778012E-3</v>
      </c>
      <c r="K161" s="71">
        <f t="shared" si="109"/>
        <v>9.0277777777777457E-3</v>
      </c>
      <c r="L161" s="71">
        <f t="shared" si="109"/>
        <v>9.0277777777777457E-3</v>
      </c>
      <c r="M161" s="71">
        <f t="shared" si="109"/>
        <v>9.0277777777777457E-3</v>
      </c>
      <c r="N161" s="76">
        <f t="shared" si="109"/>
        <v>9.0277777777777457E-3</v>
      </c>
    </row>
    <row r="162" spans="1:14">
      <c r="A162" s="8" t="s">
        <v>36</v>
      </c>
      <c r="B162" s="8"/>
      <c r="C162" s="11">
        <v>0.26666666666666666</v>
      </c>
      <c r="D162" s="11">
        <v>0.37083333333333335</v>
      </c>
      <c r="E162" s="11">
        <v>0.47847222222222224</v>
      </c>
      <c r="F162" s="11">
        <v>0.63124999999999998</v>
      </c>
      <c r="G162" s="11">
        <v>0.7319444444444444</v>
      </c>
      <c r="H162" s="11">
        <v>0.83888888888888891</v>
      </c>
      <c r="J162" s="75">
        <f t="shared" ref="J162:N162" si="110">C162-C161</f>
        <v>5.5555555555555358E-3</v>
      </c>
      <c r="K162" s="71">
        <f t="shared" si="110"/>
        <v>5.5555555555555913E-3</v>
      </c>
      <c r="L162" s="71">
        <f t="shared" si="110"/>
        <v>5.5555555555555913E-3</v>
      </c>
      <c r="M162" s="71">
        <f t="shared" si="110"/>
        <v>5.5555555555555358E-3</v>
      </c>
      <c r="N162" s="76">
        <f t="shared" si="110"/>
        <v>5.5555555555555358E-3</v>
      </c>
    </row>
    <row r="163" spans="1:14">
      <c r="A163" s="8" t="s">
        <v>40</v>
      </c>
      <c r="B163" s="8"/>
      <c r="C163" s="8"/>
      <c r="D163" s="8"/>
      <c r="E163" s="8"/>
      <c r="F163" s="8"/>
      <c r="G163" s="8"/>
      <c r="H163" s="8"/>
      <c r="J163" s="33"/>
      <c r="N163" s="34"/>
    </row>
    <row r="164" spans="1:14">
      <c r="A164" s="8" t="s">
        <v>41</v>
      </c>
      <c r="B164" s="8"/>
      <c r="C164" s="8"/>
      <c r="D164" s="8"/>
      <c r="E164" s="8"/>
      <c r="F164" s="8"/>
      <c r="G164" s="8"/>
      <c r="H164" s="8"/>
      <c r="J164" s="33"/>
      <c r="N164" s="34"/>
    </row>
    <row r="165" spans="1:14">
      <c r="A165" s="8" t="s">
        <v>42</v>
      </c>
      <c r="B165" s="8"/>
      <c r="C165" s="8"/>
      <c r="D165" s="8"/>
      <c r="E165" s="8"/>
      <c r="F165" s="8"/>
      <c r="G165" s="8"/>
      <c r="H165" s="8"/>
      <c r="J165" s="33"/>
      <c r="N165" s="34"/>
    </row>
    <row r="166" spans="1:14">
      <c r="A166" s="8" t="s">
        <v>43</v>
      </c>
      <c r="B166" s="11"/>
      <c r="C166" s="26">
        <v>0.27777777777777779</v>
      </c>
      <c r="D166" s="26">
        <v>0.38194444444444442</v>
      </c>
      <c r="E166" s="15">
        <v>0.48958333333333331</v>
      </c>
      <c r="F166" s="15">
        <v>0.64236111111111116</v>
      </c>
      <c r="G166" s="15">
        <v>0.74305555555555558</v>
      </c>
      <c r="H166" s="11">
        <v>0.8520833333333333</v>
      </c>
      <c r="J166" s="77">
        <f t="shared" ref="J166:N166" si="111">C166-C162</f>
        <v>1.1111111111111127E-2</v>
      </c>
      <c r="K166" s="78">
        <f t="shared" si="111"/>
        <v>1.1111111111111072E-2</v>
      </c>
      <c r="L166" s="78">
        <f t="shared" si="111"/>
        <v>1.1111111111111072E-2</v>
      </c>
      <c r="M166" s="78">
        <f t="shared" si="111"/>
        <v>1.1111111111111183E-2</v>
      </c>
      <c r="N166" s="79">
        <f t="shared" si="111"/>
        <v>1.1111111111111183E-2</v>
      </c>
    </row>
    <row r="170" spans="1:14">
      <c r="A170" s="8" t="s">
        <v>51</v>
      </c>
      <c r="B170" s="8" t="s">
        <v>52</v>
      </c>
      <c r="C170" s="10" t="s">
        <v>24</v>
      </c>
    </row>
    <row r="173" spans="1:14">
      <c r="A173" s="41" t="s">
        <v>27</v>
      </c>
      <c r="C173" s="42">
        <v>615</v>
      </c>
      <c r="D173" s="42">
        <v>617</v>
      </c>
      <c r="E173" s="42">
        <v>619</v>
      </c>
      <c r="F173" s="42">
        <v>621</v>
      </c>
      <c r="G173" s="42">
        <v>623</v>
      </c>
    </row>
    <row r="174" spans="1:14">
      <c r="A174" s="43" t="s">
        <v>43</v>
      </c>
      <c r="C174" s="44">
        <v>0.28472222222222221</v>
      </c>
      <c r="D174" s="44">
        <v>0.39583333333333331</v>
      </c>
      <c r="E174" s="44">
        <v>0.5</v>
      </c>
      <c r="F174" s="44">
        <v>0.64930555555555558</v>
      </c>
      <c r="G174" s="44">
        <v>0.75347222222222221</v>
      </c>
      <c r="J174" s="72">
        <f t="shared" ref="J174:N174" si="112">C174-C174</f>
        <v>0</v>
      </c>
      <c r="K174" s="73">
        <f t="shared" si="112"/>
        <v>0</v>
      </c>
      <c r="L174" s="73">
        <f t="shared" si="112"/>
        <v>0</v>
      </c>
      <c r="M174" s="73">
        <f t="shared" si="112"/>
        <v>0</v>
      </c>
      <c r="N174" s="74">
        <f t="shared" si="112"/>
        <v>0</v>
      </c>
    </row>
    <row r="175" spans="1:14">
      <c r="A175" s="41" t="s">
        <v>42</v>
      </c>
      <c r="C175" s="40"/>
      <c r="D175" s="40"/>
      <c r="E175" s="40"/>
      <c r="F175" s="40"/>
      <c r="G175" s="40"/>
      <c r="J175" s="33"/>
      <c r="N175" s="34"/>
    </row>
    <row r="176" spans="1:14">
      <c r="A176" s="41" t="s">
        <v>41</v>
      </c>
      <c r="C176" s="40"/>
      <c r="D176" s="40"/>
      <c r="E176" s="40"/>
      <c r="F176" s="40"/>
      <c r="G176" s="40"/>
      <c r="J176" s="33"/>
      <c r="N176" s="34"/>
    </row>
    <row r="177" spans="1:14">
      <c r="A177" s="41" t="s">
        <v>40</v>
      </c>
      <c r="C177" s="40"/>
      <c r="D177" s="40"/>
      <c r="E177" s="40"/>
      <c r="F177" s="40"/>
      <c r="G177" s="40"/>
      <c r="J177" s="33"/>
      <c r="N177" s="34"/>
    </row>
    <row r="178" spans="1:14">
      <c r="A178" s="41" t="s">
        <v>36</v>
      </c>
      <c r="C178" s="45">
        <v>0.29652777777777778</v>
      </c>
      <c r="D178" s="45">
        <v>0.40763888888888888</v>
      </c>
      <c r="E178" s="45">
        <v>0.51180555555555551</v>
      </c>
      <c r="F178" s="45">
        <v>0.66111111111111109</v>
      </c>
      <c r="G178" s="45">
        <v>0.76527777777777772</v>
      </c>
      <c r="J178" s="75">
        <f t="shared" ref="J178:N178" si="113">C178-C174</f>
        <v>1.1805555555555569E-2</v>
      </c>
      <c r="K178" s="71">
        <f t="shared" si="113"/>
        <v>1.1805555555555569E-2</v>
      </c>
      <c r="L178" s="71">
        <f t="shared" si="113"/>
        <v>1.1805555555555514E-2</v>
      </c>
      <c r="M178" s="71">
        <f t="shared" si="113"/>
        <v>1.1805555555555514E-2</v>
      </c>
      <c r="N178" s="76">
        <f t="shared" si="113"/>
        <v>1.1805555555555514E-2</v>
      </c>
    </row>
    <row r="179" spans="1:14">
      <c r="A179" s="41" t="s">
        <v>35</v>
      </c>
      <c r="C179" s="45">
        <v>0.30208333333333331</v>
      </c>
      <c r="D179" s="45">
        <v>0.41319444444444442</v>
      </c>
      <c r="E179" s="45">
        <v>0.51736111111111116</v>
      </c>
      <c r="F179" s="45">
        <v>0.66666666666666663</v>
      </c>
      <c r="G179" s="45">
        <v>0.77083333333333337</v>
      </c>
      <c r="J179" s="75">
        <f t="shared" ref="J179:N179" si="114">C179-C178</f>
        <v>5.5555555555555358E-3</v>
      </c>
      <c r="K179" s="71">
        <f t="shared" si="114"/>
        <v>5.5555555555555358E-3</v>
      </c>
      <c r="L179" s="71">
        <f t="shared" si="114"/>
        <v>5.5555555555556468E-3</v>
      </c>
      <c r="M179" s="71">
        <f t="shared" si="114"/>
        <v>5.5555555555555358E-3</v>
      </c>
      <c r="N179" s="76">
        <f t="shared" si="114"/>
        <v>5.5555555555556468E-3</v>
      </c>
    </row>
    <row r="180" spans="1:14">
      <c r="A180" s="41" t="s">
        <v>34</v>
      </c>
      <c r="C180" s="40"/>
      <c r="D180" s="40"/>
      <c r="E180" s="40"/>
      <c r="F180" s="40"/>
      <c r="G180" s="40"/>
      <c r="J180" s="33"/>
      <c r="N180" s="34"/>
    </row>
    <row r="181" spans="1:14">
      <c r="A181" s="41" t="s">
        <v>33</v>
      </c>
      <c r="C181" s="45">
        <v>0.31041666666666667</v>
      </c>
      <c r="D181" s="45">
        <v>0.42152777777777778</v>
      </c>
      <c r="E181" s="45">
        <v>0.52569444444444446</v>
      </c>
      <c r="F181" s="45">
        <v>0.67500000000000004</v>
      </c>
      <c r="G181" s="45">
        <v>0.77916666666666667</v>
      </c>
      <c r="J181" s="75">
        <f t="shared" ref="J181:N181" si="115">C181-C179</f>
        <v>8.3333333333333592E-3</v>
      </c>
      <c r="K181" s="71">
        <f t="shared" si="115"/>
        <v>8.3333333333333592E-3</v>
      </c>
      <c r="L181" s="71">
        <f t="shared" si="115"/>
        <v>8.3333333333333037E-3</v>
      </c>
      <c r="M181" s="71">
        <f t="shared" si="115"/>
        <v>8.3333333333334147E-3</v>
      </c>
      <c r="N181" s="76">
        <f t="shared" si="115"/>
        <v>8.3333333333333037E-3</v>
      </c>
    </row>
    <row r="182" spans="1:14">
      <c r="A182" s="41" t="s">
        <v>32</v>
      </c>
      <c r="C182" s="45">
        <v>0.31666666666666665</v>
      </c>
      <c r="D182" s="45">
        <v>0.42777777777777776</v>
      </c>
      <c r="E182" s="45">
        <v>0.53194444444444444</v>
      </c>
      <c r="F182" s="45">
        <v>0.68125000000000002</v>
      </c>
      <c r="G182" s="45">
        <v>0.78541666666666665</v>
      </c>
      <c r="J182" s="75">
        <f t="shared" ref="J182:N182" si="116">C182-C181</f>
        <v>6.2499999999999778E-3</v>
      </c>
      <c r="K182" s="71">
        <f t="shared" si="116"/>
        <v>6.2499999999999778E-3</v>
      </c>
      <c r="L182" s="71">
        <f t="shared" si="116"/>
        <v>6.2499999999999778E-3</v>
      </c>
      <c r="M182" s="71">
        <f t="shared" si="116"/>
        <v>6.2499999999999778E-3</v>
      </c>
      <c r="N182" s="76">
        <f t="shared" si="116"/>
        <v>6.2499999999999778E-3</v>
      </c>
    </row>
    <row r="183" spans="1:14">
      <c r="A183" s="41" t="s">
        <v>31</v>
      </c>
      <c r="C183" s="45">
        <v>0.31874999999999998</v>
      </c>
      <c r="D183" s="45">
        <v>0.42986111111111114</v>
      </c>
      <c r="E183" s="45">
        <v>0.53402777777777777</v>
      </c>
      <c r="F183" s="45">
        <v>0.68333333333333335</v>
      </c>
      <c r="G183" s="45">
        <v>0.78749999999999998</v>
      </c>
      <c r="J183" s="75">
        <f t="shared" ref="J183:N183" si="117">C183-C182</f>
        <v>2.0833333333333259E-3</v>
      </c>
      <c r="K183" s="71">
        <f t="shared" si="117"/>
        <v>2.0833333333333814E-3</v>
      </c>
      <c r="L183" s="71">
        <f t="shared" si="117"/>
        <v>2.0833333333333259E-3</v>
      </c>
      <c r="M183" s="71">
        <f t="shared" si="117"/>
        <v>2.0833333333333259E-3</v>
      </c>
      <c r="N183" s="76">
        <f t="shared" si="117"/>
        <v>2.0833333333333259E-3</v>
      </c>
    </row>
    <row r="184" spans="1:14">
      <c r="A184" s="41" t="s">
        <v>30</v>
      </c>
      <c r="C184" s="40"/>
      <c r="D184" s="40"/>
      <c r="E184" s="40"/>
      <c r="F184" s="40"/>
      <c r="G184" s="40"/>
      <c r="J184" s="33"/>
      <c r="N184" s="34"/>
    </row>
    <row r="185" spans="1:14">
      <c r="A185" s="41" t="s">
        <v>29</v>
      </c>
      <c r="C185" s="40"/>
      <c r="D185" s="40"/>
      <c r="E185" s="40"/>
      <c r="F185" s="40"/>
      <c r="G185" s="40"/>
      <c r="J185" s="33"/>
      <c r="N185" s="34"/>
    </row>
    <row r="186" spans="1:14">
      <c r="A186" s="43" t="s">
        <v>24</v>
      </c>
      <c r="C186" s="45">
        <v>0.3263888888888889</v>
      </c>
      <c r="D186" s="45">
        <v>0.4375</v>
      </c>
      <c r="E186" s="45">
        <v>0.54166666666666663</v>
      </c>
      <c r="F186" s="45">
        <v>0.69097222222222221</v>
      </c>
      <c r="G186" s="45">
        <v>0.79513888888888884</v>
      </c>
      <c r="J186" s="77">
        <f t="shared" ref="J186:N186" si="118">C186-C183</f>
        <v>7.6388888888889173E-3</v>
      </c>
      <c r="K186" s="78">
        <f t="shared" si="118"/>
        <v>7.6388888888888618E-3</v>
      </c>
      <c r="L186" s="78">
        <f t="shared" si="118"/>
        <v>7.6388888888888618E-3</v>
      </c>
      <c r="M186" s="78">
        <f t="shared" si="118"/>
        <v>7.6388888888888618E-3</v>
      </c>
      <c r="N186" s="79">
        <f t="shared" si="118"/>
        <v>7.6388888888888618E-3</v>
      </c>
    </row>
    <row r="208" spans="8:10">
      <c r="H208" s="80">
        <v>0.2986111111111111</v>
      </c>
      <c r="I208" s="80">
        <v>0.43402777777777779</v>
      </c>
      <c r="J208" s="80">
        <v>0.70833333333333337</v>
      </c>
    </row>
    <row r="212" spans="10:10">
      <c r="J212" s="80">
        <f>C212-C212</f>
        <v>0</v>
      </c>
    </row>
    <row r="213" spans="10:10">
      <c r="J213" s="81"/>
    </row>
    <row r="214" spans="10:10">
      <c r="J214" s="81"/>
    </row>
    <row r="215" spans="10:10">
      <c r="J215" s="81"/>
    </row>
    <row r="216" spans="10:10">
      <c r="J216" s="82">
        <f>C216-C212</f>
        <v>0</v>
      </c>
    </row>
    <row r="217" spans="10:10">
      <c r="J217" s="82">
        <f>C217-C216</f>
        <v>0</v>
      </c>
    </row>
    <row r="218" spans="10:10">
      <c r="J218" s="81"/>
    </row>
    <row r="219" spans="10:10">
      <c r="J219" s="82">
        <f>C219-C217</f>
        <v>0</v>
      </c>
    </row>
    <row r="220" spans="10:10">
      <c r="J220" s="82">
        <f t="shared" ref="J220:J221" si="119">C220-C219</f>
        <v>0</v>
      </c>
    </row>
    <row r="221" spans="10:10">
      <c r="J221" s="82">
        <f t="shared" si="119"/>
        <v>0</v>
      </c>
    </row>
    <row r="222" spans="10:10">
      <c r="J222" s="81"/>
    </row>
    <row r="223" spans="10:10">
      <c r="J223" s="81"/>
    </row>
    <row r="224" spans="10:10">
      <c r="J224" s="82">
        <f>C224-C221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61"/>
  <sheetViews>
    <sheetView tabSelected="1" workbookViewId="0">
      <selection sqref="A1:A61"/>
    </sheetView>
  </sheetViews>
  <sheetFormatPr defaultColWidth="12.5703125" defaultRowHeight="15.75" customHeight="1"/>
  <sheetData>
    <row r="1" spans="1:1" ht="15.75" customHeight="1">
      <c r="A1" t="s">
        <v>515</v>
      </c>
    </row>
    <row r="2" spans="1:1" ht="15.75" customHeight="1">
      <c r="A2" t="s">
        <v>516</v>
      </c>
    </row>
    <row r="3" spans="1:1" ht="15.75" customHeight="1">
      <c r="A3" t="s">
        <v>517</v>
      </c>
    </row>
    <row r="4" spans="1:1" ht="15.75" customHeight="1">
      <c r="A4" t="s">
        <v>518</v>
      </c>
    </row>
    <row r="5" spans="1:1" ht="15.75" customHeight="1">
      <c r="A5" t="s">
        <v>519</v>
      </c>
    </row>
    <row r="6" spans="1:1" ht="15.75" customHeight="1">
      <c r="A6" t="s">
        <v>520</v>
      </c>
    </row>
    <row r="7" spans="1:1" ht="15.75" customHeight="1">
      <c r="A7" t="s">
        <v>521</v>
      </c>
    </row>
    <row r="8" spans="1:1" ht="15.75" customHeight="1">
      <c r="A8" t="s">
        <v>522</v>
      </c>
    </row>
    <row r="9" spans="1:1" ht="15.75" customHeight="1">
      <c r="A9" t="s">
        <v>523</v>
      </c>
    </row>
    <row r="10" spans="1:1" ht="15.75" customHeight="1">
      <c r="A10" t="s">
        <v>524</v>
      </c>
    </row>
    <row r="11" spans="1:1" ht="15.75" customHeight="1">
      <c r="A11" t="s">
        <v>525</v>
      </c>
    </row>
    <row r="12" spans="1:1" ht="15.75" customHeight="1">
      <c r="A12" t="s">
        <v>526</v>
      </c>
    </row>
    <row r="13" spans="1:1" ht="15.75" customHeight="1">
      <c r="A13" t="s">
        <v>527</v>
      </c>
    </row>
    <row r="14" spans="1:1" ht="15.75" customHeight="1">
      <c r="A14" t="s">
        <v>528</v>
      </c>
    </row>
    <row r="15" spans="1:1" ht="15.75" customHeight="1">
      <c r="A15" t="s">
        <v>529</v>
      </c>
    </row>
    <row r="16" spans="1:1" ht="15.75" customHeight="1">
      <c r="A16" t="s">
        <v>530</v>
      </c>
    </row>
    <row r="17" spans="1:1" ht="15.75" customHeight="1">
      <c r="A17" t="s">
        <v>531</v>
      </c>
    </row>
    <row r="18" spans="1:1" ht="15.75" customHeight="1">
      <c r="A18" t="s">
        <v>532</v>
      </c>
    </row>
    <row r="19" spans="1:1" ht="15.75" customHeight="1">
      <c r="A19" t="s">
        <v>533</v>
      </c>
    </row>
    <row r="20" spans="1:1" ht="15.75" customHeight="1">
      <c r="A20" t="s">
        <v>534</v>
      </c>
    </row>
    <row r="21" spans="1:1" ht="15.75" customHeight="1">
      <c r="A21" t="s">
        <v>535</v>
      </c>
    </row>
    <row r="22" spans="1:1" ht="15.75" customHeight="1">
      <c r="A22" t="s">
        <v>536</v>
      </c>
    </row>
    <row r="23" spans="1:1" ht="15.75" customHeight="1">
      <c r="A23" t="s">
        <v>537</v>
      </c>
    </row>
    <row r="24" spans="1:1" ht="15.75" customHeight="1">
      <c r="A24" t="s">
        <v>538</v>
      </c>
    </row>
    <row r="25" spans="1:1" ht="15.75" customHeight="1">
      <c r="A25" t="s">
        <v>539</v>
      </c>
    </row>
    <row r="26" spans="1:1" ht="15.75" customHeight="1">
      <c r="A26" t="s">
        <v>540</v>
      </c>
    </row>
    <row r="27" spans="1:1" ht="15.75" customHeight="1">
      <c r="A27" t="s">
        <v>541</v>
      </c>
    </row>
    <row r="28" spans="1:1" ht="15.75" customHeight="1">
      <c r="A28" t="s">
        <v>542</v>
      </c>
    </row>
    <row r="29" spans="1:1" ht="15.75" customHeight="1">
      <c r="A29" t="s">
        <v>543</v>
      </c>
    </row>
    <row r="30" spans="1:1" ht="15.75" customHeight="1">
      <c r="A30" t="s">
        <v>544</v>
      </c>
    </row>
    <row r="31" spans="1:1" ht="15.75" customHeight="1">
      <c r="A31" t="s">
        <v>545</v>
      </c>
    </row>
    <row r="32" spans="1:1" ht="15.75" customHeight="1">
      <c r="A32" t="s">
        <v>546</v>
      </c>
    </row>
    <row r="33" spans="1:1" ht="15.75" customHeight="1">
      <c r="A33" t="s">
        <v>547</v>
      </c>
    </row>
    <row r="34" spans="1:1" ht="15.75" customHeight="1">
      <c r="A34" t="s">
        <v>548</v>
      </c>
    </row>
    <row r="35" spans="1:1" ht="15.75" customHeight="1">
      <c r="A35" t="s">
        <v>549</v>
      </c>
    </row>
    <row r="36" spans="1:1" ht="15.75" customHeight="1">
      <c r="A36" t="s">
        <v>550</v>
      </c>
    </row>
    <row r="37" spans="1:1" ht="15.75" customHeight="1">
      <c r="A37" t="s">
        <v>551</v>
      </c>
    </row>
    <row r="38" spans="1:1" ht="15.75" customHeight="1">
      <c r="A38" t="s">
        <v>552</v>
      </c>
    </row>
    <row r="39" spans="1:1" ht="15.75" customHeight="1">
      <c r="A39" t="s">
        <v>553</v>
      </c>
    </row>
    <row r="40" spans="1:1" ht="15.75" customHeight="1">
      <c r="A40" t="s">
        <v>554</v>
      </c>
    </row>
    <row r="41" spans="1:1" ht="15.75" customHeight="1">
      <c r="A41" t="s">
        <v>555</v>
      </c>
    </row>
    <row r="42" spans="1:1" ht="15.75" customHeight="1">
      <c r="A42" t="s">
        <v>556</v>
      </c>
    </row>
    <row r="43" spans="1:1" ht="15.75" customHeight="1">
      <c r="A43" t="s">
        <v>557</v>
      </c>
    </row>
    <row r="44" spans="1:1" ht="15.75" customHeight="1">
      <c r="A44" t="s">
        <v>558</v>
      </c>
    </row>
    <row r="45" spans="1:1" ht="15.75" customHeight="1">
      <c r="A45" t="s">
        <v>559</v>
      </c>
    </row>
    <row r="46" spans="1:1" ht="15.75" customHeight="1">
      <c r="A46" t="s">
        <v>560</v>
      </c>
    </row>
    <row r="47" spans="1:1" ht="15.75" customHeight="1">
      <c r="A47" t="s">
        <v>561</v>
      </c>
    </row>
    <row r="48" spans="1:1" ht="15.75" customHeight="1">
      <c r="A48" t="s">
        <v>562</v>
      </c>
    </row>
    <row r="49" spans="1:1" ht="15.75" customHeight="1">
      <c r="A49" t="s">
        <v>563</v>
      </c>
    </row>
    <row r="50" spans="1:1" ht="15.75" customHeight="1">
      <c r="A50" t="s">
        <v>564</v>
      </c>
    </row>
    <row r="51" spans="1:1" ht="15.75" customHeight="1">
      <c r="A51" t="s">
        <v>565</v>
      </c>
    </row>
    <row r="52" spans="1:1" ht="15.75" customHeight="1">
      <c r="A52" t="s">
        <v>566</v>
      </c>
    </row>
    <row r="53" spans="1:1" ht="15.75" customHeight="1">
      <c r="A53" t="s">
        <v>567</v>
      </c>
    </row>
    <row r="54" spans="1:1" ht="15.75" customHeight="1">
      <c r="A54" t="s">
        <v>568</v>
      </c>
    </row>
    <row r="55" spans="1:1" ht="15.75" customHeight="1">
      <c r="A55" t="s">
        <v>569</v>
      </c>
    </row>
    <row r="56" spans="1:1" ht="15.75" customHeight="1">
      <c r="A56" t="s">
        <v>570</v>
      </c>
    </row>
    <row r="57" spans="1:1" ht="15.75" customHeight="1">
      <c r="A57" t="s">
        <v>571</v>
      </c>
    </row>
    <row r="58" spans="1:1" ht="15.75" customHeight="1">
      <c r="A58" t="s">
        <v>572</v>
      </c>
    </row>
    <row r="59" spans="1:1" ht="15.75" customHeight="1">
      <c r="A59" t="s">
        <v>573</v>
      </c>
    </row>
    <row r="60" spans="1:1" ht="15.75" customHeight="1">
      <c r="A60" t="s">
        <v>574</v>
      </c>
    </row>
    <row r="61" spans="1:1" ht="15.75" customHeight="1">
      <c r="A61" t="s">
        <v>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Q74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7109375" customWidth="1"/>
    <col min="2" max="2" width="37.5703125" customWidth="1"/>
    <col min="3" max="3" width="13" customWidth="1"/>
  </cols>
  <sheetData>
    <row r="1" spans="1:43">
      <c r="A1" s="1" t="s">
        <v>0</v>
      </c>
      <c r="B1" s="2">
        <v>45890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 t="s">
        <v>2</v>
      </c>
      <c r="B2" s="1" t="str">
        <f>UPPER("Coordinates")</f>
        <v>COORDINATES</v>
      </c>
      <c r="C2" s="84">
        <v>1101</v>
      </c>
      <c r="D2" s="8">
        <v>1151</v>
      </c>
      <c r="E2" s="8">
        <v>1103</v>
      </c>
      <c r="F2" s="84">
        <v>1153</v>
      </c>
      <c r="G2" s="8">
        <v>1105</v>
      </c>
      <c r="H2" s="8">
        <v>1155</v>
      </c>
      <c r="I2" s="8">
        <v>1107</v>
      </c>
      <c r="J2" s="8">
        <v>1157</v>
      </c>
      <c r="K2" s="84">
        <v>1109</v>
      </c>
      <c r="L2" s="8">
        <v>1159</v>
      </c>
      <c r="M2" s="8">
        <v>1111</v>
      </c>
      <c r="N2" s="8">
        <v>1161</v>
      </c>
      <c r="O2" s="84">
        <v>1113</v>
      </c>
      <c r="P2" s="84">
        <v>1163</v>
      </c>
      <c r="Q2" s="8">
        <v>1115</v>
      </c>
      <c r="R2" s="84">
        <v>9109</v>
      </c>
      <c r="S2" s="8">
        <v>9111</v>
      </c>
      <c r="T2" s="84">
        <v>9113</v>
      </c>
      <c r="U2" s="8">
        <v>9115</v>
      </c>
      <c r="V2" s="8">
        <v>9117</v>
      </c>
      <c r="W2" s="8">
        <v>9119</v>
      </c>
      <c r="X2" s="8">
        <v>1167</v>
      </c>
      <c r="Y2" s="8">
        <v>1123</v>
      </c>
      <c r="Z2" s="8">
        <v>1165</v>
      </c>
      <c r="AA2" s="8">
        <v>1121</v>
      </c>
      <c r="AB2" s="8">
        <v>1171</v>
      </c>
      <c r="AC2" s="8">
        <v>1127</v>
      </c>
      <c r="AD2" s="8">
        <v>1169</v>
      </c>
      <c r="AE2" s="8">
        <v>1125</v>
      </c>
      <c r="AF2" s="84">
        <v>1173</v>
      </c>
      <c r="AG2" s="8">
        <v>1129</v>
      </c>
      <c r="AH2" s="8">
        <v>9121</v>
      </c>
      <c r="AI2" s="8">
        <v>9123</v>
      </c>
      <c r="AJ2" s="40"/>
      <c r="AK2" s="40"/>
      <c r="AL2" s="40"/>
      <c r="AM2" s="40"/>
      <c r="AN2" s="40"/>
      <c r="AO2" s="40"/>
      <c r="AP2" s="40"/>
      <c r="AQ2" s="40"/>
    </row>
    <row r="3" spans="1:43">
      <c r="A3" s="4" t="s">
        <v>55</v>
      </c>
      <c r="B3" s="4" t="s">
        <v>25</v>
      </c>
      <c r="C3" s="85"/>
      <c r="D3" s="85">
        <v>0.1875</v>
      </c>
      <c r="E3" s="85"/>
      <c r="F3" s="85">
        <v>0.21527777777777779</v>
      </c>
      <c r="G3" s="85"/>
      <c r="H3" s="85">
        <v>0.22916666666666666</v>
      </c>
      <c r="I3" s="85"/>
      <c r="J3" s="85">
        <v>0.2638888888888889</v>
      </c>
      <c r="K3" s="85"/>
      <c r="L3" s="85">
        <v>0.27777777777777779</v>
      </c>
      <c r="M3" s="85"/>
      <c r="N3" s="85">
        <v>0.3125</v>
      </c>
      <c r="O3" s="85"/>
      <c r="P3" s="85">
        <v>0.33680555555555558</v>
      </c>
      <c r="Q3" s="85"/>
      <c r="R3" s="85">
        <v>0.3611111111111111</v>
      </c>
      <c r="S3" s="85">
        <v>0.4375</v>
      </c>
      <c r="T3" s="85">
        <v>0.51388888888888884</v>
      </c>
      <c r="U3" s="85">
        <v>0.59027777777777779</v>
      </c>
      <c r="V3" s="85">
        <v>0.62847222222222221</v>
      </c>
      <c r="W3" s="85">
        <v>0.63541666666666663</v>
      </c>
      <c r="X3" s="85">
        <v>0.66319444444444442</v>
      </c>
      <c r="Y3" s="85"/>
      <c r="Z3" s="85">
        <v>0.67013888888888884</v>
      </c>
      <c r="AA3" s="85"/>
      <c r="AB3" s="85">
        <v>0.70486111111111116</v>
      </c>
      <c r="AC3" s="85"/>
      <c r="AD3" s="85">
        <v>0.71875</v>
      </c>
      <c r="AE3" s="85"/>
      <c r="AF3" s="85">
        <v>0.75</v>
      </c>
      <c r="AG3" s="85"/>
      <c r="AH3" s="85">
        <v>0.76388888888888884</v>
      </c>
      <c r="AI3" s="85">
        <v>0.80902777777777779</v>
      </c>
      <c r="AJ3" s="86"/>
      <c r="AK3" s="87"/>
      <c r="AL3" s="87"/>
      <c r="AM3" s="87"/>
      <c r="AN3" s="87"/>
      <c r="AO3" s="87"/>
      <c r="AP3" s="87"/>
      <c r="AQ3" s="87"/>
    </row>
    <row r="4" spans="1:43">
      <c r="A4" s="6" t="s">
        <v>58</v>
      </c>
      <c r="B4" s="6" t="s">
        <v>59</v>
      </c>
      <c r="C4" s="85"/>
      <c r="D4" s="85">
        <v>0.19027777777777777</v>
      </c>
      <c r="E4" s="85"/>
      <c r="F4" s="85">
        <v>0.21805555555555556</v>
      </c>
      <c r="G4" s="85"/>
      <c r="H4" s="85">
        <v>0.23194444444444445</v>
      </c>
      <c r="I4" s="85"/>
      <c r="J4" s="85">
        <v>0.26666666666666666</v>
      </c>
      <c r="K4" s="85"/>
      <c r="L4" s="85">
        <v>0.28055555555555556</v>
      </c>
      <c r="M4" s="85"/>
      <c r="N4" s="85">
        <v>0.31527777777777777</v>
      </c>
      <c r="O4" s="85"/>
      <c r="P4" s="85">
        <v>0.33958333333333335</v>
      </c>
      <c r="Q4" s="85"/>
      <c r="R4" s="85">
        <v>0.36319444444444443</v>
      </c>
      <c r="S4" s="85">
        <v>0.43958333333333333</v>
      </c>
      <c r="T4" s="85">
        <v>0.51597222222222228</v>
      </c>
      <c r="U4" s="85">
        <v>0.59236111111111112</v>
      </c>
      <c r="V4" s="85">
        <v>0.63055555555555554</v>
      </c>
      <c r="W4" s="85">
        <v>0.6381944444444444</v>
      </c>
      <c r="X4" s="85">
        <v>0.66597222222222219</v>
      </c>
      <c r="Y4" s="85"/>
      <c r="Z4" s="85">
        <v>0.67291666666666672</v>
      </c>
      <c r="AA4" s="85"/>
      <c r="AB4" s="85">
        <v>0.70763888888888893</v>
      </c>
      <c r="AC4" s="85"/>
      <c r="AD4" s="85">
        <v>0.72152777777777777</v>
      </c>
      <c r="AE4" s="85"/>
      <c r="AF4" s="85">
        <v>0.75277777777777777</v>
      </c>
      <c r="AG4" s="85"/>
      <c r="AH4" s="85">
        <v>0.76597222222222228</v>
      </c>
      <c r="AI4" s="85">
        <v>0.81111111111111112</v>
      </c>
      <c r="AJ4" s="86"/>
      <c r="AK4" s="87"/>
      <c r="AL4" s="87"/>
      <c r="AM4" s="87"/>
      <c r="AN4" s="87"/>
      <c r="AO4" s="87"/>
      <c r="AP4" s="87"/>
      <c r="AQ4" s="87"/>
    </row>
    <row r="5" spans="1:43">
      <c r="A5" s="6" t="s">
        <v>60</v>
      </c>
      <c r="B5" s="6" t="s">
        <v>61</v>
      </c>
      <c r="C5" s="85"/>
      <c r="D5" s="85">
        <v>0.19097222222222221</v>
      </c>
      <c r="E5" s="85"/>
      <c r="F5" s="85">
        <v>0.21875</v>
      </c>
      <c r="G5" s="85"/>
      <c r="H5" s="85">
        <v>0.2326388888888889</v>
      </c>
      <c r="I5" s="85"/>
      <c r="J5" s="85">
        <v>0.2673611111111111</v>
      </c>
      <c r="K5" s="85"/>
      <c r="L5" s="85">
        <v>0.28125</v>
      </c>
      <c r="M5" s="85"/>
      <c r="N5" s="85">
        <v>0.31597222222222221</v>
      </c>
      <c r="O5" s="85"/>
      <c r="P5" s="85">
        <v>0.34027777777777779</v>
      </c>
      <c r="Q5" s="85"/>
      <c r="R5" s="85">
        <v>0.36458333333333331</v>
      </c>
      <c r="S5" s="85">
        <v>0.44097222222222221</v>
      </c>
      <c r="T5" s="85">
        <v>0.51736111111111116</v>
      </c>
      <c r="U5" s="85">
        <v>0.59375</v>
      </c>
      <c r="V5" s="85">
        <v>0.63194444444444442</v>
      </c>
      <c r="W5" s="85">
        <v>0.63888888888888884</v>
      </c>
      <c r="X5" s="85">
        <v>0.66666666666666663</v>
      </c>
      <c r="Y5" s="85"/>
      <c r="Z5" s="85">
        <v>0.67361111111111116</v>
      </c>
      <c r="AA5" s="85"/>
      <c r="AB5" s="85">
        <v>0.70833333333333337</v>
      </c>
      <c r="AC5" s="85"/>
      <c r="AD5" s="85">
        <v>0.72222222222222221</v>
      </c>
      <c r="AE5" s="85"/>
      <c r="AF5" s="85">
        <v>0.75347222222222221</v>
      </c>
      <c r="AG5" s="85"/>
      <c r="AH5" s="85">
        <v>0.76736111111111116</v>
      </c>
      <c r="AI5" s="85">
        <v>0.8125</v>
      </c>
      <c r="AJ5" s="86"/>
      <c r="AK5" s="87"/>
      <c r="AL5" s="87"/>
      <c r="AM5" s="87"/>
      <c r="AN5" s="87"/>
      <c r="AO5" s="87"/>
      <c r="AP5" s="87"/>
      <c r="AQ5" s="87"/>
    </row>
    <row r="6" spans="1:43">
      <c r="A6" s="6" t="s">
        <v>62</v>
      </c>
      <c r="B6" s="6" t="s">
        <v>63</v>
      </c>
      <c r="C6" s="85"/>
      <c r="D6" s="85">
        <v>0.19305555555555556</v>
      </c>
      <c r="E6" s="85"/>
      <c r="F6" s="85">
        <v>0.22083333333333333</v>
      </c>
      <c r="G6" s="85"/>
      <c r="H6" s="85">
        <v>0.23472222222222222</v>
      </c>
      <c r="I6" s="85"/>
      <c r="J6" s="88">
        <v>0.26944444444444443</v>
      </c>
      <c r="K6" s="85"/>
      <c r="L6" s="85">
        <v>0.28333333333333333</v>
      </c>
      <c r="M6" s="85"/>
      <c r="N6" s="85">
        <v>0.31805555555555554</v>
      </c>
      <c r="O6" s="85"/>
      <c r="P6" s="85">
        <v>0.34236111111111112</v>
      </c>
      <c r="Q6" s="85"/>
      <c r="R6" s="85">
        <v>0.3659722222222222</v>
      </c>
      <c r="S6" s="85">
        <v>0.44236111111111109</v>
      </c>
      <c r="T6" s="85">
        <v>0.51875000000000004</v>
      </c>
      <c r="U6" s="88">
        <v>0.59513888888888888</v>
      </c>
      <c r="V6" s="85">
        <v>0.6333333333333333</v>
      </c>
      <c r="W6" s="85">
        <v>0.64027777777777772</v>
      </c>
      <c r="X6" s="85">
        <v>0.66874999999999996</v>
      </c>
      <c r="Y6" s="85"/>
      <c r="Z6" s="85">
        <v>0.67569444444444449</v>
      </c>
      <c r="AA6" s="85"/>
      <c r="AB6" s="85">
        <v>0.7104166666666667</v>
      </c>
      <c r="AC6" s="85"/>
      <c r="AD6" s="85">
        <v>0.72430555555555554</v>
      </c>
      <c r="AE6" s="85"/>
      <c r="AF6" s="85">
        <v>0.75555555555555554</v>
      </c>
      <c r="AG6" s="85"/>
      <c r="AH6" s="85">
        <v>0.76875000000000004</v>
      </c>
      <c r="AI6" s="85">
        <v>0.81388888888888888</v>
      </c>
      <c r="AJ6" s="86"/>
      <c r="AK6" s="87"/>
      <c r="AL6" s="87"/>
      <c r="AM6" s="87"/>
      <c r="AN6" s="87"/>
      <c r="AO6" s="87"/>
      <c r="AP6" s="87"/>
      <c r="AQ6" s="87"/>
    </row>
    <row r="7" spans="1:43">
      <c r="A7" s="6" t="s">
        <v>64</v>
      </c>
      <c r="B7" s="6" t="s">
        <v>65</v>
      </c>
      <c r="C7" s="88"/>
      <c r="D7" s="88">
        <v>0.19444444444444445</v>
      </c>
      <c r="E7" s="85"/>
      <c r="F7" s="85">
        <v>0.22222222222222221</v>
      </c>
      <c r="G7" s="85"/>
      <c r="H7" s="85">
        <v>0.2361111111111111</v>
      </c>
      <c r="I7" s="85"/>
      <c r="J7" s="85">
        <v>0.27083333333333331</v>
      </c>
      <c r="K7" s="85"/>
      <c r="L7" s="85">
        <v>0.28472222222222221</v>
      </c>
      <c r="M7" s="85"/>
      <c r="N7" s="85">
        <v>0.31944444444444442</v>
      </c>
      <c r="O7" s="85"/>
      <c r="P7" s="85">
        <v>0.34375</v>
      </c>
      <c r="Q7" s="85"/>
      <c r="R7" s="85">
        <v>0.36805555555555558</v>
      </c>
      <c r="S7" s="85">
        <v>0.44444444444444442</v>
      </c>
      <c r="T7" s="85">
        <v>0.52083333333333337</v>
      </c>
      <c r="U7" s="85">
        <v>0.59722222222222221</v>
      </c>
      <c r="V7" s="85">
        <v>0.63541666666666663</v>
      </c>
      <c r="W7" s="85">
        <v>0.64236111111111116</v>
      </c>
      <c r="X7" s="85">
        <v>0.67013888888888884</v>
      </c>
      <c r="Y7" s="85"/>
      <c r="Z7" s="85">
        <v>0.67708333333333337</v>
      </c>
      <c r="AA7" s="85"/>
      <c r="AB7" s="85">
        <v>0.71180555555555558</v>
      </c>
      <c r="AC7" s="85"/>
      <c r="AD7" s="85">
        <v>0.72569444444444442</v>
      </c>
      <c r="AE7" s="85"/>
      <c r="AF7" s="85">
        <v>0.75694444444444442</v>
      </c>
      <c r="AG7" s="85"/>
      <c r="AH7" s="85">
        <v>0.77083333333333337</v>
      </c>
      <c r="AI7" s="85">
        <v>0.81597222222222221</v>
      </c>
      <c r="AJ7" s="86"/>
      <c r="AK7" s="87"/>
      <c r="AL7" s="87"/>
      <c r="AM7" s="87"/>
      <c r="AN7" s="87"/>
      <c r="AO7" s="87"/>
      <c r="AP7" s="87"/>
      <c r="AQ7" s="87"/>
    </row>
    <row r="8" spans="1:43">
      <c r="A8" s="6" t="s">
        <v>66</v>
      </c>
      <c r="B8" s="6" t="s">
        <v>67</v>
      </c>
      <c r="C8" s="88"/>
      <c r="D8" s="88">
        <v>0.19652777777777777</v>
      </c>
      <c r="E8" s="85"/>
      <c r="F8" s="85">
        <v>0.22430555555555556</v>
      </c>
      <c r="G8" s="85"/>
      <c r="H8" s="85">
        <v>0.23819444444444443</v>
      </c>
      <c r="I8" s="85"/>
      <c r="J8" s="85">
        <v>0.27291666666666664</v>
      </c>
      <c r="K8" s="85"/>
      <c r="L8" s="85">
        <v>0.28680555555555554</v>
      </c>
      <c r="M8" s="85"/>
      <c r="N8" s="85">
        <v>0.3215277777777778</v>
      </c>
      <c r="O8" s="85"/>
      <c r="P8" s="85">
        <v>0.34583333333333333</v>
      </c>
      <c r="Q8" s="85"/>
      <c r="R8" s="85">
        <v>0.36944444444444446</v>
      </c>
      <c r="S8" s="85">
        <v>0.44583333333333336</v>
      </c>
      <c r="T8" s="85">
        <v>0.52222222222222225</v>
      </c>
      <c r="U8" s="85">
        <v>0.59861111111111109</v>
      </c>
      <c r="V8" s="85">
        <v>0.63680555555555551</v>
      </c>
      <c r="W8" s="85">
        <v>0.64375000000000004</v>
      </c>
      <c r="X8" s="85">
        <v>0.67222222222222228</v>
      </c>
      <c r="Y8" s="85"/>
      <c r="Z8" s="85">
        <v>0.6791666666666667</v>
      </c>
      <c r="AA8" s="85"/>
      <c r="AB8" s="85">
        <v>0.71388888888888891</v>
      </c>
      <c r="AC8" s="85"/>
      <c r="AD8" s="85">
        <v>0.72777777777777775</v>
      </c>
      <c r="AE8" s="85"/>
      <c r="AF8" s="85">
        <v>0.75902777777777775</v>
      </c>
      <c r="AG8" s="85"/>
      <c r="AH8" s="88">
        <v>0.77222222222222225</v>
      </c>
      <c r="AI8" s="85">
        <v>0.81736111111111109</v>
      </c>
      <c r="AJ8" s="86"/>
      <c r="AK8" s="87"/>
      <c r="AL8" s="87"/>
      <c r="AM8" s="87"/>
      <c r="AN8" s="87"/>
      <c r="AO8" s="87"/>
      <c r="AP8" s="87"/>
      <c r="AQ8" s="87"/>
    </row>
    <row r="9" spans="1:43">
      <c r="A9" s="6" t="s">
        <v>68</v>
      </c>
      <c r="B9" s="6" t="s">
        <v>69</v>
      </c>
      <c r="C9" s="85"/>
      <c r="D9" s="85">
        <v>0.19791666666666666</v>
      </c>
      <c r="E9" s="85"/>
      <c r="F9" s="85">
        <v>0.22569444444444445</v>
      </c>
      <c r="G9" s="85"/>
      <c r="H9" s="85">
        <v>0.23958333333333334</v>
      </c>
      <c r="I9" s="85"/>
      <c r="J9" s="85">
        <v>0.27430555555555558</v>
      </c>
      <c r="K9" s="85"/>
      <c r="L9" s="85">
        <v>0.28819444444444442</v>
      </c>
      <c r="M9" s="85"/>
      <c r="N9" s="85">
        <v>0.32291666666666669</v>
      </c>
      <c r="O9" s="85"/>
      <c r="P9" s="85">
        <v>0.34722222222222221</v>
      </c>
      <c r="Q9" s="85"/>
      <c r="R9" s="85">
        <v>0.37083333333333335</v>
      </c>
      <c r="S9" s="85">
        <v>0.44722222222222224</v>
      </c>
      <c r="T9" s="85">
        <v>0.52361111111111114</v>
      </c>
      <c r="U9" s="85">
        <v>0.6</v>
      </c>
      <c r="V9" s="85">
        <v>0.6381944444444444</v>
      </c>
      <c r="W9" s="85">
        <v>0.64513888888888893</v>
      </c>
      <c r="X9" s="85">
        <v>0.67361111111111116</v>
      </c>
      <c r="Y9" s="85"/>
      <c r="Z9" s="85">
        <v>0.68055555555555558</v>
      </c>
      <c r="AA9" s="85"/>
      <c r="AB9" s="85">
        <v>0.71527777777777779</v>
      </c>
      <c r="AC9" s="85"/>
      <c r="AD9" s="85">
        <v>0.72916666666666663</v>
      </c>
      <c r="AE9" s="85"/>
      <c r="AF9" s="85">
        <v>0.76041666666666663</v>
      </c>
      <c r="AG9" s="85"/>
      <c r="AH9" s="85">
        <v>0.77361111111111114</v>
      </c>
      <c r="AI9" s="85">
        <v>0.81874999999999998</v>
      </c>
      <c r="AJ9" s="86"/>
      <c r="AK9" s="87"/>
      <c r="AL9" s="87"/>
      <c r="AM9" s="87"/>
      <c r="AN9" s="87"/>
      <c r="AO9" s="87"/>
      <c r="AP9" s="87"/>
      <c r="AQ9" s="87"/>
    </row>
    <row r="10" spans="1:43">
      <c r="A10" s="6" t="s">
        <v>126</v>
      </c>
      <c r="B10" s="6" t="s">
        <v>127</v>
      </c>
      <c r="C10" s="89"/>
      <c r="D10" s="90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6"/>
      <c r="AK10" s="87"/>
      <c r="AL10" s="87"/>
      <c r="AM10" s="87"/>
      <c r="AN10" s="87"/>
      <c r="AO10" s="87"/>
      <c r="AP10" s="87"/>
      <c r="AQ10" s="87"/>
    </row>
    <row r="11" spans="1:43">
      <c r="A11" s="6" t="s">
        <v>70</v>
      </c>
      <c r="B11" s="58" t="s">
        <v>71</v>
      </c>
      <c r="C11" s="85">
        <v>0.19097222222222221</v>
      </c>
      <c r="D11" s="85">
        <v>0.2013888888888889</v>
      </c>
      <c r="E11" s="85">
        <v>0.21180555555555555</v>
      </c>
      <c r="F11" s="85">
        <v>0.22916666666666666</v>
      </c>
      <c r="G11" s="85">
        <v>0.23958333333333334</v>
      </c>
      <c r="H11" s="85">
        <v>0.24305555555555555</v>
      </c>
      <c r="I11" s="85">
        <v>0.25</v>
      </c>
      <c r="J11" s="85">
        <v>0.27777777777777779</v>
      </c>
      <c r="K11" s="85">
        <v>0.28819444444444442</v>
      </c>
      <c r="L11" s="85">
        <v>0.29166666666666669</v>
      </c>
      <c r="M11" s="85">
        <v>0.30208333333333331</v>
      </c>
      <c r="N11" s="85">
        <v>0.3263888888888889</v>
      </c>
      <c r="O11" s="85">
        <v>0.33680555555555558</v>
      </c>
      <c r="P11" s="85">
        <v>0.35069444444444442</v>
      </c>
      <c r="Q11" s="85">
        <v>0.3576388888888889</v>
      </c>
      <c r="R11" s="85">
        <v>0.37430555555555556</v>
      </c>
      <c r="S11" s="85">
        <v>0.45069444444444445</v>
      </c>
      <c r="T11" s="85">
        <v>0.52708333333333335</v>
      </c>
      <c r="U11" s="85">
        <v>0.60347222222222219</v>
      </c>
      <c r="V11" s="85">
        <v>0.64166666666666672</v>
      </c>
      <c r="W11" s="85">
        <v>0.64861111111111114</v>
      </c>
      <c r="X11" s="85">
        <v>0.67708333333333337</v>
      </c>
      <c r="Y11" s="85">
        <v>0.68402777777777779</v>
      </c>
      <c r="Z11" s="85">
        <v>0.68402777777777779</v>
      </c>
      <c r="AA11" s="85">
        <v>0.69097222222222221</v>
      </c>
      <c r="AB11" s="85">
        <v>0.71875</v>
      </c>
      <c r="AC11" s="85">
        <v>0.72569444444444442</v>
      </c>
      <c r="AD11" s="85">
        <v>0.73263888888888884</v>
      </c>
      <c r="AE11" s="85">
        <v>0.73958333333333337</v>
      </c>
      <c r="AF11" s="85">
        <v>0.76388888888888884</v>
      </c>
      <c r="AG11" s="85">
        <v>0.77083333333333337</v>
      </c>
      <c r="AH11" s="85">
        <v>0.77708333333333335</v>
      </c>
      <c r="AI11" s="85">
        <v>0.82222222222222219</v>
      </c>
      <c r="AJ11" s="86"/>
      <c r="AK11" s="87"/>
      <c r="AL11" s="87"/>
      <c r="AM11" s="87"/>
      <c r="AN11" s="87"/>
      <c r="AO11" s="87"/>
      <c r="AP11" s="87"/>
      <c r="AQ11" s="87"/>
    </row>
    <row r="12" spans="1:43">
      <c r="A12" s="6" t="s">
        <v>72</v>
      </c>
      <c r="B12" s="6" t="s">
        <v>128</v>
      </c>
      <c r="C12" s="85">
        <v>0.19236111111111112</v>
      </c>
      <c r="D12" s="85"/>
      <c r="E12" s="85">
        <v>0.21319444444444444</v>
      </c>
      <c r="F12" s="85"/>
      <c r="G12" s="85">
        <v>0.24097222222222223</v>
      </c>
      <c r="H12" s="85"/>
      <c r="I12" s="85">
        <v>0.25138888888888888</v>
      </c>
      <c r="J12" s="85"/>
      <c r="K12" s="85">
        <v>0.28958333333333336</v>
      </c>
      <c r="L12" s="85"/>
      <c r="M12" s="85">
        <v>0.3034722222222222</v>
      </c>
      <c r="N12" s="85"/>
      <c r="O12" s="85">
        <v>0.33819444444444446</v>
      </c>
      <c r="P12" s="85"/>
      <c r="Q12" s="85">
        <v>0.35902777777777778</v>
      </c>
      <c r="R12" s="85">
        <v>0.37638888888888888</v>
      </c>
      <c r="S12" s="85">
        <v>0.45277777777777778</v>
      </c>
      <c r="T12" s="85">
        <v>0.52916666666666667</v>
      </c>
      <c r="U12" s="85">
        <v>0.60555555555555551</v>
      </c>
      <c r="V12" s="85">
        <v>0.64375000000000004</v>
      </c>
      <c r="W12" s="85">
        <v>0.65069444444444446</v>
      </c>
      <c r="X12" s="85"/>
      <c r="Y12" s="85">
        <v>0.68541666666666667</v>
      </c>
      <c r="Z12" s="85"/>
      <c r="AA12" s="85">
        <v>0.69236111111111109</v>
      </c>
      <c r="AB12" s="85"/>
      <c r="AC12" s="85">
        <v>0.7270833333333333</v>
      </c>
      <c r="AD12" s="85"/>
      <c r="AE12" s="85">
        <v>0.74097222222222225</v>
      </c>
      <c r="AF12" s="85"/>
      <c r="AG12" s="85">
        <v>0.77222222222222225</v>
      </c>
      <c r="AH12" s="85">
        <v>0.77916666666666667</v>
      </c>
      <c r="AI12" s="85">
        <v>0.82430555555555551</v>
      </c>
      <c r="AJ12" s="86"/>
      <c r="AK12" s="87"/>
      <c r="AL12" s="87"/>
      <c r="AM12" s="87"/>
      <c r="AN12" s="87"/>
      <c r="AO12" s="87"/>
      <c r="AP12" s="87"/>
      <c r="AQ12" s="87"/>
    </row>
    <row r="13" spans="1:43">
      <c r="A13" s="6" t="s">
        <v>129</v>
      </c>
      <c r="B13" s="6" t="s">
        <v>130</v>
      </c>
      <c r="C13" s="89"/>
      <c r="D13" s="90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6"/>
      <c r="AK13" s="87"/>
      <c r="AL13" s="87"/>
      <c r="AM13" s="87"/>
      <c r="AN13" s="87"/>
      <c r="AO13" s="87"/>
      <c r="AP13" s="87"/>
      <c r="AQ13" s="87"/>
    </row>
    <row r="14" spans="1:43">
      <c r="A14" s="6" t="s">
        <v>74</v>
      </c>
      <c r="B14" s="6" t="s">
        <v>131</v>
      </c>
      <c r="C14" s="85">
        <v>0.19513888888888889</v>
      </c>
      <c r="D14" s="91"/>
      <c r="E14" s="85">
        <v>0.21597222222222223</v>
      </c>
      <c r="F14" s="85"/>
      <c r="G14" s="85">
        <v>0.24374999999999999</v>
      </c>
      <c r="H14" s="85"/>
      <c r="I14" s="88">
        <v>0.25416666666666665</v>
      </c>
      <c r="J14" s="85"/>
      <c r="K14" s="85">
        <v>0.29236111111111113</v>
      </c>
      <c r="L14" s="85"/>
      <c r="M14" s="85">
        <v>0.30625000000000002</v>
      </c>
      <c r="N14" s="85"/>
      <c r="O14" s="85">
        <v>0.34097222222222223</v>
      </c>
      <c r="P14" s="85"/>
      <c r="Q14" s="85">
        <v>0.36180555555555555</v>
      </c>
      <c r="R14" s="85">
        <v>0.37847222222222221</v>
      </c>
      <c r="S14" s="88">
        <v>0.4548611111111111</v>
      </c>
      <c r="T14" s="85">
        <v>0.53125</v>
      </c>
      <c r="U14" s="85">
        <v>0.60763888888888884</v>
      </c>
      <c r="V14" s="85">
        <v>0.64583333333333337</v>
      </c>
      <c r="W14" s="85">
        <v>0.65347222222222223</v>
      </c>
      <c r="X14" s="85"/>
      <c r="Y14" s="85">
        <v>0.68819444444444444</v>
      </c>
      <c r="Z14" s="85"/>
      <c r="AA14" s="85">
        <v>0.69513888888888886</v>
      </c>
      <c r="AB14" s="85"/>
      <c r="AC14" s="85">
        <v>0.72986111111111107</v>
      </c>
      <c r="AD14" s="85"/>
      <c r="AE14" s="85">
        <v>0.74375000000000002</v>
      </c>
      <c r="AF14" s="85"/>
      <c r="AG14" s="88">
        <v>0.77500000000000002</v>
      </c>
      <c r="AH14" s="85">
        <v>0.78125</v>
      </c>
      <c r="AI14" s="85">
        <v>0.82638888888888884</v>
      </c>
      <c r="AJ14" s="86"/>
      <c r="AK14" s="87"/>
      <c r="AL14" s="87"/>
      <c r="AM14" s="87"/>
      <c r="AN14" s="87"/>
      <c r="AO14" s="87"/>
      <c r="AP14" s="87"/>
      <c r="AQ14" s="87"/>
    </row>
    <row r="15" spans="1:43">
      <c r="A15" s="6" t="s">
        <v>76</v>
      </c>
      <c r="B15" s="6" t="s">
        <v>77</v>
      </c>
      <c r="C15" s="88">
        <v>0.19652777777777777</v>
      </c>
      <c r="D15" s="91"/>
      <c r="E15" s="85">
        <v>0.21736111111111112</v>
      </c>
      <c r="F15" s="88"/>
      <c r="G15" s="85">
        <v>0.24513888888888888</v>
      </c>
      <c r="H15" s="85"/>
      <c r="I15" s="88">
        <v>0.25555555555555554</v>
      </c>
      <c r="J15" s="85"/>
      <c r="K15" s="85">
        <v>0.29375000000000001</v>
      </c>
      <c r="L15" s="85"/>
      <c r="M15" s="85">
        <v>0.30763888888888891</v>
      </c>
      <c r="N15" s="85"/>
      <c r="O15" s="85">
        <v>0.34236111111111112</v>
      </c>
      <c r="P15" s="85"/>
      <c r="Q15" s="85">
        <v>0.36319444444444443</v>
      </c>
      <c r="R15" s="85">
        <v>0.38055555555555554</v>
      </c>
      <c r="S15" s="88">
        <v>0.45694444444444443</v>
      </c>
      <c r="T15" s="85">
        <v>0.53333333333333333</v>
      </c>
      <c r="U15" s="85">
        <v>0.60972222222222228</v>
      </c>
      <c r="V15" s="85">
        <v>0.6479166666666667</v>
      </c>
      <c r="W15" s="85">
        <v>0.65486111111111112</v>
      </c>
      <c r="X15" s="85"/>
      <c r="Y15" s="85">
        <v>0.68958333333333333</v>
      </c>
      <c r="Z15" s="85"/>
      <c r="AA15" s="85">
        <v>0.69652777777777775</v>
      </c>
      <c r="AB15" s="85"/>
      <c r="AC15" s="85">
        <v>0.73124999999999996</v>
      </c>
      <c r="AD15" s="85"/>
      <c r="AE15" s="85">
        <v>0.74513888888888891</v>
      </c>
      <c r="AF15" s="85"/>
      <c r="AG15" s="85">
        <v>0.77638888888888891</v>
      </c>
      <c r="AH15" s="85">
        <v>0.78333333333333333</v>
      </c>
      <c r="AI15" s="85">
        <v>0.82847222222222228</v>
      </c>
      <c r="AJ15" s="86"/>
      <c r="AK15" s="87"/>
      <c r="AL15" s="87"/>
      <c r="AM15" s="87"/>
      <c r="AN15" s="87"/>
      <c r="AO15" s="87"/>
      <c r="AP15" s="87"/>
      <c r="AQ15" s="87"/>
    </row>
    <row r="16" spans="1:43">
      <c r="A16" s="6" t="s">
        <v>78</v>
      </c>
      <c r="B16" s="6" t="s">
        <v>79</v>
      </c>
      <c r="C16" s="88">
        <v>0.1986111111111111</v>
      </c>
      <c r="D16" s="91"/>
      <c r="E16" s="85">
        <v>0.22013888888888888</v>
      </c>
      <c r="F16" s="88"/>
      <c r="G16" s="85">
        <v>0.24722222222222223</v>
      </c>
      <c r="H16" s="85"/>
      <c r="I16" s="88">
        <v>0.25833333333333336</v>
      </c>
      <c r="J16" s="85"/>
      <c r="K16" s="85">
        <v>0.29583333333333334</v>
      </c>
      <c r="L16" s="85"/>
      <c r="M16" s="88">
        <v>0.31041666666666667</v>
      </c>
      <c r="N16" s="85"/>
      <c r="O16" s="88">
        <v>0.34444444444444444</v>
      </c>
      <c r="P16" s="85"/>
      <c r="Q16" s="88">
        <v>0.3659722222222222</v>
      </c>
      <c r="R16" s="85">
        <v>0.38263888888888886</v>
      </c>
      <c r="S16" s="85">
        <v>0.45902777777777776</v>
      </c>
      <c r="T16" s="85">
        <v>0.53541666666666665</v>
      </c>
      <c r="U16" s="85">
        <v>0.6118055555555556</v>
      </c>
      <c r="V16" s="85">
        <v>0.65</v>
      </c>
      <c r="W16" s="85">
        <v>0.65763888888888888</v>
      </c>
      <c r="X16" s="85"/>
      <c r="Y16" s="85">
        <v>0.69236111111111109</v>
      </c>
      <c r="Z16" s="85"/>
      <c r="AA16" s="85">
        <v>0.69861111111111107</v>
      </c>
      <c r="AB16" s="85"/>
      <c r="AC16" s="85">
        <v>0.73402777777777772</v>
      </c>
      <c r="AD16" s="85"/>
      <c r="AE16" s="85">
        <v>0.74722222222222223</v>
      </c>
      <c r="AF16" s="85"/>
      <c r="AG16" s="85">
        <v>0.77916666666666667</v>
      </c>
      <c r="AH16" s="85">
        <v>0.78541666666666665</v>
      </c>
      <c r="AI16" s="85">
        <v>0.8305555555555556</v>
      </c>
      <c r="AJ16" s="86"/>
      <c r="AK16" s="87"/>
      <c r="AL16" s="87"/>
      <c r="AM16" s="87"/>
      <c r="AN16" s="87"/>
      <c r="AO16" s="87"/>
      <c r="AP16" s="87"/>
      <c r="AQ16" s="87"/>
    </row>
    <row r="17" spans="1:43">
      <c r="A17" s="6" t="s">
        <v>80</v>
      </c>
      <c r="B17" s="6" t="s">
        <v>81</v>
      </c>
      <c r="C17" s="88">
        <v>0.2013888888888889</v>
      </c>
      <c r="D17" s="91"/>
      <c r="E17" s="85">
        <v>0.22222222222222221</v>
      </c>
      <c r="F17" s="88"/>
      <c r="G17" s="85">
        <v>0.25</v>
      </c>
      <c r="H17" s="85"/>
      <c r="I17" s="85">
        <v>0.26041666666666669</v>
      </c>
      <c r="J17" s="85"/>
      <c r="K17" s="85">
        <v>0.2986111111111111</v>
      </c>
      <c r="L17" s="85"/>
      <c r="M17" s="85">
        <v>0.3125</v>
      </c>
      <c r="N17" s="85"/>
      <c r="O17" s="85">
        <v>0.34722222222222221</v>
      </c>
      <c r="P17" s="85"/>
      <c r="Q17" s="85">
        <v>0.36805555555555558</v>
      </c>
      <c r="R17" s="85">
        <v>0.38541666666666669</v>
      </c>
      <c r="S17" s="85">
        <v>0.46180555555555558</v>
      </c>
      <c r="T17" s="85">
        <v>0.53819444444444442</v>
      </c>
      <c r="U17" s="85">
        <v>0.61458333333333337</v>
      </c>
      <c r="V17" s="85">
        <v>0.65277777777777779</v>
      </c>
      <c r="W17" s="85">
        <v>0.65972222222222221</v>
      </c>
      <c r="X17" s="85"/>
      <c r="Y17" s="85">
        <v>0.69444444444444442</v>
      </c>
      <c r="Z17" s="85"/>
      <c r="AA17" s="85">
        <v>0.70138888888888884</v>
      </c>
      <c r="AB17" s="85"/>
      <c r="AC17" s="85">
        <v>0.73611111111111116</v>
      </c>
      <c r="AD17" s="85"/>
      <c r="AE17" s="85">
        <v>0.75</v>
      </c>
      <c r="AF17" s="85"/>
      <c r="AG17" s="85">
        <v>0.78125</v>
      </c>
      <c r="AH17" s="85">
        <v>0.78819444444444442</v>
      </c>
      <c r="AI17" s="85">
        <v>0.83333333333333337</v>
      </c>
      <c r="AJ17" s="86"/>
      <c r="AK17" s="87"/>
      <c r="AL17" s="87"/>
      <c r="AM17" s="87"/>
      <c r="AN17" s="87"/>
      <c r="AO17" s="87"/>
      <c r="AP17" s="87"/>
      <c r="AQ17" s="87"/>
    </row>
    <row r="18" spans="1:43">
      <c r="A18" s="6" t="s">
        <v>132</v>
      </c>
      <c r="B18" s="6" t="s">
        <v>133</v>
      </c>
      <c r="C18" s="89"/>
      <c r="D18" s="90"/>
      <c r="E18" s="89"/>
      <c r="F18" s="89"/>
      <c r="G18" s="89"/>
      <c r="H18" s="92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6"/>
      <c r="AK18" s="87"/>
      <c r="AL18" s="87"/>
      <c r="AM18" s="87"/>
      <c r="AN18" s="87"/>
      <c r="AO18" s="87"/>
      <c r="AP18" s="87"/>
      <c r="AQ18" s="87"/>
    </row>
    <row r="19" spans="1:43">
      <c r="A19" s="6" t="s">
        <v>82</v>
      </c>
      <c r="B19" s="6" t="s">
        <v>83</v>
      </c>
      <c r="C19" s="85">
        <v>0.20833333333333334</v>
      </c>
      <c r="D19" s="91"/>
      <c r="E19" s="93"/>
      <c r="F19" s="85"/>
      <c r="G19" s="85">
        <v>0.25694444444444442</v>
      </c>
      <c r="H19" s="85"/>
      <c r="I19" s="85"/>
      <c r="J19" s="85"/>
      <c r="K19" s="85">
        <v>0.30555555555555558</v>
      </c>
      <c r="L19" s="94"/>
      <c r="M19" s="85"/>
      <c r="N19" s="85"/>
      <c r="O19" s="85">
        <v>0.35416666666666669</v>
      </c>
      <c r="P19" s="94"/>
      <c r="Q19" s="85"/>
      <c r="R19" s="85">
        <v>0.3923611111111111</v>
      </c>
      <c r="S19" s="85">
        <v>0.46875</v>
      </c>
      <c r="T19" s="85">
        <v>0.54513888888888884</v>
      </c>
      <c r="U19" s="85">
        <v>0.62152777777777779</v>
      </c>
      <c r="V19" s="85">
        <v>0.65972222222222221</v>
      </c>
      <c r="W19" s="85"/>
      <c r="X19" s="85"/>
      <c r="Z19" s="94"/>
      <c r="AA19" s="85">
        <v>0.70833333333333337</v>
      </c>
      <c r="AB19" s="85"/>
      <c r="AC19" s="85"/>
      <c r="AD19" s="85"/>
      <c r="AE19" s="85">
        <v>0.75694444444444442</v>
      </c>
      <c r="AF19" s="85"/>
      <c r="AG19" s="94"/>
      <c r="AH19" s="85">
        <v>0.79513888888888884</v>
      </c>
      <c r="AI19" s="85">
        <v>0.84027777777777779</v>
      </c>
      <c r="AJ19" s="86"/>
      <c r="AK19" s="87"/>
      <c r="AL19" s="87"/>
      <c r="AM19" s="87"/>
      <c r="AN19" s="87"/>
      <c r="AO19" s="87"/>
      <c r="AP19" s="87"/>
      <c r="AQ19" s="87"/>
    </row>
    <row r="20" spans="1:43">
      <c r="C20" s="40"/>
      <c r="D20" s="4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81"/>
      <c r="AN20" s="81"/>
      <c r="AO20" s="81"/>
      <c r="AP20" s="81"/>
      <c r="AQ20" s="81"/>
    </row>
    <row r="21" spans="1:43">
      <c r="C21" s="40"/>
      <c r="D21" s="4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81"/>
      <c r="AN21" s="81"/>
      <c r="AO21" s="81"/>
      <c r="AP21" s="81"/>
      <c r="AQ21" s="81"/>
    </row>
    <row r="22" spans="1:43">
      <c r="C22" s="40"/>
      <c r="D22" s="4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81"/>
      <c r="AN22" s="81"/>
      <c r="AO22" s="81"/>
      <c r="AP22" s="81"/>
      <c r="AQ22" s="81"/>
    </row>
    <row r="23" spans="1:43">
      <c r="C23" s="40"/>
      <c r="D23" s="4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81"/>
      <c r="AN23" s="81"/>
      <c r="AO23" s="81"/>
      <c r="AP23" s="81"/>
      <c r="AQ23" s="81"/>
    </row>
    <row r="24" spans="1:43">
      <c r="C24" s="40"/>
      <c r="D24" s="40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81"/>
      <c r="AN24" s="81"/>
      <c r="AO24" s="81"/>
      <c r="AP24" s="81"/>
      <c r="AQ24" s="81"/>
    </row>
    <row r="25" spans="1:43">
      <c r="C25" s="40"/>
      <c r="D25" s="4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81"/>
      <c r="AN25" s="81"/>
      <c r="AO25" s="81"/>
      <c r="AP25" s="81"/>
      <c r="AQ25" s="81"/>
    </row>
    <row r="26" spans="1:43">
      <c r="C26" s="40"/>
      <c r="D26" s="40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81"/>
      <c r="AN26" s="81"/>
      <c r="AO26" s="81"/>
      <c r="AP26" s="81"/>
      <c r="AQ26" s="81"/>
    </row>
    <row r="27" spans="1:43">
      <c r="C27" s="40"/>
      <c r="D27" s="4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81"/>
      <c r="AN27" s="81"/>
      <c r="AO27" s="81"/>
      <c r="AP27" s="81"/>
      <c r="AQ27" s="81"/>
    </row>
    <row r="28" spans="1:43">
      <c r="C28" s="40"/>
      <c r="D28" s="40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81"/>
      <c r="AN28" s="81"/>
      <c r="AO28" s="81"/>
      <c r="AP28" s="81"/>
      <c r="AQ28" s="81"/>
    </row>
    <row r="29" spans="1:43">
      <c r="C29" s="40"/>
      <c r="D29" s="4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81"/>
      <c r="AN29" s="81"/>
      <c r="AO29" s="81"/>
      <c r="AP29" s="81"/>
      <c r="AQ29" s="81"/>
    </row>
    <row r="30" spans="1:43">
      <c r="C30" s="40"/>
      <c r="D30" s="40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81"/>
      <c r="AN30" s="81"/>
      <c r="AO30" s="81"/>
      <c r="AP30" s="81"/>
      <c r="AQ30" s="81"/>
    </row>
    <row r="31" spans="1:43">
      <c r="C31" s="40"/>
      <c r="D31" s="4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81"/>
      <c r="AN31" s="81"/>
      <c r="AO31" s="81"/>
      <c r="AP31" s="81"/>
      <c r="AQ31" s="81"/>
    </row>
    <row r="32" spans="1:43">
      <c r="C32" s="40"/>
      <c r="D32" s="40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81"/>
      <c r="AN32" s="81"/>
      <c r="AO32" s="81"/>
      <c r="AP32" s="81"/>
      <c r="AQ32" s="81"/>
    </row>
    <row r="33" spans="3:43">
      <c r="C33" s="40"/>
      <c r="D33" s="4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81"/>
      <c r="AN33" s="81"/>
      <c r="AO33" s="81"/>
      <c r="AP33" s="81"/>
      <c r="AQ33" s="81"/>
    </row>
    <row r="34" spans="3:43">
      <c r="C34" s="40"/>
      <c r="D34" s="40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81"/>
      <c r="AN34" s="81"/>
      <c r="AO34" s="81"/>
      <c r="AP34" s="81"/>
      <c r="AQ34" s="81"/>
    </row>
    <row r="35" spans="3:43">
      <c r="C35" s="40"/>
      <c r="D35" s="4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81"/>
      <c r="AN35" s="81"/>
      <c r="AO35" s="81"/>
      <c r="AP35" s="81"/>
      <c r="AQ35" s="81"/>
    </row>
    <row r="36" spans="3:43">
      <c r="C36" s="40"/>
      <c r="D36" s="40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81"/>
      <c r="AN36" s="81"/>
      <c r="AO36" s="81"/>
      <c r="AP36" s="81"/>
      <c r="AQ36" s="81"/>
    </row>
    <row r="37" spans="3:43">
      <c r="C37" s="40"/>
      <c r="D37" s="4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81"/>
      <c r="AN37" s="81"/>
      <c r="AO37" s="81"/>
      <c r="AP37" s="81"/>
      <c r="AQ37" s="81"/>
    </row>
    <row r="38" spans="3:43">
      <c r="C38" s="40"/>
      <c r="D38" s="40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81"/>
      <c r="AN38" s="81"/>
      <c r="AO38" s="81"/>
      <c r="AP38" s="81"/>
      <c r="AQ38" s="81"/>
    </row>
    <row r="39" spans="3:43">
      <c r="C39" s="40"/>
      <c r="D39" s="40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81"/>
      <c r="AN39" s="81"/>
      <c r="AO39" s="81"/>
      <c r="AP39" s="81"/>
      <c r="AQ39" s="81"/>
    </row>
    <row r="40" spans="3:43">
      <c r="C40" s="40"/>
      <c r="D40" s="40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81"/>
      <c r="AN40" s="81"/>
      <c r="AO40" s="81"/>
      <c r="AP40" s="81"/>
      <c r="AQ40" s="81"/>
    </row>
    <row r="41" spans="3:43">
      <c r="C41" s="40"/>
      <c r="D41" s="4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81"/>
      <c r="AN41" s="81"/>
      <c r="AO41" s="81"/>
      <c r="AP41" s="81"/>
      <c r="AQ41" s="81"/>
    </row>
    <row r="42" spans="3:43">
      <c r="C42" s="40"/>
      <c r="D42" s="40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81"/>
      <c r="AN42" s="81"/>
      <c r="AO42" s="81"/>
      <c r="AP42" s="81"/>
      <c r="AQ42" s="81"/>
    </row>
    <row r="43" spans="3:43">
      <c r="C43" s="40"/>
      <c r="D43" s="40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81"/>
      <c r="AN43" s="81"/>
      <c r="AO43" s="81"/>
      <c r="AP43" s="81"/>
      <c r="AQ43" s="81"/>
    </row>
    <row r="44" spans="3:43">
      <c r="C44" s="40"/>
      <c r="D44" s="40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81"/>
      <c r="AN44" s="81"/>
      <c r="AO44" s="81"/>
      <c r="AP44" s="81"/>
      <c r="AQ44" s="81"/>
    </row>
    <row r="45" spans="3:43">
      <c r="C45" s="40"/>
      <c r="D45" s="4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81"/>
      <c r="AN45" s="81"/>
      <c r="AO45" s="81"/>
      <c r="AP45" s="81"/>
      <c r="AQ45" s="81"/>
    </row>
    <row r="46" spans="3:43">
      <c r="C46" s="40"/>
      <c r="D46" s="4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81"/>
      <c r="AN46" s="81"/>
      <c r="AO46" s="81"/>
      <c r="AP46" s="81"/>
      <c r="AQ46" s="81"/>
    </row>
    <row r="47" spans="3:43">
      <c r="C47" s="40"/>
      <c r="D47" s="4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81"/>
      <c r="AN47" s="81"/>
      <c r="AO47" s="81"/>
      <c r="AP47" s="81"/>
      <c r="AQ47" s="81"/>
    </row>
    <row r="48" spans="3:43">
      <c r="C48" s="40"/>
      <c r="D48" s="40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81"/>
      <c r="AN48" s="81"/>
      <c r="AO48" s="81"/>
      <c r="AP48" s="81"/>
      <c r="AQ48" s="81"/>
    </row>
    <row r="49" spans="3:43">
      <c r="C49" s="40"/>
      <c r="D49" s="4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81"/>
      <c r="AN49" s="81"/>
      <c r="AO49" s="81"/>
      <c r="AP49" s="81"/>
      <c r="AQ49" s="81"/>
    </row>
    <row r="50" spans="3:43">
      <c r="C50" s="40"/>
      <c r="D50" s="40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81"/>
      <c r="AN50" s="81"/>
      <c r="AO50" s="81"/>
      <c r="AP50" s="81"/>
      <c r="AQ50" s="81"/>
    </row>
    <row r="51" spans="3:43">
      <c r="C51" s="40"/>
      <c r="D51" s="4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81"/>
      <c r="AN51" s="81"/>
      <c r="AO51" s="81"/>
      <c r="AP51" s="81"/>
      <c r="AQ51" s="81"/>
    </row>
    <row r="52" spans="3:43">
      <c r="C52" s="40"/>
      <c r="D52" s="40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81"/>
      <c r="AN52" s="81"/>
      <c r="AO52" s="81"/>
      <c r="AP52" s="81"/>
      <c r="AQ52" s="81"/>
    </row>
    <row r="53" spans="3:43">
      <c r="C53" s="40"/>
      <c r="D53" s="4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81"/>
      <c r="AN53" s="81"/>
      <c r="AO53" s="81"/>
      <c r="AP53" s="81"/>
      <c r="AQ53" s="81"/>
    </row>
    <row r="54" spans="3:43">
      <c r="C54" s="40"/>
      <c r="D54" s="4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81"/>
      <c r="AN54" s="81"/>
      <c r="AO54" s="81"/>
      <c r="AP54" s="81"/>
      <c r="AQ54" s="81"/>
    </row>
    <row r="55" spans="3:43">
      <c r="C55" s="40"/>
      <c r="D55" s="4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81"/>
      <c r="AN55" s="81"/>
      <c r="AO55" s="81"/>
      <c r="AP55" s="81"/>
      <c r="AQ55" s="81"/>
    </row>
    <row r="56" spans="3:43">
      <c r="C56" s="40"/>
      <c r="D56" s="4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81"/>
      <c r="AN56" s="81"/>
      <c r="AO56" s="81"/>
      <c r="AP56" s="81"/>
      <c r="AQ56" s="81"/>
    </row>
    <row r="57" spans="3:43">
      <c r="C57" s="40"/>
      <c r="D57" s="4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81"/>
      <c r="AN57" s="81"/>
      <c r="AO57" s="81"/>
      <c r="AP57" s="81"/>
      <c r="AQ57" s="81"/>
    </row>
    <row r="58" spans="3:43">
      <c r="C58" s="40"/>
      <c r="D58" s="40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81"/>
      <c r="AN58" s="81"/>
      <c r="AO58" s="81"/>
      <c r="AP58" s="81"/>
      <c r="AQ58" s="81"/>
    </row>
    <row r="59" spans="3:43">
      <c r="C59" s="40"/>
      <c r="D59" s="40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81"/>
      <c r="AN59" s="81"/>
      <c r="AO59" s="81"/>
      <c r="AP59" s="81"/>
      <c r="AQ59" s="81"/>
    </row>
    <row r="60" spans="3:43">
      <c r="C60" s="40"/>
      <c r="D60" s="40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81"/>
      <c r="AN60" s="81"/>
      <c r="AO60" s="81"/>
      <c r="AP60" s="81"/>
      <c r="AQ60" s="81"/>
    </row>
    <row r="61" spans="3:43">
      <c r="C61" s="40"/>
      <c r="D61" s="40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81"/>
      <c r="AN61" s="81"/>
      <c r="AO61" s="81"/>
      <c r="AP61" s="81"/>
      <c r="AQ61" s="81"/>
    </row>
    <row r="62" spans="3:43">
      <c r="C62" s="40"/>
      <c r="D62" s="40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81"/>
      <c r="AN62" s="81"/>
      <c r="AO62" s="81"/>
      <c r="AP62" s="81"/>
      <c r="AQ62" s="81"/>
    </row>
    <row r="63" spans="3:43">
      <c r="C63" s="40"/>
      <c r="D63" s="40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81"/>
      <c r="AN63" s="81"/>
      <c r="AO63" s="81"/>
      <c r="AP63" s="81"/>
      <c r="AQ63" s="81"/>
    </row>
    <row r="64" spans="3:43">
      <c r="C64" s="40"/>
      <c r="D64" s="4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81"/>
      <c r="AN64" s="81"/>
      <c r="AO64" s="81"/>
      <c r="AP64" s="81"/>
      <c r="AQ64" s="81"/>
    </row>
    <row r="65" spans="1:43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81"/>
      <c r="AN65" s="81"/>
      <c r="AO65" s="81"/>
      <c r="AP65" s="81"/>
      <c r="AQ65" s="81"/>
    </row>
    <row r="66" spans="1:43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M66" s="81"/>
      <c r="AN66" s="81"/>
      <c r="AO66" s="81"/>
      <c r="AP66" s="81"/>
      <c r="AQ66" s="81"/>
    </row>
    <row r="67" spans="1:43">
      <c r="A67" s="95"/>
      <c r="B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6"/>
      <c r="AK67" s="97"/>
      <c r="AL67" s="96"/>
      <c r="AM67" s="96"/>
      <c r="AN67" s="96"/>
      <c r="AO67" s="97"/>
      <c r="AP67" s="98"/>
      <c r="AQ67" s="98"/>
    </row>
    <row r="68" spans="1:43">
      <c r="A68" s="99"/>
      <c r="B68" s="95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96"/>
      <c r="AK68" s="97"/>
      <c r="AL68" s="96"/>
      <c r="AM68" s="96"/>
      <c r="AN68" s="96"/>
      <c r="AO68" s="96"/>
      <c r="AP68" s="98"/>
      <c r="AQ68" s="98"/>
    </row>
    <row r="69" spans="1:43">
      <c r="A69" s="99"/>
      <c r="B69" s="101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96"/>
      <c r="AK69" s="97"/>
      <c r="AL69" s="96"/>
      <c r="AM69" s="96"/>
      <c r="AN69" s="96"/>
      <c r="AO69" s="96"/>
      <c r="AP69" s="98"/>
      <c r="AQ69" s="98"/>
    </row>
    <row r="70" spans="1:43">
      <c r="A70" s="99"/>
      <c r="B70" s="101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96"/>
      <c r="AK70" s="97"/>
      <c r="AL70" s="96"/>
      <c r="AM70" s="96"/>
      <c r="AN70" s="96"/>
      <c r="AO70" s="96"/>
      <c r="AP70" s="98"/>
      <c r="AQ70" s="98"/>
    </row>
    <row r="71" spans="1:43">
      <c r="A71" s="99"/>
      <c r="B71" s="101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96"/>
      <c r="AK71" s="97"/>
      <c r="AL71" s="96"/>
      <c r="AM71" s="96"/>
      <c r="AN71" s="96"/>
      <c r="AO71" s="96"/>
      <c r="AP71" s="98"/>
      <c r="AQ71" s="98"/>
    </row>
    <row r="72" spans="1:43">
      <c r="A72" s="99"/>
      <c r="B72" s="101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96"/>
      <c r="AK72" s="97"/>
      <c r="AL72" s="96"/>
      <c r="AM72" s="96"/>
      <c r="AN72" s="96"/>
      <c r="AO72" s="96"/>
      <c r="AP72" s="98"/>
      <c r="AQ72" s="98"/>
    </row>
    <row r="73" spans="1:43">
      <c r="A73" s="99"/>
      <c r="B73" s="101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96"/>
      <c r="AK73" s="97"/>
      <c r="AL73" s="96"/>
      <c r="AM73" s="96"/>
      <c r="AN73" s="96"/>
      <c r="AO73" s="96"/>
      <c r="AP73" s="98"/>
      <c r="AQ73" s="98"/>
    </row>
    <row r="74" spans="1:43">
      <c r="A74" s="99"/>
      <c r="B74" s="101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96"/>
      <c r="AK74" s="97"/>
      <c r="AL74" s="96"/>
      <c r="AM74" s="96"/>
      <c r="AN74" s="96"/>
      <c r="AO74" s="96"/>
      <c r="AP74" s="98"/>
      <c r="AQ74" s="9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R6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7109375" customWidth="1"/>
    <col min="2" max="2" width="37.5703125" customWidth="1"/>
    <col min="3" max="44" width="14.42578125" customWidth="1"/>
  </cols>
  <sheetData>
    <row r="1" spans="1:44">
      <c r="A1" s="1" t="s">
        <v>0</v>
      </c>
      <c r="B1" s="2">
        <f>'PTA-to-PIEN_Weekday'!B1</f>
        <v>45890</v>
      </c>
      <c r="C1" s="1" t="str">
        <f>'PTA-to-PIEN_Weekday'!C1</f>
        <v>Z2</v>
      </c>
      <c r="D1" s="10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61" t="s">
        <v>2</v>
      </c>
      <c r="B2" s="61" t="s">
        <v>3</v>
      </c>
      <c r="C2" s="103">
        <v>1100</v>
      </c>
      <c r="D2" s="103">
        <v>1150</v>
      </c>
      <c r="E2" s="103">
        <v>1102</v>
      </c>
      <c r="F2" s="103">
        <v>1152</v>
      </c>
      <c r="G2" s="103">
        <v>1104</v>
      </c>
      <c r="H2" s="103">
        <v>1154</v>
      </c>
      <c r="I2" s="103">
        <v>1106</v>
      </c>
      <c r="J2" s="103">
        <v>1156</v>
      </c>
      <c r="K2" s="103">
        <v>1108</v>
      </c>
      <c r="L2" s="103">
        <v>1158</v>
      </c>
      <c r="M2" s="104">
        <v>1110</v>
      </c>
      <c r="N2" s="103">
        <v>1160</v>
      </c>
      <c r="O2" s="103">
        <v>1112</v>
      </c>
      <c r="P2" s="103">
        <v>1162</v>
      </c>
      <c r="Q2" s="103">
        <v>1114</v>
      </c>
      <c r="R2" s="103">
        <v>1164</v>
      </c>
      <c r="S2" s="103">
        <v>9108</v>
      </c>
      <c r="T2" s="103">
        <v>9106</v>
      </c>
      <c r="U2" s="103">
        <v>9110</v>
      </c>
      <c r="V2" s="103">
        <v>9112</v>
      </c>
      <c r="W2" s="105">
        <v>9114</v>
      </c>
      <c r="X2" s="40">
        <v>9116</v>
      </c>
      <c r="Y2" s="40">
        <v>1122</v>
      </c>
      <c r="Z2" s="40">
        <v>1168</v>
      </c>
      <c r="AA2" s="40">
        <v>1120</v>
      </c>
      <c r="AB2" s="40">
        <v>1166</v>
      </c>
      <c r="AC2" s="40">
        <v>1126</v>
      </c>
      <c r="AD2" s="40">
        <v>1172</v>
      </c>
      <c r="AE2" s="40">
        <v>1124</v>
      </c>
      <c r="AF2" s="40">
        <v>1170</v>
      </c>
      <c r="AG2" s="40">
        <v>1128</v>
      </c>
      <c r="AH2" s="40">
        <v>1174</v>
      </c>
      <c r="AI2" s="40">
        <v>9122</v>
      </c>
      <c r="AJ2" s="40"/>
      <c r="AK2" s="40"/>
      <c r="AM2" s="40"/>
      <c r="AN2" s="40"/>
      <c r="AO2" s="40"/>
      <c r="AP2" s="40"/>
      <c r="AQ2" s="40"/>
      <c r="AR2" s="40"/>
    </row>
    <row r="3" spans="1:44">
      <c r="A3" s="4" t="s">
        <v>82</v>
      </c>
      <c r="B3" s="4" t="s">
        <v>83</v>
      </c>
      <c r="C3" s="106">
        <v>0.16666666666666666</v>
      </c>
      <c r="D3" s="107"/>
      <c r="E3" s="107"/>
      <c r="F3" s="107"/>
      <c r="G3" s="106">
        <v>0.21527777777777779</v>
      </c>
      <c r="H3" s="107"/>
      <c r="I3" s="107"/>
      <c r="J3" s="107"/>
      <c r="K3" s="106">
        <v>0.2638888888888889</v>
      </c>
      <c r="L3" s="107"/>
      <c r="M3" s="107"/>
      <c r="N3" s="107"/>
      <c r="O3" s="106">
        <v>0.3125</v>
      </c>
      <c r="P3" s="107"/>
      <c r="Q3" s="107"/>
      <c r="R3" s="107"/>
      <c r="S3" s="106">
        <v>0.3611111111111111</v>
      </c>
      <c r="T3" s="107"/>
      <c r="U3" s="106">
        <v>0.39930555555555558</v>
      </c>
      <c r="V3" s="106">
        <v>0.47569444444444442</v>
      </c>
      <c r="W3" s="108">
        <v>0.55208333333333337</v>
      </c>
      <c r="X3" s="81">
        <v>0.62847222222222221</v>
      </c>
      <c r="Y3" s="81"/>
      <c r="Z3" s="81"/>
      <c r="AA3" s="81">
        <v>0.66666666666666663</v>
      </c>
      <c r="AB3" s="81"/>
      <c r="AC3" s="81"/>
      <c r="AD3" s="81"/>
      <c r="AE3" s="81">
        <v>0.71527777777777779</v>
      </c>
      <c r="AF3" s="81"/>
      <c r="AG3" s="81"/>
      <c r="AH3" s="81"/>
      <c r="AI3" s="81">
        <v>0.76388888888888884</v>
      </c>
      <c r="AJ3" s="81"/>
      <c r="AK3" s="81"/>
      <c r="AM3" s="81"/>
      <c r="AN3" s="81"/>
      <c r="AO3" s="81"/>
      <c r="AP3" s="81"/>
      <c r="AQ3" s="81"/>
      <c r="AR3" s="81"/>
    </row>
    <row r="4" spans="1:44">
      <c r="A4" s="6" t="s">
        <v>132</v>
      </c>
      <c r="B4" s="6" t="s">
        <v>133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  <c r="N4" s="110"/>
      <c r="O4" s="109"/>
      <c r="P4" s="109"/>
      <c r="Q4" s="109"/>
      <c r="R4" s="109"/>
      <c r="S4" s="109"/>
      <c r="T4" s="109"/>
      <c r="U4" s="109"/>
      <c r="V4" s="109"/>
      <c r="W4" s="108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M4" s="81"/>
      <c r="AN4" s="81"/>
      <c r="AO4" s="81"/>
      <c r="AP4" s="81"/>
      <c r="AQ4" s="81"/>
      <c r="AR4" s="81"/>
    </row>
    <row r="5" spans="1:44">
      <c r="A5" s="6" t="s">
        <v>80</v>
      </c>
      <c r="B5" s="6" t="s">
        <v>81</v>
      </c>
      <c r="C5" s="111">
        <v>0.17291666666666666</v>
      </c>
      <c r="D5" s="109"/>
      <c r="E5" s="111">
        <v>0.19097222222222221</v>
      </c>
      <c r="F5" s="109"/>
      <c r="G5" s="111">
        <v>0.22152777777777777</v>
      </c>
      <c r="H5" s="109"/>
      <c r="I5" s="111">
        <v>0.2326388888888889</v>
      </c>
      <c r="J5" s="109"/>
      <c r="K5" s="111">
        <v>0.27013888888888887</v>
      </c>
      <c r="L5" s="109"/>
      <c r="M5" s="112">
        <v>0.2673611111111111</v>
      </c>
      <c r="N5" s="110"/>
      <c r="O5" s="111">
        <v>0.31874999999999998</v>
      </c>
      <c r="P5" s="109"/>
      <c r="Q5" s="111">
        <v>0.3298611111111111</v>
      </c>
      <c r="R5" s="109"/>
      <c r="S5" s="111">
        <v>0.36736111111111114</v>
      </c>
      <c r="T5" s="111">
        <v>0.375</v>
      </c>
      <c r="U5" s="111">
        <v>0.40555555555555556</v>
      </c>
      <c r="V5" s="111">
        <v>0.48194444444444445</v>
      </c>
      <c r="W5" s="108">
        <v>0.55833333333333335</v>
      </c>
      <c r="X5" s="81">
        <v>0.63472222222222219</v>
      </c>
      <c r="Y5" s="81">
        <v>0.66666666666666663</v>
      </c>
      <c r="Z5" s="81"/>
      <c r="AA5" s="81">
        <v>0.67291666666666672</v>
      </c>
      <c r="AB5" s="81"/>
      <c r="AC5" s="81">
        <v>0.70833333333333337</v>
      </c>
      <c r="AD5" s="81"/>
      <c r="AE5" s="81">
        <v>0.72152777777777777</v>
      </c>
      <c r="AF5" s="81"/>
      <c r="AG5" s="81">
        <v>0.75347222222222221</v>
      </c>
      <c r="AH5" s="81"/>
      <c r="AI5" s="81">
        <v>0.77013888888888893</v>
      </c>
      <c r="AJ5" s="81"/>
      <c r="AK5" s="81"/>
      <c r="AM5" s="81"/>
      <c r="AN5" s="81"/>
      <c r="AO5" s="81"/>
      <c r="AP5" s="81"/>
      <c r="AQ5" s="81"/>
      <c r="AR5" s="81"/>
    </row>
    <row r="6" spans="1:44">
      <c r="A6" s="6" t="s">
        <v>78</v>
      </c>
      <c r="B6" s="6" t="s">
        <v>79</v>
      </c>
      <c r="C6" s="111">
        <v>0.1763888888888889</v>
      </c>
      <c r="D6" s="109"/>
      <c r="E6" s="111">
        <v>0.19375000000000001</v>
      </c>
      <c r="F6" s="109"/>
      <c r="G6" s="111">
        <v>0.22500000000000001</v>
      </c>
      <c r="H6" s="109"/>
      <c r="I6" s="111">
        <v>0.23541666666666666</v>
      </c>
      <c r="J6" s="109"/>
      <c r="K6" s="111">
        <v>0.27361111111111114</v>
      </c>
      <c r="L6" s="109"/>
      <c r="M6" s="112">
        <v>0.27013888888888887</v>
      </c>
      <c r="N6" s="110"/>
      <c r="O6" s="111">
        <v>0.32222222222222224</v>
      </c>
      <c r="P6" s="109"/>
      <c r="Q6" s="111">
        <v>0.33263888888888887</v>
      </c>
      <c r="R6" s="109"/>
      <c r="S6" s="111">
        <v>0.37083333333333335</v>
      </c>
      <c r="T6" s="111">
        <v>0.37777777777777777</v>
      </c>
      <c r="U6" s="111">
        <v>0.40902777777777777</v>
      </c>
      <c r="V6" s="111">
        <v>0.48541666666666666</v>
      </c>
      <c r="W6" s="108">
        <v>0.56180555555555556</v>
      </c>
      <c r="X6" s="81">
        <v>0.6381944444444444</v>
      </c>
      <c r="Y6" s="81">
        <v>0.6694444444444444</v>
      </c>
      <c r="Z6" s="81"/>
      <c r="AA6" s="81">
        <v>0.67638888888888893</v>
      </c>
      <c r="AB6" s="81"/>
      <c r="AC6" s="81">
        <v>0.71111111111111114</v>
      </c>
      <c r="AD6" s="81"/>
      <c r="AE6" s="81">
        <v>0.72499999999999998</v>
      </c>
      <c r="AF6" s="81"/>
      <c r="AG6" s="81">
        <v>0.75624999999999998</v>
      </c>
      <c r="AH6" s="81"/>
      <c r="AI6" s="81">
        <v>0.77361111111111114</v>
      </c>
      <c r="AJ6" s="81"/>
      <c r="AK6" s="81"/>
      <c r="AM6" s="81"/>
      <c r="AN6" s="81"/>
      <c r="AO6" s="81"/>
      <c r="AP6" s="81"/>
      <c r="AQ6" s="81"/>
      <c r="AR6" s="81"/>
    </row>
    <row r="7" spans="1:44">
      <c r="A7" s="6" t="s">
        <v>76</v>
      </c>
      <c r="B7" s="6" t="s">
        <v>77</v>
      </c>
      <c r="C7" s="111">
        <v>0.17847222222222223</v>
      </c>
      <c r="D7" s="109"/>
      <c r="E7" s="111">
        <v>0.19583333333333333</v>
      </c>
      <c r="F7" s="109"/>
      <c r="G7" s="111">
        <v>0.22708333333333333</v>
      </c>
      <c r="H7" s="109"/>
      <c r="I7" s="111">
        <v>0.23749999999999999</v>
      </c>
      <c r="J7" s="109"/>
      <c r="K7" s="111">
        <v>0.27569444444444446</v>
      </c>
      <c r="L7" s="109"/>
      <c r="M7" s="112">
        <v>0.2722222222222222</v>
      </c>
      <c r="N7" s="110"/>
      <c r="O7" s="111">
        <v>0.32430555555555557</v>
      </c>
      <c r="P7" s="109"/>
      <c r="Q7" s="111">
        <v>0.3347222222222222</v>
      </c>
      <c r="R7" s="109"/>
      <c r="S7" s="111">
        <v>0.37291666666666667</v>
      </c>
      <c r="T7" s="111">
        <v>0.37986111111111109</v>
      </c>
      <c r="U7" s="111">
        <v>0.41111111111111109</v>
      </c>
      <c r="V7" s="111">
        <v>0.48749999999999999</v>
      </c>
      <c r="W7" s="108">
        <v>0.56388888888888888</v>
      </c>
      <c r="X7" s="81">
        <v>0.64027777777777772</v>
      </c>
      <c r="Y7" s="81">
        <v>0.67152777777777772</v>
      </c>
      <c r="Z7" s="81"/>
      <c r="AA7" s="81">
        <v>0.67847222222222225</v>
      </c>
      <c r="AB7" s="81"/>
      <c r="AC7" s="81">
        <v>0.71319444444444446</v>
      </c>
      <c r="AD7" s="81"/>
      <c r="AE7" s="81">
        <v>0.7270833333333333</v>
      </c>
      <c r="AF7" s="81"/>
      <c r="AG7" s="81">
        <v>0.7583333333333333</v>
      </c>
      <c r="AH7" s="81"/>
      <c r="AI7" s="81">
        <v>0.77569444444444446</v>
      </c>
      <c r="AJ7" s="81"/>
      <c r="AK7" s="81"/>
      <c r="AM7" s="81"/>
      <c r="AN7" s="81"/>
      <c r="AO7" s="81"/>
      <c r="AP7" s="81"/>
      <c r="AQ7" s="81"/>
      <c r="AR7" s="81"/>
    </row>
    <row r="8" spans="1:44">
      <c r="A8" s="6" t="s">
        <v>74</v>
      </c>
      <c r="B8" s="6" t="s">
        <v>134</v>
      </c>
      <c r="C8" s="111">
        <v>0.17986111111111111</v>
      </c>
      <c r="D8" s="109"/>
      <c r="E8" s="111">
        <v>0.19722222222222222</v>
      </c>
      <c r="F8" s="109"/>
      <c r="G8" s="111">
        <v>0.22847222222222222</v>
      </c>
      <c r="H8" s="109"/>
      <c r="I8" s="111">
        <v>0.2388888888888889</v>
      </c>
      <c r="J8" s="109"/>
      <c r="K8" s="111">
        <v>0.27708333333333335</v>
      </c>
      <c r="L8" s="109"/>
      <c r="M8" s="112">
        <v>0.27361111111111114</v>
      </c>
      <c r="N8" s="110"/>
      <c r="O8" s="111">
        <v>0.32569444444444445</v>
      </c>
      <c r="P8" s="109"/>
      <c r="Q8" s="111">
        <v>0.33611111111111114</v>
      </c>
      <c r="R8" s="109"/>
      <c r="S8" s="111">
        <v>0.37430555555555556</v>
      </c>
      <c r="T8" s="111">
        <v>0.38124999999999998</v>
      </c>
      <c r="U8" s="111">
        <v>0.41249999999999998</v>
      </c>
      <c r="V8" s="111">
        <v>0.48888888888888887</v>
      </c>
      <c r="W8" s="108">
        <v>0.56527777777777777</v>
      </c>
      <c r="X8" s="81">
        <v>0.64166666666666672</v>
      </c>
      <c r="Y8" s="81">
        <v>0.67291666666666672</v>
      </c>
      <c r="Z8" s="81"/>
      <c r="AA8" s="81">
        <v>0.67986111111111114</v>
      </c>
      <c r="AB8" s="81"/>
      <c r="AC8" s="81">
        <v>0.71458333333333335</v>
      </c>
      <c r="AD8" s="81"/>
      <c r="AE8" s="81">
        <v>0.72847222222222219</v>
      </c>
      <c r="AF8" s="81"/>
      <c r="AG8" s="81">
        <v>0.75972222222222219</v>
      </c>
      <c r="AH8" s="81"/>
      <c r="AI8" s="81">
        <v>0.77708333333333335</v>
      </c>
      <c r="AJ8" s="81"/>
      <c r="AK8" s="81"/>
      <c r="AM8" s="81"/>
      <c r="AN8" s="81"/>
      <c r="AO8" s="81"/>
      <c r="AP8" s="81"/>
      <c r="AQ8" s="81"/>
      <c r="AR8" s="81"/>
    </row>
    <row r="9" spans="1:44">
      <c r="A9" s="6" t="s">
        <v>129</v>
      </c>
      <c r="B9" s="6" t="s">
        <v>130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10"/>
      <c r="N9" s="110"/>
      <c r="O9" s="109"/>
      <c r="P9" s="109"/>
      <c r="Q9" s="109"/>
      <c r="R9" s="109"/>
      <c r="S9" s="109"/>
      <c r="T9" s="109"/>
      <c r="U9" s="109"/>
      <c r="V9" s="109"/>
      <c r="W9" s="108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M9" s="81"/>
      <c r="AN9" s="81"/>
      <c r="AO9" s="81"/>
      <c r="AP9" s="81"/>
      <c r="AQ9" s="81"/>
      <c r="AR9" s="81"/>
    </row>
    <row r="10" spans="1:44">
      <c r="A10" s="6" t="s">
        <v>72</v>
      </c>
      <c r="B10" s="6" t="s">
        <v>128</v>
      </c>
      <c r="C10" s="111">
        <v>0.18194444444444444</v>
      </c>
      <c r="D10" s="109"/>
      <c r="E10" s="111">
        <v>0.19930555555555557</v>
      </c>
      <c r="F10" s="109"/>
      <c r="G10" s="111">
        <v>0.23055555555555557</v>
      </c>
      <c r="H10" s="109"/>
      <c r="I10" s="111">
        <v>0.24097222222222223</v>
      </c>
      <c r="J10" s="109"/>
      <c r="K10" s="111">
        <v>0.27916666666666667</v>
      </c>
      <c r="L10" s="109"/>
      <c r="M10" s="112">
        <v>0.27569444444444446</v>
      </c>
      <c r="N10" s="110"/>
      <c r="O10" s="111">
        <v>0.32777777777777778</v>
      </c>
      <c r="P10" s="109"/>
      <c r="Q10" s="111">
        <v>0.33819444444444446</v>
      </c>
      <c r="R10" s="109"/>
      <c r="S10" s="111">
        <v>0.37638888888888888</v>
      </c>
      <c r="T10" s="111">
        <v>0.3840277777777778</v>
      </c>
      <c r="U10" s="111">
        <v>0.41458333333333336</v>
      </c>
      <c r="V10" s="111">
        <v>0.4909722222222222</v>
      </c>
      <c r="W10" s="108">
        <v>0.56736111111111109</v>
      </c>
      <c r="X10" s="81">
        <v>0.64375000000000004</v>
      </c>
      <c r="Y10" s="81">
        <v>0.67500000000000004</v>
      </c>
      <c r="Z10" s="81"/>
      <c r="AA10" s="81">
        <v>0.68194444444444446</v>
      </c>
      <c r="AB10" s="81"/>
      <c r="AC10" s="81">
        <v>0.71666666666666667</v>
      </c>
      <c r="AD10" s="81"/>
      <c r="AE10" s="81">
        <v>0.73055555555555551</v>
      </c>
      <c r="AF10" s="81"/>
      <c r="AG10" s="81">
        <v>0.76180555555555551</v>
      </c>
      <c r="AH10" s="81"/>
      <c r="AI10" s="81">
        <v>0.77916666666666667</v>
      </c>
      <c r="AJ10" s="81"/>
      <c r="AK10" s="81"/>
      <c r="AM10" s="81"/>
      <c r="AN10" s="81"/>
      <c r="AO10" s="81"/>
      <c r="AP10" s="81"/>
      <c r="AQ10" s="81"/>
      <c r="AR10" s="81"/>
    </row>
    <row r="11" spans="1:44">
      <c r="A11" s="57" t="s">
        <v>70</v>
      </c>
      <c r="B11" s="6" t="s">
        <v>71</v>
      </c>
      <c r="C11" s="113">
        <v>0.18402777777777779</v>
      </c>
      <c r="D11" s="113">
        <v>0.19097222222222221</v>
      </c>
      <c r="E11" s="113">
        <v>0.2013888888888889</v>
      </c>
      <c r="F11" s="113">
        <v>0.20833333333333334</v>
      </c>
      <c r="G11" s="113">
        <v>0.2326388888888889</v>
      </c>
      <c r="H11" s="113">
        <v>0.23958333333333334</v>
      </c>
      <c r="I11" s="113">
        <v>0.24305555555555555</v>
      </c>
      <c r="J11" s="113">
        <v>0.25</v>
      </c>
      <c r="K11" s="113">
        <v>0.28125</v>
      </c>
      <c r="L11" s="113">
        <v>0.28819444444444442</v>
      </c>
      <c r="M11" s="114">
        <v>0.27777777777777779</v>
      </c>
      <c r="N11" s="114">
        <v>0.2986111111111111</v>
      </c>
      <c r="O11" s="113">
        <v>0.3298611111111111</v>
      </c>
      <c r="P11" s="113">
        <v>0.33680555555555558</v>
      </c>
      <c r="Q11" s="113">
        <v>0.34027777777777779</v>
      </c>
      <c r="R11" s="113">
        <v>0.3576388888888889</v>
      </c>
      <c r="S11" s="113">
        <v>0.37847222222222221</v>
      </c>
      <c r="T11" s="113">
        <v>0.38541666666666669</v>
      </c>
      <c r="U11" s="113">
        <v>0.41666666666666669</v>
      </c>
      <c r="V11" s="113">
        <v>0.49305555555555558</v>
      </c>
      <c r="W11" s="108">
        <v>0.56944444444444442</v>
      </c>
      <c r="X11" s="81">
        <v>0.64583333333333337</v>
      </c>
      <c r="Y11" s="81">
        <v>0.67708333333333337</v>
      </c>
      <c r="Z11" s="81">
        <v>0.68402777777777779</v>
      </c>
      <c r="AA11" s="81">
        <v>0.68402777777777779</v>
      </c>
      <c r="AB11" s="81">
        <v>0.69444444444444442</v>
      </c>
      <c r="AC11" s="81">
        <v>0.71875</v>
      </c>
      <c r="AD11" s="81">
        <v>0.72569444444444442</v>
      </c>
      <c r="AE11" s="81">
        <v>0.73263888888888884</v>
      </c>
      <c r="AF11" s="81">
        <v>0.74305555555555558</v>
      </c>
      <c r="AG11" s="81">
        <v>0.76388888888888884</v>
      </c>
      <c r="AH11" s="81">
        <v>0.77083333333333337</v>
      </c>
      <c r="AI11" s="81">
        <v>0.78125</v>
      </c>
      <c r="AJ11" s="81"/>
      <c r="AK11" s="81"/>
      <c r="AM11" s="81"/>
      <c r="AN11" s="81"/>
      <c r="AO11" s="81"/>
      <c r="AP11" s="81"/>
      <c r="AQ11" s="81"/>
      <c r="AR11" s="81"/>
    </row>
    <row r="12" spans="1:44">
      <c r="A12" s="6" t="s">
        <v>126</v>
      </c>
      <c r="B12" s="6" t="s">
        <v>127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10"/>
      <c r="N12" s="110"/>
      <c r="O12" s="109"/>
      <c r="P12" s="109"/>
      <c r="Q12" s="109"/>
      <c r="R12" s="109"/>
      <c r="S12" s="109"/>
      <c r="T12" s="109"/>
      <c r="U12" s="109"/>
      <c r="V12" s="109"/>
      <c r="W12" s="108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M12" s="81"/>
      <c r="AN12" s="81"/>
      <c r="AO12" s="81"/>
      <c r="AP12" s="81"/>
      <c r="AQ12" s="81"/>
      <c r="AR12" s="81"/>
    </row>
    <row r="13" spans="1:44">
      <c r="A13" s="6" t="s">
        <v>68</v>
      </c>
      <c r="B13" s="6" t="s">
        <v>69</v>
      </c>
      <c r="C13" s="109"/>
      <c r="D13" s="111">
        <v>0.19444444444444445</v>
      </c>
      <c r="E13" s="109"/>
      <c r="F13" s="111">
        <v>0.21180555555555555</v>
      </c>
      <c r="G13" s="109"/>
      <c r="H13" s="111">
        <v>0.24305555555555555</v>
      </c>
      <c r="I13" s="109"/>
      <c r="J13" s="111">
        <v>0.25347222222222221</v>
      </c>
      <c r="K13" s="109"/>
      <c r="L13" s="111">
        <v>0.29166666666666669</v>
      </c>
      <c r="M13" s="110"/>
      <c r="N13" s="112">
        <v>0.30208333333333331</v>
      </c>
      <c r="O13" s="109"/>
      <c r="P13" s="111">
        <v>0.34027777777777779</v>
      </c>
      <c r="Q13" s="109"/>
      <c r="R13" s="111">
        <v>0.3611111111111111</v>
      </c>
      <c r="S13" s="111">
        <v>0.38263888888888886</v>
      </c>
      <c r="T13" s="111">
        <v>0.38958333333333334</v>
      </c>
      <c r="U13" s="111">
        <v>0.42083333333333334</v>
      </c>
      <c r="V13" s="111">
        <v>0.49722222222222223</v>
      </c>
      <c r="W13" s="108">
        <v>0.57361111111111107</v>
      </c>
      <c r="X13" s="81">
        <v>0.65</v>
      </c>
      <c r="Y13" s="81"/>
      <c r="Z13" s="81">
        <v>0.6875</v>
      </c>
      <c r="AA13" s="81"/>
      <c r="AB13" s="81">
        <v>0.69791666666666663</v>
      </c>
      <c r="AC13" s="81"/>
      <c r="AD13" s="81">
        <v>0.72916666666666663</v>
      </c>
      <c r="AE13" s="81"/>
      <c r="AF13" s="81">
        <v>0.74652777777777779</v>
      </c>
      <c r="AG13" s="81"/>
      <c r="AH13" s="81">
        <v>0.77430555555555558</v>
      </c>
      <c r="AI13" s="81">
        <v>0.78541666666666665</v>
      </c>
      <c r="AJ13" s="81"/>
      <c r="AK13" s="81"/>
      <c r="AM13" s="81"/>
      <c r="AN13" s="81"/>
      <c r="AO13" s="81"/>
      <c r="AP13" s="81"/>
      <c r="AQ13" s="81"/>
      <c r="AR13" s="81"/>
    </row>
    <row r="14" spans="1:44">
      <c r="A14" s="6" t="s">
        <v>66</v>
      </c>
      <c r="B14" s="6" t="s">
        <v>67</v>
      </c>
      <c r="C14" s="109"/>
      <c r="D14" s="111">
        <v>0.19583333333333333</v>
      </c>
      <c r="E14" s="109"/>
      <c r="F14" s="111">
        <v>0.21319444444444444</v>
      </c>
      <c r="G14" s="109"/>
      <c r="H14" s="111">
        <v>0.24444444444444444</v>
      </c>
      <c r="I14" s="109"/>
      <c r="J14" s="111">
        <v>0.25486111111111109</v>
      </c>
      <c r="K14" s="109"/>
      <c r="L14" s="111">
        <v>0.29305555555555557</v>
      </c>
      <c r="M14" s="110"/>
      <c r="N14" s="112">
        <v>0.3034722222222222</v>
      </c>
      <c r="O14" s="109"/>
      <c r="P14" s="111">
        <v>0.34166666666666667</v>
      </c>
      <c r="Q14" s="109"/>
      <c r="R14" s="111">
        <v>0.36249999999999999</v>
      </c>
      <c r="S14" s="111">
        <v>0.3840277777777778</v>
      </c>
      <c r="T14" s="111">
        <v>0.39097222222222222</v>
      </c>
      <c r="U14" s="111">
        <v>0.42222222222222222</v>
      </c>
      <c r="V14" s="111">
        <v>0.49861111111111112</v>
      </c>
      <c r="W14" s="108">
        <v>0.57499999999999996</v>
      </c>
      <c r="X14" s="81">
        <v>0.65138888888888891</v>
      </c>
      <c r="Y14" s="81"/>
      <c r="Z14" s="81">
        <v>0.68888888888888888</v>
      </c>
      <c r="AA14" s="81"/>
      <c r="AB14" s="81">
        <v>0.69930555555555551</v>
      </c>
      <c r="AC14" s="81"/>
      <c r="AD14" s="81">
        <v>0.73055555555555551</v>
      </c>
      <c r="AE14" s="81"/>
      <c r="AF14" s="81">
        <v>0.74791666666666667</v>
      </c>
      <c r="AG14" s="81"/>
      <c r="AH14" s="81">
        <v>0.77569444444444446</v>
      </c>
      <c r="AI14" s="81">
        <v>0.78680555555555554</v>
      </c>
      <c r="AJ14" s="81"/>
      <c r="AK14" s="81"/>
      <c r="AM14" s="81"/>
      <c r="AN14" s="81"/>
      <c r="AO14" s="81"/>
      <c r="AP14" s="81"/>
      <c r="AQ14" s="81"/>
      <c r="AR14" s="81"/>
    </row>
    <row r="15" spans="1:44">
      <c r="A15" s="6" t="s">
        <v>64</v>
      </c>
      <c r="B15" s="6" t="s">
        <v>65</v>
      </c>
      <c r="C15" s="109"/>
      <c r="D15" s="111">
        <v>0.19791666666666666</v>
      </c>
      <c r="E15" s="109"/>
      <c r="F15" s="111">
        <v>0.21527777777777779</v>
      </c>
      <c r="G15" s="109"/>
      <c r="H15" s="111">
        <v>0.24652777777777779</v>
      </c>
      <c r="I15" s="109"/>
      <c r="J15" s="111">
        <v>0.25694444444444442</v>
      </c>
      <c r="K15" s="109"/>
      <c r="L15" s="111">
        <v>0.2951388888888889</v>
      </c>
      <c r="M15" s="110"/>
      <c r="N15" s="112">
        <v>0.30555555555555558</v>
      </c>
      <c r="O15" s="109"/>
      <c r="P15" s="111">
        <v>0.34375</v>
      </c>
      <c r="Q15" s="109"/>
      <c r="R15" s="111">
        <v>0.36458333333333331</v>
      </c>
      <c r="S15" s="111">
        <v>0.38541666666666669</v>
      </c>
      <c r="T15" s="111">
        <v>0.3923611111111111</v>
      </c>
      <c r="U15" s="111">
        <v>0.4236111111111111</v>
      </c>
      <c r="V15" s="111">
        <v>0.5</v>
      </c>
      <c r="W15" s="108">
        <v>0.57638888888888884</v>
      </c>
      <c r="X15" s="81">
        <v>0.65277777777777779</v>
      </c>
      <c r="Y15" s="81"/>
      <c r="Z15" s="81">
        <v>0.69097222222222221</v>
      </c>
      <c r="AA15" s="81"/>
      <c r="AB15" s="81">
        <v>0.70138888888888884</v>
      </c>
      <c r="AC15" s="81"/>
      <c r="AD15" s="81">
        <v>0.73263888888888884</v>
      </c>
      <c r="AE15" s="81"/>
      <c r="AF15" s="81">
        <v>0.75</v>
      </c>
      <c r="AG15" s="81"/>
      <c r="AH15" s="81">
        <v>0.77777777777777779</v>
      </c>
      <c r="AI15" s="81">
        <v>0.78819444444444442</v>
      </c>
      <c r="AJ15" s="81"/>
      <c r="AK15" s="81"/>
      <c r="AM15" s="81"/>
      <c r="AN15" s="81"/>
      <c r="AO15" s="81"/>
      <c r="AP15" s="81"/>
      <c r="AQ15" s="81"/>
      <c r="AR15" s="81"/>
    </row>
    <row r="16" spans="1:44">
      <c r="A16" s="6" t="s">
        <v>62</v>
      </c>
      <c r="B16" s="6" t="s">
        <v>63</v>
      </c>
      <c r="C16" s="109"/>
      <c r="D16" s="111">
        <v>0.2</v>
      </c>
      <c r="E16" s="109"/>
      <c r="F16" s="111">
        <v>0.21736111111111112</v>
      </c>
      <c r="G16" s="109"/>
      <c r="H16" s="111">
        <v>0.24861111111111112</v>
      </c>
      <c r="I16" s="109"/>
      <c r="J16" s="111">
        <v>0.2590277777777778</v>
      </c>
      <c r="K16" s="109"/>
      <c r="L16" s="111">
        <v>0.29722222222222222</v>
      </c>
      <c r="M16" s="110"/>
      <c r="N16" s="112">
        <v>0.30763888888888891</v>
      </c>
      <c r="O16" s="109"/>
      <c r="P16" s="111">
        <v>0.34583333333333333</v>
      </c>
      <c r="Q16" s="109"/>
      <c r="R16" s="111">
        <v>0.36666666666666664</v>
      </c>
      <c r="S16" s="111">
        <v>0.38750000000000001</v>
      </c>
      <c r="T16" s="111">
        <v>0.39444444444444443</v>
      </c>
      <c r="U16" s="111">
        <v>0.42569444444444443</v>
      </c>
      <c r="V16" s="111">
        <v>0.50208333333333333</v>
      </c>
      <c r="W16" s="108">
        <v>0.57847222222222228</v>
      </c>
      <c r="X16" s="81">
        <v>0.65486111111111112</v>
      </c>
      <c r="Y16" s="81"/>
      <c r="Z16" s="81">
        <v>0.69305555555555554</v>
      </c>
      <c r="AA16" s="81"/>
      <c r="AB16" s="81">
        <v>0.70347222222222228</v>
      </c>
      <c r="AC16" s="81"/>
      <c r="AD16" s="81">
        <v>0.73472222222222228</v>
      </c>
      <c r="AE16" s="81"/>
      <c r="AF16" s="81">
        <v>0.75208333333333333</v>
      </c>
      <c r="AG16" s="81"/>
      <c r="AH16" s="81">
        <v>0.77986111111111112</v>
      </c>
      <c r="AI16" s="81">
        <v>0.79027777777777775</v>
      </c>
      <c r="AJ16" s="81"/>
      <c r="AK16" s="81"/>
      <c r="AM16" s="81"/>
      <c r="AN16" s="81"/>
      <c r="AO16" s="81"/>
      <c r="AP16" s="81"/>
      <c r="AQ16" s="81"/>
      <c r="AR16" s="81"/>
    </row>
    <row r="17" spans="1:44">
      <c r="A17" s="6" t="s">
        <v>60</v>
      </c>
      <c r="B17" s="6" t="s">
        <v>61</v>
      </c>
      <c r="C17" s="109"/>
      <c r="D17" s="111">
        <v>0.20069444444444445</v>
      </c>
      <c r="E17" s="109"/>
      <c r="F17" s="111">
        <v>0.21805555555555556</v>
      </c>
      <c r="G17" s="109"/>
      <c r="H17" s="111">
        <v>0.24930555555555556</v>
      </c>
      <c r="I17" s="109"/>
      <c r="J17" s="111">
        <v>0.25972222222222224</v>
      </c>
      <c r="K17" s="109"/>
      <c r="L17" s="111">
        <v>0.29791666666666666</v>
      </c>
      <c r="M17" s="110"/>
      <c r="N17" s="112">
        <v>0.30833333333333335</v>
      </c>
      <c r="O17" s="109"/>
      <c r="P17" s="111">
        <v>0.34652777777777777</v>
      </c>
      <c r="Q17" s="109"/>
      <c r="R17" s="111">
        <v>0.36736111111111114</v>
      </c>
      <c r="S17" s="111">
        <v>0.3888888888888889</v>
      </c>
      <c r="T17" s="111">
        <v>0.39583333333333331</v>
      </c>
      <c r="U17" s="111">
        <v>0.42708333333333331</v>
      </c>
      <c r="V17" s="111">
        <v>0.50347222222222221</v>
      </c>
      <c r="W17" s="108">
        <v>0.57986111111111116</v>
      </c>
      <c r="X17" s="81">
        <v>0.65625</v>
      </c>
      <c r="Y17" s="81"/>
      <c r="Z17" s="81">
        <v>0.69374999999999998</v>
      </c>
      <c r="AA17" s="81"/>
      <c r="AB17" s="81">
        <v>0.70416666666666672</v>
      </c>
      <c r="AC17" s="81"/>
      <c r="AD17" s="81">
        <v>0.73541666666666672</v>
      </c>
      <c r="AE17" s="81"/>
      <c r="AF17" s="81">
        <v>0.75277777777777777</v>
      </c>
      <c r="AG17" s="81"/>
      <c r="AH17" s="81">
        <v>0.78055555555555556</v>
      </c>
      <c r="AI17" s="81">
        <v>0.79166666666666663</v>
      </c>
      <c r="AJ17" s="81"/>
      <c r="AK17" s="81"/>
      <c r="AM17" s="81"/>
      <c r="AN17" s="81"/>
      <c r="AO17" s="81"/>
      <c r="AP17" s="81"/>
      <c r="AQ17" s="81"/>
      <c r="AR17" s="81"/>
    </row>
    <row r="18" spans="1:44">
      <c r="A18" s="6" t="s">
        <v>58</v>
      </c>
      <c r="B18" s="6" t="s">
        <v>59</v>
      </c>
      <c r="C18" s="109"/>
      <c r="D18" s="111">
        <v>0.20208333333333334</v>
      </c>
      <c r="E18" s="109"/>
      <c r="F18" s="111">
        <v>0.21944444444444444</v>
      </c>
      <c r="G18" s="109"/>
      <c r="H18" s="111">
        <v>0.25069444444444444</v>
      </c>
      <c r="I18" s="109"/>
      <c r="J18" s="111">
        <v>0.26111111111111113</v>
      </c>
      <c r="K18" s="109"/>
      <c r="L18" s="111">
        <v>0.29930555555555555</v>
      </c>
      <c r="M18" s="110"/>
      <c r="N18" s="112">
        <v>0.30972222222222223</v>
      </c>
      <c r="O18" s="109"/>
      <c r="P18" s="111">
        <v>0.34791666666666665</v>
      </c>
      <c r="Q18" s="109"/>
      <c r="R18" s="111">
        <v>0.36875000000000002</v>
      </c>
      <c r="S18" s="111">
        <v>0.38958333333333334</v>
      </c>
      <c r="T18" s="111">
        <v>0.39652777777777776</v>
      </c>
      <c r="U18" s="111">
        <v>0.42777777777777776</v>
      </c>
      <c r="V18" s="111">
        <v>0.50416666666666665</v>
      </c>
      <c r="W18" s="108">
        <v>0.5805555555555556</v>
      </c>
      <c r="X18" s="81">
        <v>0.65694444444444444</v>
      </c>
      <c r="Y18" s="81"/>
      <c r="Z18" s="81">
        <v>0.69513888888888886</v>
      </c>
      <c r="AA18" s="81"/>
      <c r="AB18" s="81">
        <v>0.7055555555555556</v>
      </c>
      <c r="AC18" s="81"/>
      <c r="AD18" s="81">
        <v>0.7368055555555556</v>
      </c>
      <c r="AE18" s="81"/>
      <c r="AF18" s="81">
        <v>0.75416666666666665</v>
      </c>
      <c r="AG18" s="81"/>
      <c r="AH18" s="81">
        <v>0.78194444444444444</v>
      </c>
      <c r="AI18" s="81">
        <v>0.79236111111111107</v>
      </c>
      <c r="AJ18" s="81"/>
      <c r="AK18" s="81"/>
      <c r="AM18" s="81"/>
      <c r="AN18" s="81"/>
      <c r="AO18" s="81"/>
      <c r="AP18" s="81"/>
      <c r="AQ18" s="81"/>
      <c r="AR18" s="81"/>
    </row>
    <row r="19" spans="1:44">
      <c r="A19" s="6" t="s">
        <v>55</v>
      </c>
      <c r="B19" s="6" t="s">
        <v>25</v>
      </c>
      <c r="C19" s="109"/>
      <c r="D19" s="111">
        <v>0.2048611111111111</v>
      </c>
      <c r="E19" s="109"/>
      <c r="F19" s="111">
        <v>0.22222222222222221</v>
      </c>
      <c r="G19" s="109"/>
      <c r="H19" s="111">
        <v>0.25347222222222221</v>
      </c>
      <c r="I19" s="109"/>
      <c r="J19" s="111">
        <v>0.2638888888888889</v>
      </c>
      <c r="K19" s="109"/>
      <c r="L19" s="111">
        <v>0.30208333333333331</v>
      </c>
      <c r="M19" s="110"/>
      <c r="N19" s="112">
        <v>0.3125</v>
      </c>
      <c r="O19" s="109"/>
      <c r="P19" s="111">
        <v>0.35069444444444442</v>
      </c>
      <c r="Q19" s="109"/>
      <c r="R19" s="111">
        <v>0.37152777777777779</v>
      </c>
      <c r="S19" s="111">
        <v>0.3923611111111111</v>
      </c>
      <c r="T19" s="111">
        <v>0.39930555555555558</v>
      </c>
      <c r="U19" s="111">
        <v>0.43055555555555558</v>
      </c>
      <c r="V19" s="111">
        <v>0.50694444444444442</v>
      </c>
      <c r="W19" s="108">
        <v>0.58333333333333337</v>
      </c>
      <c r="X19" s="81">
        <v>0.65972222222222221</v>
      </c>
      <c r="Y19" s="81"/>
      <c r="Z19" s="81">
        <v>0.69791666666666663</v>
      </c>
      <c r="AA19" s="81"/>
      <c r="AB19" s="81">
        <v>0.70833333333333337</v>
      </c>
      <c r="AC19" s="81"/>
      <c r="AD19" s="81">
        <v>0.73958333333333337</v>
      </c>
      <c r="AE19" s="81"/>
      <c r="AF19" s="81">
        <v>0.75694444444444442</v>
      </c>
      <c r="AG19" s="81"/>
      <c r="AH19" s="81">
        <v>0.78472222222222221</v>
      </c>
      <c r="AI19" s="81">
        <v>0.79513888888888884</v>
      </c>
      <c r="AJ19" s="81"/>
      <c r="AK19" s="81"/>
      <c r="AM19" s="81"/>
      <c r="AN19" s="81"/>
      <c r="AO19" s="81"/>
      <c r="AP19" s="81"/>
      <c r="AQ19" s="81"/>
      <c r="AR19" s="81"/>
    </row>
    <row r="20" spans="1:44"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81"/>
      <c r="AP20" s="81"/>
      <c r="AQ20" s="81"/>
      <c r="AR20" s="81"/>
    </row>
    <row r="21" spans="1:44"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81"/>
      <c r="AP21" s="81"/>
      <c r="AQ21" s="81"/>
      <c r="AR21" s="81"/>
    </row>
    <row r="22" spans="1:44"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O22" s="81"/>
      <c r="AP22" s="81"/>
      <c r="AQ22" s="81"/>
      <c r="AR22" s="81"/>
    </row>
    <row r="23" spans="1:44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O23" s="81"/>
      <c r="AP23" s="81"/>
      <c r="AQ23" s="81"/>
      <c r="AR23" s="81"/>
    </row>
    <row r="24" spans="1:4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R24" s="40"/>
      <c r="S24" s="109"/>
      <c r="T24" s="40"/>
      <c r="U24" s="40"/>
      <c r="V24" s="40"/>
      <c r="W24" s="40"/>
      <c r="X24" s="40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115"/>
      <c r="AL24" s="116"/>
      <c r="AM24" s="115"/>
      <c r="AN24" s="115"/>
      <c r="AO24" s="115"/>
      <c r="AP24" s="117"/>
      <c r="AQ24" s="117"/>
      <c r="AR24" s="117"/>
    </row>
    <row r="25" spans="1:44">
      <c r="A25" s="118"/>
      <c r="B25" s="119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S25" s="40"/>
      <c r="T25" s="40"/>
      <c r="U25" s="40"/>
      <c r="V25" s="40"/>
      <c r="W25" s="40"/>
      <c r="X25" s="40"/>
      <c r="Y25" s="111"/>
      <c r="Z25" s="84"/>
      <c r="AA25" s="111"/>
      <c r="AB25" s="111"/>
      <c r="AC25" s="111"/>
      <c r="AD25" s="111"/>
      <c r="AE25" s="111"/>
      <c r="AF25" s="111"/>
      <c r="AG25" s="111"/>
      <c r="AH25" s="111"/>
      <c r="AI25" s="111"/>
      <c r="AJ25" s="84"/>
      <c r="AK25" s="115"/>
      <c r="AL25" s="116"/>
      <c r="AM25" s="115"/>
      <c r="AN25" s="115"/>
      <c r="AO25" s="115"/>
      <c r="AP25" s="117"/>
      <c r="AQ25" s="117"/>
      <c r="AR25" s="117"/>
    </row>
    <row r="26" spans="1:44">
      <c r="A26" s="118"/>
      <c r="B26" s="119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S26" s="109"/>
      <c r="T26" s="40"/>
      <c r="U26" s="40"/>
      <c r="V26" s="40"/>
      <c r="W26" s="40"/>
      <c r="X26" s="40"/>
      <c r="Y26" s="111"/>
      <c r="Z26" s="84"/>
      <c r="AA26" s="111"/>
      <c r="AB26" s="111"/>
      <c r="AC26" s="111"/>
      <c r="AD26" s="111"/>
      <c r="AE26" s="111"/>
      <c r="AF26" s="111"/>
      <c r="AG26" s="111"/>
      <c r="AH26" s="111"/>
      <c r="AI26" s="111"/>
      <c r="AJ26" s="84"/>
      <c r="AK26" s="116"/>
      <c r="AL26" s="116"/>
      <c r="AM26" s="115"/>
      <c r="AN26" s="115"/>
      <c r="AO26" s="115"/>
      <c r="AP26" s="117"/>
      <c r="AQ26" s="117"/>
      <c r="AR26" s="117"/>
    </row>
    <row r="27" spans="1:44">
      <c r="A27" s="118"/>
      <c r="B27" s="119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S27" s="109"/>
      <c r="T27" s="40"/>
      <c r="U27" s="40"/>
      <c r="V27" s="40"/>
      <c r="W27" s="40"/>
      <c r="X27" s="40"/>
      <c r="Y27" s="111"/>
      <c r="Z27" s="84"/>
      <c r="AA27" s="111"/>
      <c r="AB27" s="111"/>
      <c r="AC27" s="111"/>
      <c r="AD27" s="111"/>
      <c r="AE27" s="111"/>
      <c r="AF27" s="111"/>
      <c r="AG27" s="111"/>
      <c r="AH27" s="111"/>
      <c r="AI27" s="111"/>
      <c r="AJ27" s="84"/>
      <c r="AK27" s="116"/>
      <c r="AL27" s="116"/>
      <c r="AM27" s="115"/>
      <c r="AN27" s="115"/>
      <c r="AO27" s="115"/>
      <c r="AP27" s="117"/>
      <c r="AQ27" s="117"/>
      <c r="AR27" s="117"/>
    </row>
    <row r="28" spans="1:44">
      <c r="A28" s="118"/>
      <c r="B28" s="119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S28" s="109"/>
      <c r="T28" s="40"/>
      <c r="U28" s="40"/>
      <c r="V28" s="40"/>
      <c r="W28" s="40"/>
      <c r="X28" s="40"/>
      <c r="Y28" s="111"/>
      <c r="Z28" s="84"/>
      <c r="AA28" s="111"/>
      <c r="AB28" s="111"/>
      <c r="AC28" s="111"/>
      <c r="AD28" s="111"/>
      <c r="AE28" s="111"/>
      <c r="AF28" s="111"/>
      <c r="AG28" s="111"/>
      <c r="AH28" s="111"/>
      <c r="AI28" s="111"/>
      <c r="AJ28" s="84"/>
      <c r="AK28" s="116"/>
      <c r="AL28" s="116"/>
      <c r="AM28" s="115"/>
      <c r="AN28" s="115"/>
      <c r="AO28" s="115"/>
      <c r="AP28" s="117"/>
      <c r="AQ28" s="117"/>
      <c r="AR28" s="117"/>
    </row>
    <row r="29" spans="1:44">
      <c r="A29" s="118"/>
      <c r="B29" s="119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S29" s="109"/>
      <c r="T29" s="40"/>
      <c r="U29" s="40"/>
      <c r="V29" s="40"/>
      <c r="W29" s="40"/>
      <c r="X29" s="40"/>
      <c r="Y29" s="111"/>
      <c r="Z29" s="84"/>
      <c r="AA29" s="111"/>
      <c r="AB29" s="111"/>
      <c r="AC29" s="111"/>
      <c r="AD29" s="111"/>
      <c r="AE29" s="111"/>
      <c r="AF29" s="111"/>
      <c r="AG29" s="111"/>
      <c r="AH29" s="111"/>
      <c r="AI29" s="111"/>
      <c r="AJ29" s="84"/>
      <c r="AK29" s="116"/>
      <c r="AL29" s="116"/>
      <c r="AM29" s="115"/>
      <c r="AN29" s="115"/>
      <c r="AO29" s="115"/>
      <c r="AP29" s="117"/>
      <c r="AQ29" s="117"/>
      <c r="AR29" s="117"/>
    </row>
    <row r="30" spans="1:44">
      <c r="A30" s="118"/>
      <c r="B30" s="119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S30" s="40"/>
      <c r="T30" s="40"/>
      <c r="U30" s="40"/>
      <c r="V30" s="40"/>
      <c r="W30" s="40"/>
      <c r="X30" s="40"/>
      <c r="Y30" s="111"/>
      <c r="Z30" s="84"/>
      <c r="AA30" s="111"/>
      <c r="AB30" s="111"/>
      <c r="AC30" s="111"/>
      <c r="AD30" s="111"/>
      <c r="AE30" s="111"/>
      <c r="AF30" s="111"/>
      <c r="AG30" s="111"/>
      <c r="AH30" s="111"/>
      <c r="AI30" s="111"/>
      <c r="AJ30" s="84"/>
      <c r="AK30" s="116"/>
      <c r="AL30" s="116"/>
      <c r="AM30" s="115"/>
      <c r="AN30" s="115"/>
      <c r="AO30" s="115"/>
      <c r="AP30" s="117"/>
      <c r="AQ30" s="117"/>
      <c r="AR30" s="117"/>
    </row>
    <row r="31" spans="1:44">
      <c r="A31" s="118"/>
      <c r="B31" s="119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S31" s="109"/>
      <c r="T31" s="40"/>
      <c r="U31" s="40"/>
      <c r="V31" s="40"/>
      <c r="W31" s="40"/>
      <c r="X31" s="40"/>
      <c r="Y31" s="111"/>
      <c r="Z31" s="84"/>
      <c r="AA31" s="111"/>
      <c r="AB31" s="111"/>
      <c r="AC31" s="111"/>
      <c r="AD31" s="111"/>
      <c r="AE31" s="111"/>
      <c r="AF31" s="111"/>
      <c r="AG31" s="111"/>
      <c r="AH31" s="111"/>
      <c r="AI31" s="111"/>
      <c r="AJ31" s="119"/>
      <c r="AK31" s="116"/>
      <c r="AL31" s="116"/>
      <c r="AM31" s="115"/>
      <c r="AN31" s="115"/>
      <c r="AO31" s="115"/>
      <c r="AP31" s="117"/>
      <c r="AQ31" s="117"/>
      <c r="AR31" s="117"/>
    </row>
    <row r="32" spans="1:44">
      <c r="A32" s="118"/>
      <c r="B32" s="119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S32" s="109"/>
      <c r="T32" s="40"/>
      <c r="U32" s="40"/>
      <c r="V32" s="40"/>
      <c r="W32" s="40"/>
      <c r="X32" s="40"/>
      <c r="Y32" s="111"/>
      <c r="Z32" s="84"/>
      <c r="AA32" s="111"/>
      <c r="AB32" s="111"/>
      <c r="AC32" s="111"/>
      <c r="AD32" s="111"/>
      <c r="AE32" s="111"/>
      <c r="AF32" s="111"/>
      <c r="AG32" s="111"/>
      <c r="AH32" s="111"/>
      <c r="AI32" s="111"/>
      <c r="AJ32" s="119"/>
      <c r="AK32" s="116"/>
      <c r="AL32" s="116"/>
      <c r="AM32" s="115"/>
      <c r="AN32" s="115"/>
      <c r="AO32" s="115"/>
      <c r="AP32" s="117"/>
      <c r="AQ32" s="117"/>
      <c r="AR32" s="117"/>
    </row>
    <row r="33" spans="1:44">
      <c r="A33" s="118"/>
      <c r="B33" s="119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S33" s="40"/>
      <c r="T33" s="40"/>
      <c r="U33" s="40"/>
      <c r="V33" s="40"/>
      <c r="W33" s="40"/>
      <c r="X33" s="40"/>
      <c r="Y33" s="111"/>
      <c r="Z33" s="84"/>
      <c r="AA33" s="111"/>
      <c r="AB33" s="111"/>
      <c r="AC33" s="111"/>
      <c r="AD33" s="111"/>
      <c r="AE33" s="111"/>
      <c r="AF33" s="111"/>
      <c r="AG33" s="111"/>
      <c r="AH33" s="111"/>
      <c r="AI33" s="111"/>
      <c r="AJ33" s="119"/>
      <c r="AK33" s="116"/>
      <c r="AL33" s="116"/>
      <c r="AM33" s="115"/>
      <c r="AN33" s="115"/>
      <c r="AO33" s="115"/>
      <c r="AP33" s="117"/>
      <c r="AQ33" s="117"/>
      <c r="AR33" s="117"/>
    </row>
    <row r="34" spans="1:44">
      <c r="A34" s="118"/>
      <c r="B34" s="119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S34" s="109"/>
      <c r="T34" s="40"/>
      <c r="U34" s="40"/>
      <c r="V34" s="40"/>
      <c r="W34" s="40"/>
      <c r="X34" s="40"/>
      <c r="Y34" s="111"/>
      <c r="Z34" s="84"/>
      <c r="AA34" s="111"/>
      <c r="AB34" s="111"/>
      <c r="AC34" s="111"/>
      <c r="AD34" s="111"/>
      <c r="AE34" s="111"/>
      <c r="AF34" s="111"/>
      <c r="AG34" s="111"/>
      <c r="AH34" s="111"/>
      <c r="AI34" s="111"/>
      <c r="AJ34" s="119"/>
      <c r="AK34" s="116"/>
      <c r="AL34" s="116"/>
      <c r="AM34" s="115"/>
      <c r="AN34" s="115"/>
      <c r="AO34" s="115"/>
      <c r="AP34" s="117"/>
      <c r="AQ34" s="117"/>
      <c r="AR34" s="117"/>
    </row>
    <row r="35" spans="1:44">
      <c r="A35" s="118"/>
      <c r="B35" s="119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S35" s="109"/>
      <c r="T35" s="40"/>
      <c r="U35" s="40"/>
      <c r="V35" s="40"/>
      <c r="W35" s="40"/>
      <c r="X35" s="40"/>
      <c r="Y35" s="111"/>
      <c r="Z35" s="84"/>
      <c r="AA35" s="111"/>
      <c r="AB35" s="111"/>
      <c r="AC35" s="111"/>
      <c r="AD35" s="111"/>
      <c r="AE35" s="111"/>
      <c r="AF35" s="111"/>
      <c r="AG35" s="111"/>
      <c r="AH35" s="111"/>
      <c r="AI35" s="111"/>
      <c r="AJ35" s="119"/>
      <c r="AK35" s="115"/>
      <c r="AL35" s="116"/>
      <c r="AM35" s="115"/>
      <c r="AN35" s="115"/>
      <c r="AO35" s="115"/>
      <c r="AP35" s="117"/>
      <c r="AQ35" s="117"/>
      <c r="AR35" s="117"/>
    </row>
    <row r="36" spans="1:44">
      <c r="A36" s="118"/>
      <c r="B36" s="84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S36" s="109"/>
      <c r="T36" s="40"/>
      <c r="U36" s="40"/>
      <c r="V36" s="40"/>
      <c r="W36" s="40"/>
      <c r="X36" s="40"/>
      <c r="Y36" s="111"/>
      <c r="Z36" s="84"/>
      <c r="AA36" s="111"/>
      <c r="AB36" s="111"/>
      <c r="AC36" s="111"/>
      <c r="AD36" s="111"/>
      <c r="AE36" s="111"/>
      <c r="AF36" s="111"/>
      <c r="AG36" s="111"/>
      <c r="AH36" s="111"/>
      <c r="AI36" s="111"/>
      <c r="AJ36" s="119"/>
      <c r="AK36" s="115"/>
      <c r="AL36" s="116"/>
      <c r="AM36" s="115"/>
      <c r="AN36" s="115"/>
      <c r="AO36" s="115"/>
      <c r="AP36" s="117"/>
      <c r="AQ36" s="117"/>
      <c r="AR36" s="117"/>
    </row>
    <row r="37" spans="1:44">
      <c r="A37" s="118"/>
      <c r="B37" s="119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S37" s="109"/>
      <c r="T37" s="40"/>
      <c r="U37" s="40"/>
      <c r="V37" s="40"/>
      <c r="W37" s="40"/>
      <c r="X37" s="40"/>
      <c r="Y37" s="111"/>
      <c r="Z37" s="84"/>
      <c r="AA37" s="111"/>
      <c r="AB37" s="111"/>
      <c r="AC37" s="111"/>
      <c r="AD37" s="111"/>
      <c r="AE37" s="111"/>
      <c r="AF37" s="111"/>
      <c r="AG37" s="111"/>
      <c r="AH37" s="111"/>
      <c r="AI37" s="111"/>
      <c r="AJ37" s="119"/>
      <c r="AK37" s="115"/>
      <c r="AL37" s="116"/>
      <c r="AM37" s="115"/>
      <c r="AN37" s="115"/>
      <c r="AO37" s="115"/>
      <c r="AP37" s="117"/>
      <c r="AQ37" s="117"/>
      <c r="AR37" s="117"/>
    </row>
    <row r="38" spans="1:44">
      <c r="A38" s="118"/>
      <c r="B38" s="119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S38" s="109"/>
      <c r="T38" s="40"/>
      <c r="U38" s="40"/>
      <c r="V38" s="40"/>
      <c r="W38" s="40"/>
      <c r="X38" s="40"/>
      <c r="Y38" s="111"/>
      <c r="Z38" s="84"/>
      <c r="AA38" s="111"/>
      <c r="AB38" s="111"/>
      <c r="AC38" s="111"/>
      <c r="AD38" s="111"/>
      <c r="AE38" s="111"/>
      <c r="AF38" s="111"/>
      <c r="AG38" s="111"/>
      <c r="AH38" s="111"/>
      <c r="AI38" s="111"/>
      <c r="AJ38" s="119"/>
      <c r="AK38" s="115"/>
      <c r="AL38" s="115"/>
      <c r="AM38" s="115"/>
      <c r="AN38" s="115"/>
      <c r="AO38" s="115"/>
      <c r="AP38" s="117"/>
      <c r="AQ38" s="117"/>
      <c r="AR38" s="117"/>
    </row>
    <row r="39" spans="1:44">
      <c r="A39" s="118"/>
      <c r="B39" s="84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S39" s="109"/>
      <c r="T39" s="40"/>
      <c r="U39" s="40"/>
      <c r="V39" s="40"/>
      <c r="W39" s="40"/>
      <c r="X39" s="40"/>
      <c r="Y39" s="111"/>
      <c r="Z39" s="84"/>
      <c r="AA39" s="111"/>
      <c r="AB39" s="111"/>
      <c r="AC39" s="111"/>
      <c r="AD39" s="111"/>
      <c r="AE39" s="111"/>
      <c r="AF39" s="111"/>
      <c r="AG39" s="111"/>
      <c r="AH39" s="111"/>
      <c r="AI39" s="111"/>
      <c r="AJ39" s="115"/>
      <c r="AK39" s="115"/>
      <c r="AL39" s="115"/>
      <c r="AM39" s="115"/>
      <c r="AN39" s="115"/>
      <c r="AO39" s="115"/>
      <c r="AP39" s="117"/>
      <c r="AQ39" s="117"/>
      <c r="AR39" s="117"/>
    </row>
    <row r="40" spans="1:44">
      <c r="A40" s="118"/>
      <c r="B40" s="119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S40" s="109"/>
      <c r="T40" s="40"/>
      <c r="U40" s="40"/>
      <c r="V40" s="40"/>
      <c r="W40" s="40"/>
      <c r="X40" s="40"/>
      <c r="Y40" s="111"/>
      <c r="Z40" s="84"/>
      <c r="AA40" s="111"/>
      <c r="AB40" s="111"/>
      <c r="AC40" s="111"/>
      <c r="AD40" s="111"/>
      <c r="AE40" s="111"/>
      <c r="AF40" s="111"/>
      <c r="AG40" s="111"/>
      <c r="AH40" s="111"/>
      <c r="AI40" s="111"/>
      <c r="AJ40" s="115"/>
      <c r="AK40" s="115"/>
      <c r="AL40" s="115"/>
      <c r="AM40" s="115"/>
      <c r="AN40" s="115"/>
      <c r="AO40" s="115"/>
      <c r="AP40" s="115"/>
      <c r="AQ40" s="115"/>
      <c r="AR40" s="115"/>
    </row>
    <row r="41" spans="1:44">
      <c r="A41" s="118"/>
      <c r="B41" s="119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S41" s="40"/>
      <c r="T41" s="40"/>
      <c r="U41" s="40"/>
      <c r="V41" s="40"/>
      <c r="W41" s="40"/>
      <c r="X41" s="40"/>
      <c r="Y41" s="111"/>
      <c r="Z41" s="84"/>
      <c r="AA41" s="111"/>
      <c r="AB41" s="111"/>
      <c r="AC41" s="111"/>
      <c r="AD41" s="111"/>
      <c r="AE41" s="111"/>
      <c r="AF41" s="111"/>
      <c r="AG41" s="111"/>
      <c r="AH41" s="111"/>
      <c r="AI41" s="111"/>
      <c r="AJ41" s="115"/>
      <c r="AK41" s="115"/>
      <c r="AL41" s="115"/>
      <c r="AM41" s="115"/>
      <c r="AN41" s="115"/>
      <c r="AO41" s="115"/>
      <c r="AP41" s="115"/>
      <c r="AQ41" s="115"/>
      <c r="AR41" s="115"/>
    </row>
    <row r="42" spans="1:44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M42" s="11"/>
      <c r="N42" s="11"/>
      <c r="O42" s="11"/>
      <c r="P42" s="11"/>
      <c r="S42" s="109"/>
      <c r="T42" s="40"/>
      <c r="U42" s="40"/>
      <c r="V42" s="40"/>
      <c r="W42" s="40"/>
      <c r="X42" s="40"/>
      <c r="Z42" s="84"/>
    </row>
    <row r="43" spans="1:44">
      <c r="A43" s="10"/>
      <c r="B43" s="11"/>
      <c r="C43" s="11"/>
      <c r="D43" s="11"/>
      <c r="E43" s="11"/>
      <c r="F43" s="11"/>
      <c r="G43" s="11"/>
      <c r="I43" s="11"/>
      <c r="J43" s="11"/>
      <c r="L43" s="11"/>
      <c r="M43" s="11"/>
      <c r="N43" s="11"/>
      <c r="O43" s="11"/>
    </row>
    <row r="44" spans="1:44">
      <c r="A44" s="10"/>
      <c r="B44" s="11"/>
      <c r="C44" s="11"/>
      <c r="D44" s="11"/>
      <c r="E44" s="11"/>
      <c r="F44" s="11"/>
      <c r="G44" s="11"/>
      <c r="I44" s="11"/>
      <c r="J44" s="11"/>
      <c r="L44" s="11"/>
      <c r="M44" s="11"/>
      <c r="N44" s="11"/>
      <c r="O44" s="11"/>
    </row>
    <row r="45" spans="1:44">
      <c r="A45" s="10"/>
      <c r="B45" s="11"/>
      <c r="C45" s="11"/>
      <c r="D45" s="11"/>
      <c r="E45" s="11"/>
      <c r="F45" s="11"/>
      <c r="G45" s="11"/>
      <c r="I45" s="11"/>
      <c r="J45" s="11"/>
      <c r="L45" s="11"/>
      <c r="M45" s="11"/>
      <c r="N45" s="11"/>
      <c r="O45" s="11"/>
    </row>
    <row r="46" spans="1:44">
      <c r="A46" s="10"/>
      <c r="B46" s="11"/>
      <c r="C46" s="11"/>
      <c r="D46" s="11"/>
      <c r="E46" s="11"/>
      <c r="F46" s="11"/>
      <c r="G46" s="11"/>
      <c r="I46" s="11"/>
      <c r="J46" s="11"/>
      <c r="L46" s="11"/>
      <c r="M46" s="11"/>
      <c r="N46" s="11"/>
      <c r="O46" s="11"/>
    </row>
    <row r="50" spans="16:44">
      <c r="AO50" s="120"/>
      <c r="AP50" s="121" t="s">
        <v>86</v>
      </c>
      <c r="AQ50" s="121" t="s">
        <v>54</v>
      </c>
      <c r="AR50" s="121"/>
    </row>
    <row r="51" spans="16:44">
      <c r="AO51" s="122" t="str">
        <f>A3</f>
        <v xml:space="preserve">PIENAARSPOORT </v>
      </c>
      <c r="AP51" s="123">
        <v>0</v>
      </c>
      <c r="AQ51" s="123">
        <v>0</v>
      </c>
      <c r="AR51" s="124"/>
    </row>
    <row r="52" spans="16:44">
      <c r="AO52" s="122" t="str">
        <f t="shared" ref="AO52:AO55" si="0">A5</f>
        <v xml:space="preserve">MAMELODI GARDENS </v>
      </c>
      <c r="AP52" s="123">
        <v>6.2500000000000888E-3</v>
      </c>
      <c r="AQ52" s="123">
        <v>6.2500000000000333E-3</v>
      </c>
      <c r="AR52" s="124"/>
    </row>
    <row r="53" spans="16:44">
      <c r="AO53" s="122" t="str">
        <f t="shared" si="0"/>
        <v xml:space="preserve">EERSTE FABRIEKE </v>
      </c>
      <c r="AP53" s="123">
        <v>9.7222222222222987E-3</v>
      </c>
      <c r="AQ53" s="123">
        <v>3.4722222222222099E-3</v>
      </c>
      <c r="AR53" s="124"/>
    </row>
    <row r="54" spans="16:44">
      <c r="AO54" s="122" t="str">
        <f t="shared" si="0"/>
        <v xml:space="preserve">DENNEBOOM </v>
      </c>
      <c r="AP54" s="123">
        <v>1.1805555555555625E-2</v>
      </c>
      <c r="AQ54" s="123">
        <v>2.0833333333333259E-3</v>
      </c>
      <c r="AR54" s="124"/>
    </row>
    <row r="55" spans="16:44">
      <c r="AO55" s="122" t="str">
        <f t="shared" si="0"/>
        <v xml:space="preserve">WALTOO </v>
      </c>
      <c r="AP55" s="123">
        <v>1.3194444444444509E-2</v>
      </c>
      <c r="AQ55" s="123">
        <v>1.388888888888884E-3</v>
      </c>
      <c r="AR55" s="124"/>
    </row>
    <row r="56" spans="16:44">
      <c r="AO56" s="122" t="str">
        <f t="shared" ref="AO56:AO57" si="1">A10</f>
        <v xml:space="preserve">SILVERTON </v>
      </c>
      <c r="AP56" s="123">
        <v>1.5277777777777835E-2</v>
      </c>
      <c r="AQ56" s="123">
        <v>2.0833333333333259E-3</v>
      </c>
      <c r="AR56" s="124"/>
    </row>
    <row r="57" spans="16:44">
      <c r="AO57" s="122" t="str">
        <f t="shared" si="1"/>
        <v xml:space="preserve">KOEDOESPOORT </v>
      </c>
      <c r="AP57" s="123">
        <v>1.736111111111116E-2</v>
      </c>
      <c r="AQ57" s="123">
        <v>2.0833333333333259E-3</v>
      </c>
      <c r="AR57" s="124"/>
    </row>
    <row r="58" spans="16:44">
      <c r="AO58" s="122" t="str">
        <f t="shared" ref="AO58:AO64" si="2">A13</f>
        <v xml:space="preserve">HARTBEESSPRUIT </v>
      </c>
      <c r="AP58" s="123">
        <v>1.9444444444444486E-2</v>
      </c>
      <c r="AQ58" s="123">
        <v>2.0833333333333259E-3</v>
      </c>
      <c r="AR58" s="124"/>
    </row>
    <row r="59" spans="16:44">
      <c r="P59" s="11"/>
      <c r="AO59" s="122" t="str">
        <f t="shared" si="2"/>
        <v xml:space="preserve">RISSIK </v>
      </c>
      <c r="AP59" s="123">
        <v>2.2916666666666696E-2</v>
      </c>
      <c r="AQ59" s="123">
        <v>2.7777777777778234E-3</v>
      </c>
      <c r="AR59" s="124"/>
    </row>
    <row r="60" spans="16:44">
      <c r="P60" s="11"/>
      <c r="AD60" s="8"/>
      <c r="AO60" s="122" t="str">
        <f t="shared" si="2"/>
        <v xml:space="preserve">LOFTUS VERSFELD PARK </v>
      </c>
      <c r="AP60" s="123">
        <v>2.430555555555558E-2</v>
      </c>
      <c r="AQ60" s="123">
        <v>2.0833333333333259E-3</v>
      </c>
      <c r="AR60" s="124"/>
    </row>
    <row r="61" spans="16:44">
      <c r="AO61" s="122" t="str">
        <f t="shared" si="2"/>
        <v xml:space="preserve">WALKER STREET </v>
      </c>
      <c r="AP61" s="123">
        <v>2.6388888888888906E-2</v>
      </c>
      <c r="AQ61" s="123">
        <v>2.0833333333333259E-3</v>
      </c>
      <c r="AR61" s="124"/>
    </row>
    <row r="62" spans="16:44">
      <c r="AO62" s="122" t="str">
        <f t="shared" si="2"/>
        <v xml:space="preserve">DEVENISH STREET </v>
      </c>
      <c r="AP62" s="123">
        <v>2.777777777777779E-2</v>
      </c>
      <c r="AQ62" s="123">
        <v>1.388888888888884E-3</v>
      </c>
      <c r="AR62" s="124"/>
    </row>
    <row r="63" spans="16:44">
      <c r="AO63" s="122" t="str">
        <f t="shared" si="2"/>
        <v xml:space="preserve">MEARS STREET </v>
      </c>
      <c r="AP63" s="123">
        <v>2.8472222222222232E-2</v>
      </c>
      <c r="AQ63" s="123">
        <v>6.9444444444444198E-4</v>
      </c>
      <c r="AR63" s="124"/>
    </row>
    <row r="64" spans="16:44">
      <c r="AO64" s="122" t="str">
        <f t="shared" si="2"/>
        <v xml:space="preserve">PRETORIA </v>
      </c>
      <c r="AP64" s="123">
        <v>3.125E-2</v>
      </c>
      <c r="AQ64" s="123">
        <v>2.7777777777777679E-3</v>
      </c>
      <c r="AR64" s="124"/>
    </row>
    <row r="65" spans="41:44">
      <c r="AO65" s="40"/>
      <c r="AP65" s="125">
        <v>9</v>
      </c>
      <c r="AQ65" s="125">
        <v>9</v>
      </c>
      <c r="AR65" s="1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J1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7109375" customWidth="1"/>
    <col min="2" max="2" width="37.5703125" customWidth="1"/>
  </cols>
  <sheetData>
    <row r="1" spans="1:10">
      <c r="A1" s="1" t="s">
        <v>0</v>
      </c>
      <c r="B1" s="2">
        <v>45890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</row>
    <row r="2" spans="1:10">
      <c r="A2" s="1" t="s">
        <v>2</v>
      </c>
      <c r="B2" s="1" t="s">
        <v>3</v>
      </c>
      <c r="C2" s="1">
        <v>9101</v>
      </c>
      <c r="D2" s="1">
        <v>9103</v>
      </c>
      <c r="E2" s="1">
        <v>9115</v>
      </c>
      <c r="F2" s="1">
        <v>9117</v>
      </c>
      <c r="G2" s="1">
        <v>9119</v>
      </c>
      <c r="H2" s="1"/>
      <c r="I2" s="1"/>
      <c r="J2" s="1"/>
    </row>
    <row r="3" spans="1:10">
      <c r="A3" s="4" t="s">
        <v>55</v>
      </c>
      <c r="B3" s="4" t="s">
        <v>25</v>
      </c>
      <c r="C3" s="5">
        <v>0.22291666666666668</v>
      </c>
      <c r="D3" s="5">
        <v>0.2951388888888889</v>
      </c>
      <c r="E3" s="5">
        <v>0.63194444444444442</v>
      </c>
      <c r="F3" s="5">
        <v>0.70208333333333328</v>
      </c>
      <c r="G3" s="5">
        <v>0.77916666666666667</v>
      </c>
      <c r="H3" s="4"/>
      <c r="I3" s="5"/>
      <c r="J3" s="4"/>
    </row>
    <row r="4" spans="1:10">
      <c r="A4" s="6" t="s">
        <v>58</v>
      </c>
      <c r="B4" s="6" t="s">
        <v>59</v>
      </c>
      <c r="C4" s="7">
        <v>0.22500000000000001</v>
      </c>
      <c r="D4" s="7">
        <v>0.29722222222222222</v>
      </c>
      <c r="E4" s="7">
        <v>0.63402777777777775</v>
      </c>
      <c r="F4" s="7">
        <v>0.70416666666666672</v>
      </c>
      <c r="G4" s="7">
        <v>0.78125</v>
      </c>
    </row>
    <row r="5" spans="1:10">
      <c r="A5" s="6" t="s">
        <v>60</v>
      </c>
      <c r="B5" s="6" t="s">
        <v>61</v>
      </c>
      <c r="C5" s="7">
        <v>0.22638888888888889</v>
      </c>
      <c r="D5" s="7">
        <v>0.2986111111111111</v>
      </c>
      <c r="E5" s="7">
        <v>0.63541666666666663</v>
      </c>
      <c r="F5" s="7">
        <v>0.7055555555555556</v>
      </c>
      <c r="G5" s="7">
        <v>0.78263888888888888</v>
      </c>
    </row>
    <row r="6" spans="1:10">
      <c r="A6" s="6" t="s">
        <v>62</v>
      </c>
      <c r="B6" s="6" t="s">
        <v>63</v>
      </c>
      <c r="C6" s="7">
        <v>0.22708333333333333</v>
      </c>
      <c r="D6" s="7">
        <v>0.29930555555555555</v>
      </c>
      <c r="E6" s="7">
        <v>0.63611111111111107</v>
      </c>
      <c r="F6" s="7">
        <v>0.70625000000000004</v>
      </c>
      <c r="G6" s="7">
        <v>0.78333333333333333</v>
      </c>
    </row>
    <row r="7" spans="1:10">
      <c r="A7" s="6" t="s">
        <v>64</v>
      </c>
      <c r="B7" s="6" t="s">
        <v>65</v>
      </c>
      <c r="C7" s="7">
        <v>0.22916666666666666</v>
      </c>
      <c r="D7" s="7">
        <v>0.30138888888888887</v>
      </c>
      <c r="E7" s="7">
        <v>0.6381944444444444</v>
      </c>
      <c r="F7" s="7">
        <v>0.70833333333333337</v>
      </c>
      <c r="G7" s="7">
        <v>0.78541666666666665</v>
      </c>
    </row>
    <row r="8" spans="1:10">
      <c r="A8" s="6" t="s">
        <v>66</v>
      </c>
      <c r="B8" s="6" t="s">
        <v>67</v>
      </c>
      <c r="C8" s="7">
        <v>0.23055555555555557</v>
      </c>
      <c r="D8" s="7">
        <v>0.30277777777777776</v>
      </c>
      <c r="E8" s="7">
        <v>0.63958333333333328</v>
      </c>
      <c r="F8" s="7">
        <v>0.70972222222222225</v>
      </c>
      <c r="G8" s="7">
        <v>0.78680555555555554</v>
      </c>
    </row>
    <row r="9" spans="1:10">
      <c r="A9" s="6" t="s">
        <v>68</v>
      </c>
      <c r="B9" s="6" t="s">
        <v>69</v>
      </c>
      <c r="C9" s="7">
        <v>0.2326388888888889</v>
      </c>
      <c r="D9" s="7">
        <v>0.30486111111111114</v>
      </c>
      <c r="E9" s="7">
        <v>0.64166666666666672</v>
      </c>
      <c r="F9" s="7">
        <v>0.71180555555555558</v>
      </c>
      <c r="G9" s="7">
        <v>0.78888888888888886</v>
      </c>
    </row>
    <row r="10" spans="1:10">
      <c r="A10" s="6" t="s">
        <v>126</v>
      </c>
      <c r="B10" s="6" t="s">
        <v>127</v>
      </c>
    </row>
    <row r="11" spans="1:10">
      <c r="A11" s="6" t="s">
        <v>70</v>
      </c>
      <c r="B11" s="6" t="s">
        <v>71</v>
      </c>
      <c r="C11" s="7">
        <v>0.23472222222222222</v>
      </c>
      <c r="D11" s="7">
        <v>0.30694444444444446</v>
      </c>
      <c r="E11" s="7">
        <v>0.64375000000000004</v>
      </c>
      <c r="F11" s="7">
        <v>0.71388888888888891</v>
      </c>
      <c r="G11" s="7">
        <v>0.79097222222222219</v>
      </c>
    </row>
    <row r="12" spans="1:10">
      <c r="A12" s="6" t="s">
        <v>72</v>
      </c>
      <c r="B12" s="6" t="s">
        <v>128</v>
      </c>
      <c r="C12" s="7">
        <v>0.23680555555555555</v>
      </c>
      <c r="D12" s="7">
        <v>0.30902777777777779</v>
      </c>
      <c r="E12" s="7">
        <v>0.64583333333333337</v>
      </c>
      <c r="F12" s="7">
        <v>0.71597222222222223</v>
      </c>
      <c r="G12" s="7">
        <v>0.79305555555555551</v>
      </c>
    </row>
    <row r="13" spans="1:10">
      <c r="A13" s="6" t="s">
        <v>129</v>
      </c>
      <c r="B13" s="6" t="s">
        <v>130</v>
      </c>
    </row>
    <row r="14" spans="1:10">
      <c r="A14" s="6" t="s">
        <v>74</v>
      </c>
      <c r="B14" s="6" t="s">
        <v>131</v>
      </c>
      <c r="C14" s="7">
        <v>0.2388888888888889</v>
      </c>
      <c r="D14" s="7">
        <v>0.31111111111111112</v>
      </c>
      <c r="E14" s="7">
        <v>0.6479166666666667</v>
      </c>
      <c r="F14" s="7">
        <v>0.71805555555555556</v>
      </c>
      <c r="G14" s="7">
        <v>0.79513888888888884</v>
      </c>
    </row>
    <row r="15" spans="1:10">
      <c r="A15" s="6" t="s">
        <v>76</v>
      </c>
      <c r="B15" s="6" t="s">
        <v>77</v>
      </c>
      <c r="C15" s="7">
        <v>0.24027777777777778</v>
      </c>
      <c r="D15" s="7">
        <v>0.3125</v>
      </c>
      <c r="E15" s="7">
        <v>0.64930555555555558</v>
      </c>
      <c r="F15" s="7">
        <v>0.71944444444444444</v>
      </c>
      <c r="G15" s="7">
        <v>0.79652777777777772</v>
      </c>
    </row>
    <row r="16" spans="1:10">
      <c r="A16" s="6" t="s">
        <v>78</v>
      </c>
      <c r="B16" s="6" t="s">
        <v>79</v>
      </c>
      <c r="C16" s="7">
        <v>0.24236111111111111</v>
      </c>
      <c r="D16" s="7">
        <v>0.31458333333333333</v>
      </c>
      <c r="E16" s="7">
        <v>0.65138888888888891</v>
      </c>
      <c r="F16" s="7">
        <v>0.72152777777777777</v>
      </c>
      <c r="G16" s="7">
        <v>0.79861111111111116</v>
      </c>
    </row>
    <row r="17" spans="1:7">
      <c r="A17" s="6" t="s">
        <v>80</v>
      </c>
      <c r="B17" s="6" t="s">
        <v>81</v>
      </c>
      <c r="C17" s="7">
        <v>0.24513888888888888</v>
      </c>
      <c r="D17" s="7">
        <v>0.31736111111111109</v>
      </c>
      <c r="E17" s="7">
        <v>0.65416666666666667</v>
      </c>
      <c r="F17" s="7">
        <v>0.72430555555555554</v>
      </c>
      <c r="G17" s="7">
        <v>0.80138888888888893</v>
      </c>
    </row>
    <row r="18" spans="1:7">
      <c r="A18" s="6" t="s">
        <v>132</v>
      </c>
      <c r="B18" s="6" t="s">
        <v>133</v>
      </c>
    </row>
    <row r="19" spans="1:7">
      <c r="A19" s="6" t="s">
        <v>82</v>
      </c>
      <c r="B19" s="6" t="s">
        <v>83</v>
      </c>
      <c r="C19" s="7">
        <v>0.25138888888888888</v>
      </c>
      <c r="D19" s="7">
        <v>0.32083333333333336</v>
      </c>
      <c r="E19" s="7">
        <v>0.65763888888888888</v>
      </c>
      <c r="F19" s="7">
        <v>0.72777777777777775</v>
      </c>
      <c r="G19" s="7">
        <v>0.80486111111111114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M1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7109375" customWidth="1"/>
    <col min="2" max="2" width="37.5703125" customWidth="1"/>
  </cols>
  <sheetData>
    <row r="1" spans="1:13">
      <c r="A1" s="1" t="s">
        <v>0</v>
      </c>
      <c r="B1" s="2">
        <v>45890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2</v>
      </c>
      <c r="B2" s="1" t="s">
        <v>3</v>
      </c>
      <c r="C2" s="1">
        <v>9100</v>
      </c>
      <c r="D2" s="1">
        <v>9102</v>
      </c>
      <c r="E2" s="1">
        <v>9104</v>
      </c>
      <c r="F2" s="1">
        <v>9116</v>
      </c>
      <c r="G2" s="1">
        <v>9118</v>
      </c>
      <c r="H2" s="1"/>
      <c r="I2" s="1"/>
      <c r="J2" s="1"/>
      <c r="K2" s="1"/>
      <c r="L2" s="1"/>
      <c r="M2" s="1"/>
    </row>
    <row r="3" spans="1:13">
      <c r="A3" s="4" t="s">
        <v>82</v>
      </c>
      <c r="B3" s="4" t="s">
        <v>83</v>
      </c>
      <c r="C3" s="5">
        <v>0.1875</v>
      </c>
      <c r="D3" s="5">
        <v>0.25833333333333336</v>
      </c>
      <c r="E3" s="5">
        <v>0.33055555555555555</v>
      </c>
      <c r="F3" s="5">
        <v>0.66666666666666663</v>
      </c>
      <c r="G3" s="5">
        <v>0.7368055555555556</v>
      </c>
      <c r="H3" s="4"/>
      <c r="I3" s="5"/>
      <c r="J3" s="4"/>
      <c r="K3" s="5"/>
      <c r="M3" s="7"/>
    </row>
    <row r="4" spans="1:13">
      <c r="A4" s="6" t="s">
        <v>132</v>
      </c>
      <c r="B4" s="6" t="s">
        <v>133</v>
      </c>
      <c r="H4" s="7"/>
      <c r="I4" s="7"/>
      <c r="J4" s="7"/>
      <c r="K4" s="7"/>
      <c r="L4" s="7"/>
      <c r="M4" s="7"/>
    </row>
    <row r="5" spans="1:13">
      <c r="A5" s="6" t="s">
        <v>80</v>
      </c>
      <c r="B5" s="6" t="s">
        <v>81</v>
      </c>
      <c r="C5" s="7">
        <v>0.19375000000000003</v>
      </c>
      <c r="D5" s="7">
        <v>0.26458333333333339</v>
      </c>
      <c r="E5" s="7">
        <v>0.33680555555555558</v>
      </c>
      <c r="F5" s="7">
        <v>0.67291666666666661</v>
      </c>
      <c r="G5" s="7">
        <v>0.74305555555555558</v>
      </c>
      <c r="H5" s="7"/>
      <c r="I5" s="7"/>
      <c r="J5" s="7"/>
      <c r="K5" s="7"/>
      <c r="L5" s="7"/>
      <c r="M5" s="7"/>
    </row>
    <row r="6" spans="1:13">
      <c r="A6" s="6" t="s">
        <v>78</v>
      </c>
      <c r="B6" s="6" t="s">
        <v>79</v>
      </c>
      <c r="C6" s="7">
        <v>0.19722222222222224</v>
      </c>
      <c r="D6" s="7">
        <v>0.2680555555555556</v>
      </c>
      <c r="E6" s="7">
        <v>0.34027777777777779</v>
      </c>
      <c r="F6" s="7">
        <v>0.67638888888888882</v>
      </c>
      <c r="G6" s="7">
        <v>0.74652777777777779</v>
      </c>
      <c r="H6" s="7"/>
      <c r="I6" s="7"/>
      <c r="J6" s="7"/>
      <c r="K6" s="7"/>
      <c r="L6" s="7"/>
      <c r="M6" s="7"/>
    </row>
    <row r="7" spans="1:13">
      <c r="A7" s="6" t="s">
        <v>76</v>
      </c>
      <c r="B7" s="6" t="s">
        <v>77</v>
      </c>
      <c r="C7" s="7">
        <v>0.19930555555555557</v>
      </c>
      <c r="D7" s="7">
        <v>0.27013888888888893</v>
      </c>
      <c r="E7" s="7">
        <v>0.34236111111111112</v>
      </c>
      <c r="F7" s="7">
        <v>0.67847222222222214</v>
      </c>
      <c r="G7" s="7">
        <v>0.74861111111111112</v>
      </c>
      <c r="H7" s="7"/>
      <c r="I7" s="7"/>
      <c r="J7" s="7"/>
      <c r="K7" s="7"/>
      <c r="L7" s="7"/>
      <c r="M7" s="7"/>
    </row>
    <row r="8" spans="1:13">
      <c r="A8" s="6" t="s">
        <v>74</v>
      </c>
      <c r="B8" s="6" t="s">
        <v>134</v>
      </c>
      <c r="C8" s="7">
        <v>0.20069444444444445</v>
      </c>
      <c r="D8" s="7">
        <v>0.27152777777777781</v>
      </c>
      <c r="E8" s="7">
        <v>0.34375</v>
      </c>
      <c r="F8" s="7">
        <v>0.67986111111111103</v>
      </c>
      <c r="G8" s="7">
        <v>0.75</v>
      </c>
      <c r="H8" s="7"/>
      <c r="I8" s="7"/>
      <c r="J8" s="7"/>
      <c r="K8" s="7"/>
      <c r="L8" s="7"/>
      <c r="M8" s="7"/>
    </row>
    <row r="9" spans="1:13">
      <c r="A9" s="57" t="s">
        <v>129</v>
      </c>
      <c r="B9" s="6" t="s">
        <v>130</v>
      </c>
      <c r="H9" s="7"/>
      <c r="I9" s="7"/>
      <c r="J9" s="7"/>
      <c r="K9" s="7"/>
      <c r="L9" s="7"/>
      <c r="M9" s="7"/>
    </row>
    <row r="10" spans="1:13">
      <c r="A10" s="6" t="s">
        <v>72</v>
      </c>
      <c r="B10" s="6" t="s">
        <v>128</v>
      </c>
      <c r="C10" s="7">
        <v>0.20277777777777778</v>
      </c>
      <c r="D10" s="7">
        <v>0.27361111111111114</v>
      </c>
      <c r="E10" s="7">
        <v>0.34583333333333333</v>
      </c>
      <c r="F10" s="7">
        <v>0.68194444444444435</v>
      </c>
      <c r="G10" s="7">
        <v>0.75208333333333333</v>
      </c>
      <c r="H10" s="7"/>
      <c r="I10" s="7"/>
      <c r="J10" s="7"/>
      <c r="K10" s="7"/>
      <c r="L10" s="7"/>
      <c r="M10" s="7"/>
    </row>
    <row r="11" spans="1:13">
      <c r="A11" s="6" t="s">
        <v>70</v>
      </c>
      <c r="B11" s="6" t="s">
        <v>71</v>
      </c>
      <c r="C11" s="7">
        <v>0.2048611111111111</v>
      </c>
      <c r="D11" s="7">
        <v>0.27569444444444446</v>
      </c>
      <c r="E11" s="7">
        <v>0.34791666666666665</v>
      </c>
      <c r="F11" s="7">
        <v>0.68402777777777768</v>
      </c>
      <c r="G11" s="7">
        <v>0.75416666666666665</v>
      </c>
      <c r="H11" s="7"/>
      <c r="I11" s="7"/>
      <c r="J11" s="7"/>
      <c r="K11" s="7"/>
      <c r="L11" s="7"/>
      <c r="M11" s="7"/>
    </row>
    <row r="12" spans="1:13">
      <c r="A12" s="6" t="s">
        <v>126</v>
      </c>
      <c r="B12" s="6" t="s">
        <v>127</v>
      </c>
      <c r="H12" s="7"/>
      <c r="I12" s="7"/>
      <c r="J12" s="7"/>
      <c r="K12" s="7"/>
      <c r="L12" s="7"/>
      <c r="M12" s="7"/>
    </row>
    <row r="13" spans="1:13">
      <c r="A13" s="6" t="s">
        <v>68</v>
      </c>
      <c r="B13" s="6" t="s">
        <v>69</v>
      </c>
      <c r="C13" s="7">
        <v>0.20694444444444443</v>
      </c>
      <c r="D13" s="7">
        <v>0.27777777777777779</v>
      </c>
      <c r="E13" s="7">
        <v>0.35</v>
      </c>
      <c r="F13" s="7">
        <v>0.68611111111111101</v>
      </c>
      <c r="G13" s="7">
        <v>0.75624999999999998</v>
      </c>
      <c r="H13" s="7"/>
      <c r="I13" s="7"/>
      <c r="J13" s="7"/>
      <c r="K13" s="7"/>
      <c r="L13" s="7"/>
      <c r="M13" s="7"/>
    </row>
    <row r="14" spans="1:13">
      <c r="A14" s="6" t="s">
        <v>66</v>
      </c>
      <c r="B14" s="6" t="s">
        <v>67</v>
      </c>
      <c r="C14" s="7">
        <v>0.20972222222222225</v>
      </c>
      <c r="D14" s="7">
        <v>0.28055555555555561</v>
      </c>
      <c r="E14" s="7">
        <v>0.3527777777777778</v>
      </c>
      <c r="F14" s="7">
        <v>0.68888888888888888</v>
      </c>
      <c r="G14" s="7">
        <v>0.75902777777777786</v>
      </c>
      <c r="H14" s="7"/>
      <c r="I14" s="7"/>
      <c r="J14" s="7"/>
      <c r="K14" s="7"/>
      <c r="L14" s="7"/>
      <c r="M14" s="7"/>
    </row>
    <row r="15" spans="1:13">
      <c r="A15" s="6" t="s">
        <v>64</v>
      </c>
      <c r="B15" s="6" t="s">
        <v>65</v>
      </c>
      <c r="C15" s="7">
        <v>0.21180555555555558</v>
      </c>
      <c r="D15" s="7">
        <v>0.28263888888888894</v>
      </c>
      <c r="E15" s="7">
        <v>0.35486111111111113</v>
      </c>
      <c r="F15" s="7">
        <v>0.69097222222222221</v>
      </c>
      <c r="G15" s="7">
        <v>0.76111111111111118</v>
      </c>
      <c r="H15" s="7"/>
      <c r="I15" s="7"/>
      <c r="J15" s="7"/>
      <c r="K15" s="7"/>
      <c r="L15" s="7"/>
      <c r="M15" s="7"/>
    </row>
    <row r="16" spans="1:13">
      <c r="A16" s="6" t="s">
        <v>62</v>
      </c>
      <c r="B16" s="6" t="s">
        <v>63</v>
      </c>
      <c r="C16" s="7">
        <v>0.21388888888888891</v>
      </c>
      <c r="D16" s="7">
        <v>0.28472222222222227</v>
      </c>
      <c r="E16" s="7">
        <v>0.35694444444444445</v>
      </c>
      <c r="F16" s="7">
        <v>0.69305555555555554</v>
      </c>
      <c r="G16" s="7">
        <v>0.76319444444444451</v>
      </c>
      <c r="H16" s="7"/>
      <c r="I16" s="7"/>
      <c r="J16" s="7"/>
      <c r="K16" s="7"/>
      <c r="L16" s="7"/>
      <c r="M16" s="7"/>
    </row>
    <row r="17" spans="1:7">
      <c r="A17" s="6" t="s">
        <v>60</v>
      </c>
      <c r="B17" s="6" t="s">
        <v>61</v>
      </c>
      <c r="C17" s="7">
        <v>0.21527777777777779</v>
      </c>
      <c r="D17" s="7">
        <v>0.28611111111111115</v>
      </c>
      <c r="E17" s="7">
        <v>0.35833333333333334</v>
      </c>
      <c r="F17" s="7">
        <v>0.69444444444444442</v>
      </c>
      <c r="G17" s="7">
        <v>0.76458333333333339</v>
      </c>
    </row>
    <row r="18" spans="1:7">
      <c r="A18" s="6" t="s">
        <v>58</v>
      </c>
      <c r="B18" s="6" t="s">
        <v>59</v>
      </c>
      <c r="C18" s="7">
        <v>0.21597222222222223</v>
      </c>
      <c r="D18" s="7">
        <v>0.28680555555555559</v>
      </c>
      <c r="E18" s="7">
        <v>0.35902777777777778</v>
      </c>
      <c r="F18" s="7">
        <v>0.69513888888888886</v>
      </c>
      <c r="G18" s="7">
        <v>0.76527777777777783</v>
      </c>
    </row>
    <row r="19" spans="1:7">
      <c r="A19" s="6" t="s">
        <v>55</v>
      </c>
      <c r="B19" s="6" t="s">
        <v>25</v>
      </c>
      <c r="C19" s="7">
        <v>0.21875</v>
      </c>
      <c r="D19" s="7">
        <v>0.28958333333333336</v>
      </c>
      <c r="E19" s="7">
        <v>0.36180555555555555</v>
      </c>
      <c r="F19" s="7">
        <v>0.69791666666666663</v>
      </c>
      <c r="G19" s="7">
        <v>0.7680555555555556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AE58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7.7109375" customWidth="1"/>
  </cols>
  <sheetData>
    <row r="1" spans="1:31" ht="15.75" customHeight="1">
      <c r="A1" s="1" t="s">
        <v>0</v>
      </c>
      <c r="B1" s="126">
        <v>46055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2</v>
      </c>
      <c r="B2" s="1" t="s">
        <v>3</v>
      </c>
      <c r="C2" s="127">
        <v>1801</v>
      </c>
      <c r="D2" s="127">
        <v>1803</v>
      </c>
      <c r="E2" s="127">
        <v>1805</v>
      </c>
      <c r="F2" s="127">
        <v>1807</v>
      </c>
      <c r="G2" s="127">
        <v>1809</v>
      </c>
      <c r="H2" s="127">
        <v>1811</v>
      </c>
      <c r="I2" s="127">
        <v>1813</v>
      </c>
      <c r="J2" s="127">
        <v>1815</v>
      </c>
      <c r="K2" s="127">
        <v>1817</v>
      </c>
      <c r="L2" s="127">
        <v>1819</v>
      </c>
      <c r="M2" s="127">
        <v>1827</v>
      </c>
      <c r="N2" s="127">
        <v>1829</v>
      </c>
      <c r="O2" s="127">
        <v>1837</v>
      </c>
      <c r="P2" s="127">
        <v>1831</v>
      </c>
      <c r="Q2" s="127">
        <v>1833</v>
      </c>
      <c r="R2" s="127">
        <v>1839</v>
      </c>
      <c r="S2" s="127">
        <v>1835</v>
      </c>
      <c r="T2" s="127">
        <v>1845</v>
      </c>
      <c r="U2" s="127">
        <v>1847</v>
      </c>
      <c r="V2" s="127">
        <v>1849</v>
      </c>
      <c r="W2" s="127">
        <v>1851</v>
      </c>
      <c r="X2" s="127">
        <v>1853</v>
      </c>
      <c r="Y2" s="127">
        <v>1855</v>
      </c>
      <c r="Z2" s="127">
        <v>1857</v>
      </c>
      <c r="AA2" s="127">
        <v>1859</v>
      </c>
      <c r="AB2" s="127">
        <v>1861</v>
      </c>
      <c r="AC2" s="127">
        <v>1863</v>
      </c>
      <c r="AD2" s="127">
        <v>1865</v>
      </c>
      <c r="AE2" s="1"/>
    </row>
    <row r="3" spans="1:31">
      <c r="A3" s="4" t="s">
        <v>24</v>
      </c>
      <c r="B3" s="5" t="str">
        <f>'PTA-to-PIEN_Sat'!B3</f>
        <v>-25.75864361043285, 28.189866445989118</v>
      </c>
      <c r="C3" s="80">
        <v>0.21666666666666667</v>
      </c>
      <c r="D3" s="80">
        <v>0.2326388888888889</v>
      </c>
      <c r="E3" s="80">
        <v>0.24930555555555556</v>
      </c>
      <c r="F3" s="80">
        <v>0.26527777777777778</v>
      </c>
      <c r="G3" s="80">
        <v>0.28194444444444444</v>
      </c>
      <c r="H3" s="80">
        <v>0.29791666666666666</v>
      </c>
      <c r="I3" s="80">
        <v>0.31458333333333333</v>
      </c>
      <c r="J3" s="80">
        <v>0.33055555555555555</v>
      </c>
      <c r="K3" s="80">
        <v>0.34722222222222221</v>
      </c>
      <c r="L3" s="80">
        <v>0.36319444444444443</v>
      </c>
      <c r="M3" s="80">
        <v>0.39583333333333331</v>
      </c>
      <c r="N3" s="80">
        <v>0.44444444444444442</v>
      </c>
      <c r="O3" s="80">
        <v>0.47013888888888888</v>
      </c>
      <c r="P3" s="80">
        <v>0.49305555555555558</v>
      </c>
      <c r="Q3" s="80">
        <v>0.54166666666666663</v>
      </c>
      <c r="R3" s="80">
        <v>0.56736111111111109</v>
      </c>
      <c r="S3" s="80">
        <v>0.59027777777777779</v>
      </c>
      <c r="T3" s="80">
        <v>0.64027777777777772</v>
      </c>
      <c r="U3" s="80">
        <v>0.65694444444444444</v>
      </c>
      <c r="V3" s="80">
        <v>0.67291666666666672</v>
      </c>
      <c r="W3" s="80">
        <v>0.68958333333333333</v>
      </c>
      <c r="X3" s="80">
        <v>0.7055555555555556</v>
      </c>
      <c r="Y3" s="80">
        <v>0.72222222222222221</v>
      </c>
      <c r="Z3" s="80">
        <v>0.73819444444444449</v>
      </c>
      <c r="AA3" s="80">
        <v>0.75486111111111109</v>
      </c>
      <c r="AB3" s="80">
        <v>0.77013888888888893</v>
      </c>
      <c r="AC3" s="80">
        <v>0.80069444444444449</v>
      </c>
      <c r="AD3" s="80">
        <v>0.8125</v>
      </c>
    </row>
    <row r="4" spans="1:31">
      <c r="A4" s="6" t="s">
        <v>91</v>
      </c>
      <c r="B4" s="6" t="s">
        <v>92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</row>
    <row r="5" spans="1:31">
      <c r="A5" s="6" t="s">
        <v>93</v>
      </c>
      <c r="B5" s="6" t="s">
        <v>94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</row>
    <row r="6" spans="1:31">
      <c r="A6" s="6" t="s">
        <v>22</v>
      </c>
      <c r="B6" s="6" t="s">
        <v>23</v>
      </c>
      <c r="C6" s="128">
        <v>0.22083333333333333</v>
      </c>
      <c r="D6" s="128">
        <v>0.23680555555555555</v>
      </c>
      <c r="E6" s="128">
        <v>0.25347222222222221</v>
      </c>
      <c r="F6" s="128">
        <v>0.26944444444444443</v>
      </c>
      <c r="G6" s="128">
        <v>0.28611111111111109</v>
      </c>
      <c r="H6" s="128">
        <v>0.30208333333333331</v>
      </c>
      <c r="I6" s="128">
        <v>0.31874999999999998</v>
      </c>
      <c r="J6" s="128">
        <v>0.3347222222222222</v>
      </c>
      <c r="K6" s="128">
        <v>0.35138888888888886</v>
      </c>
      <c r="L6" s="128">
        <v>0.36736111111111114</v>
      </c>
      <c r="M6" s="128">
        <v>0.4</v>
      </c>
      <c r="N6" s="128">
        <v>0.44861111111111113</v>
      </c>
      <c r="O6" s="128">
        <v>0.47430555555555554</v>
      </c>
      <c r="P6" s="128">
        <v>0.49722222222222223</v>
      </c>
      <c r="Q6" s="128">
        <v>0.54583333333333328</v>
      </c>
      <c r="R6" s="128">
        <v>0.57152777777777775</v>
      </c>
      <c r="S6" s="128">
        <v>0.59444444444444444</v>
      </c>
      <c r="T6" s="128">
        <v>0.64444444444444449</v>
      </c>
      <c r="U6" s="128">
        <v>0.66111111111111109</v>
      </c>
      <c r="V6" s="128">
        <v>0.67708333333333337</v>
      </c>
      <c r="W6" s="128">
        <v>0.69374999999999998</v>
      </c>
      <c r="X6" s="128">
        <v>0.70972222222222225</v>
      </c>
      <c r="Y6" s="128">
        <v>0.72638888888888886</v>
      </c>
      <c r="Z6" s="128">
        <v>0.74236111111111114</v>
      </c>
      <c r="AA6" s="128">
        <v>0.75902777777777775</v>
      </c>
      <c r="AB6" s="128">
        <v>0.77430555555555558</v>
      </c>
      <c r="AC6" s="128">
        <v>0.80486111111111114</v>
      </c>
      <c r="AD6" s="128">
        <v>0.81666666666666665</v>
      </c>
    </row>
    <row r="7" spans="1:31">
      <c r="A7" s="6" t="s">
        <v>95</v>
      </c>
      <c r="B7" s="6" t="s">
        <v>96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</row>
    <row r="8" spans="1:31">
      <c r="A8" s="6" t="s">
        <v>97</v>
      </c>
      <c r="B8" s="6" t="s">
        <v>98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</row>
    <row r="9" spans="1:31">
      <c r="A9" s="6" t="s">
        <v>99</v>
      </c>
      <c r="B9" s="6" t="s">
        <v>100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</row>
    <row r="10" spans="1:31">
      <c r="A10" s="6" t="s">
        <v>101</v>
      </c>
      <c r="B10" s="6" t="s">
        <v>102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</row>
    <row r="11" spans="1:31">
      <c r="A11" s="6" t="s">
        <v>20</v>
      </c>
      <c r="B11" s="6" t="s">
        <v>21</v>
      </c>
      <c r="C11" s="128">
        <v>0.22638888888888889</v>
      </c>
      <c r="D11" s="128">
        <v>0.24236111111111111</v>
      </c>
      <c r="E11" s="128">
        <v>0.2590277777777778</v>
      </c>
      <c r="F11" s="128">
        <v>0.27500000000000002</v>
      </c>
      <c r="G11" s="128">
        <v>0.29166666666666669</v>
      </c>
      <c r="H11" s="128">
        <v>0.30763888888888891</v>
      </c>
      <c r="I11" s="128">
        <v>0.32430555555555557</v>
      </c>
      <c r="J11" s="128">
        <v>0.34027777777777779</v>
      </c>
      <c r="K11" s="128">
        <v>0.35694444444444445</v>
      </c>
      <c r="L11" s="128">
        <v>0.37291666666666667</v>
      </c>
      <c r="M11" s="128">
        <v>0.40555555555555556</v>
      </c>
      <c r="N11" s="128">
        <v>0.45416666666666666</v>
      </c>
      <c r="O11" s="128">
        <v>0.47986111111111113</v>
      </c>
      <c r="P11" s="128">
        <v>0.50277777777777777</v>
      </c>
      <c r="Q11" s="128">
        <v>0.55138888888888893</v>
      </c>
      <c r="R11" s="128">
        <v>0.57708333333333328</v>
      </c>
      <c r="S11" s="128">
        <v>0.6</v>
      </c>
      <c r="T11" s="128">
        <v>0.65</v>
      </c>
      <c r="U11" s="128">
        <v>0.66666666666666663</v>
      </c>
      <c r="V11" s="128">
        <v>0.68263888888888891</v>
      </c>
      <c r="W11" s="128">
        <v>0.69930555555555551</v>
      </c>
      <c r="X11" s="128">
        <v>0.71527777777777779</v>
      </c>
      <c r="Y11" s="128">
        <v>0.7319444444444444</v>
      </c>
      <c r="Z11" s="128">
        <v>0.74791666666666667</v>
      </c>
      <c r="AA11" s="128">
        <v>0.76458333333333328</v>
      </c>
      <c r="AB11" s="128">
        <v>0.77986111111111112</v>
      </c>
      <c r="AC11" s="128">
        <v>0.81041666666666667</v>
      </c>
      <c r="AD11" s="128">
        <v>0.82222222222222219</v>
      </c>
    </row>
    <row r="12" spans="1:31">
      <c r="A12" s="6" t="s">
        <v>103</v>
      </c>
      <c r="B12" s="6" t="s">
        <v>104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</row>
    <row r="13" spans="1:31">
      <c r="A13" s="6" t="s">
        <v>18</v>
      </c>
      <c r="B13" s="6" t="s">
        <v>19</v>
      </c>
      <c r="C13" s="128">
        <v>0.2298611111111111</v>
      </c>
      <c r="D13" s="128">
        <v>0.24583333333333332</v>
      </c>
      <c r="E13" s="128">
        <v>0.26250000000000001</v>
      </c>
      <c r="F13" s="128">
        <v>0.27847222222222223</v>
      </c>
      <c r="G13" s="128">
        <v>0.2951388888888889</v>
      </c>
      <c r="H13" s="128">
        <v>0.31111111111111112</v>
      </c>
      <c r="I13" s="128">
        <v>0.32777777777777778</v>
      </c>
      <c r="J13" s="128">
        <v>0.34375</v>
      </c>
      <c r="K13" s="128">
        <v>0.36041666666666666</v>
      </c>
      <c r="L13" s="128">
        <v>0.37638888888888888</v>
      </c>
      <c r="M13" s="128">
        <v>0.40902777777777777</v>
      </c>
      <c r="N13" s="128">
        <v>0.45763888888888887</v>
      </c>
      <c r="O13" s="128">
        <v>0.48333333333333334</v>
      </c>
      <c r="P13" s="128">
        <v>0.50624999999999998</v>
      </c>
      <c r="Q13" s="128">
        <v>0.55486111111111114</v>
      </c>
      <c r="R13" s="128">
        <v>0.5805555555555556</v>
      </c>
      <c r="S13" s="128">
        <v>0.60347222222222219</v>
      </c>
      <c r="T13" s="128">
        <v>0.65347222222222223</v>
      </c>
      <c r="U13" s="128">
        <v>0.67013888888888884</v>
      </c>
      <c r="V13" s="128">
        <v>0.68611111111111112</v>
      </c>
      <c r="W13" s="128">
        <v>0.70277777777777772</v>
      </c>
      <c r="X13" s="128">
        <v>0.71875</v>
      </c>
      <c r="Y13" s="128">
        <v>0.73541666666666672</v>
      </c>
      <c r="Z13" s="128">
        <v>0.75138888888888888</v>
      </c>
      <c r="AA13" s="128">
        <v>0.7680555555555556</v>
      </c>
      <c r="AB13" s="128">
        <v>0.78333333333333333</v>
      </c>
      <c r="AC13" s="128">
        <v>0.81388888888888888</v>
      </c>
      <c r="AD13" s="128">
        <v>0.8256944444444444</v>
      </c>
    </row>
    <row r="14" spans="1:31">
      <c r="A14" s="6" t="s">
        <v>105</v>
      </c>
      <c r="B14" s="6" t="s">
        <v>106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1:31">
      <c r="A15" s="6" t="s">
        <v>16</v>
      </c>
      <c r="B15" s="6" t="s">
        <v>17</v>
      </c>
      <c r="C15" s="128">
        <v>0.23472222222222222</v>
      </c>
      <c r="D15" s="128">
        <v>0.25069444444444444</v>
      </c>
      <c r="E15" s="128">
        <v>0.2673611111111111</v>
      </c>
      <c r="F15" s="128">
        <v>0.28333333333333333</v>
      </c>
      <c r="G15" s="128">
        <v>0.3</v>
      </c>
      <c r="H15" s="128">
        <v>0.31597222222222221</v>
      </c>
      <c r="I15" s="128">
        <v>0.33263888888888887</v>
      </c>
      <c r="J15" s="128">
        <v>0.34861111111111109</v>
      </c>
      <c r="K15" s="128">
        <v>0.36527777777777776</v>
      </c>
      <c r="L15" s="128">
        <v>0.38124999999999998</v>
      </c>
      <c r="M15" s="128">
        <v>0.41388888888888886</v>
      </c>
      <c r="N15" s="128">
        <v>0.46250000000000002</v>
      </c>
      <c r="O15" s="128">
        <v>0.48819444444444443</v>
      </c>
      <c r="P15" s="128">
        <v>0.51111111111111107</v>
      </c>
      <c r="Q15" s="128">
        <v>0.55972222222222223</v>
      </c>
      <c r="R15" s="128">
        <v>0.5854166666666667</v>
      </c>
      <c r="S15" s="128">
        <v>0.60833333333333328</v>
      </c>
      <c r="T15" s="128">
        <v>0.65833333333333333</v>
      </c>
      <c r="U15" s="128">
        <v>0.67500000000000004</v>
      </c>
      <c r="V15" s="128">
        <v>0.69097222222222221</v>
      </c>
      <c r="W15" s="128">
        <v>0.70763888888888893</v>
      </c>
      <c r="X15" s="128">
        <v>0.72361111111111109</v>
      </c>
      <c r="Y15" s="128">
        <v>0.74027777777777781</v>
      </c>
      <c r="Z15" s="128">
        <v>0.75624999999999998</v>
      </c>
      <c r="AA15" s="128">
        <v>0.7729166666666667</v>
      </c>
      <c r="AB15" s="128">
        <v>0.78819444444444442</v>
      </c>
      <c r="AC15" s="128">
        <v>0.81874999999999998</v>
      </c>
      <c r="AD15" s="128">
        <v>0.8305555555555556</v>
      </c>
    </row>
    <row r="16" spans="1:31">
      <c r="A16" s="6" t="s">
        <v>14</v>
      </c>
      <c r="B16" s="6" t="s">
        <v>15</v>
      </c>
      <c r="C16" s="128">
        <v>0.23749999999999999</v>
      </c>
      <c r="D16" s="128">
        <v>0.25347222222222221</v>
      </c>
      <c r="E16" s="128">
        <v>0.27013888888888887</v>
      </c>
      <c r="F16" s="128">
        <v>0.28611111111111109</v>
      </c>
      <c r="G16" s="128">
        <v>0.30277777777777776</v>
      </c>
      <c r="H16" s="128">
        <v>0.31874999999999998</v>
      </c>
      <c r="I16" s="128">
        <v>0.33541666666666664</v>
      </c>
      <c r="J16" s="128">
        <v>0.35138888888888886</v>
      </c>
      <c r="K16" s="128">
        <v>0.36805555555555558</v>
      </c>
      <c r="L16" s="128">
        <v>0.3840277777777778</v>
      </c>
      <c r="M16" s="128">
        <v>0.41666666666666669</v>
      </c>
      <c r="N16" s="128">
        <v>0.46527777777777779</v>
      </c>
      <c r="O16" s="128">
        <v>0.4909722222222222</v>
      </c>
      <c r="P16" s="128">
        <v>0.51388888888888884</v>
      </c>
      <c r="Q16" s="128">
        <v>0.5625</v>
      </c>
      <c r="R16" s="128">
        <v>0.58819444444444446</v>
      </c>
      <c r="S16" s="128">
        <v>0.61111111111111116</v>
      </c>
      <c r="T16" s="128">
        <v>0.66111111111111109</v>
      </c>
      <c r="U16" s="128">
        <v>0.67777777777777781</v>
      </c>
      <c r="V16" s="128">
        <v>0.69374999999999998</v>
      </c>
      <c r="W16" s="128">
        <v>0.7104166666666667</v>
      </c>
      <c r="X16" s="128">
        <v>0.72638888888888886</v>
      </c>
      <c r="Y16" s="128">
        <v>0.74305555555555558</v>
      </c>
      <c r="Z16" s="128">
        <v>0.75902777777777775</v>
      </c>
      <c r="AA16" s="128">
        <v>0.77569444444444446</v>
      </c>
      <c r="AB16" s="128">
        <v>0.79097222222222219</v>
      </c>
      <c r="AC16" s="128">
        <v>0.82152777777777775</v>
      </c>
      <c r="AD16" s="128">
        <v>0.83333333333333337</v>
      </c>
    </row>
    <row r="17" spans="1:30">
      <c r="A17" s="6" t="s">
        <v>12</v>
      </c>
      <c r="B17" s="6" t="s">
        <v>13</v>
      </c>
      <c r="C17" s="128">
        <v>0.24097222222222223</v>
      </c>
      <c r="D17" s="128">
        <v>0.25694444444444442</v>
      </c>
      <c r="E17" s="128">
        <v>0.27361111111111114</v>
      </c>
      <c r="F17" s="128">
        <v>0.28958333333333336</v>
      </c>
      <c r="G17" s="128">
        <v>0.30625000000000002</v>
      </c>
      <c r="H17" s="128">
        <v>0.32222222222222224</v>
      </c>
      <c r="I17" s="128">
        <v>0.33888888888888891</v>
      </c>
      <c r="J17" s="128">
        <v>0.35486111111111113</v>
      </c>
      <c r="K17" s="128">
        <v>0.37152777777777779</v>
      </c>
      <c r="L17" s="128">
        <v>0.38750000000000001</v>
      </c>
      <c r="M17" s="128">
        <v>0.4201388888888889</v>
      </c>
      <c r="N17" s="128">
        <v>0.46875</v>
      </c>
      <c r="O17" s="128">
        <v>0.49444444444444446</v>
      </c>
      <c r="P17" s="128">
        <v>0.51736111111111116</v>
      </c>
      <c r="Q17" s="128">
        <v>0.56597222222222221</v>
      </c>
      <c r="R17" s="128">
        <v>0.59166666666666667</v>
      </c>
      <c r="S17" s="128">
        <v>0.61458333333333337</v>
      </c>
      <c r="T17" s="128">
        <v>0.6645833333333333</v>
      </c>
      <c r="U17" s="128">
        <v>0.68125000000000002</v>
      </c>
      <c r="V17" s="128">
        <v>0.69722222222222219</v>
      </c>
      <c r="W17" s="128">
        <v>0.71388888888888891</v>
      </c>
      <c r="X17" s="128">
        <v>0.72986111111111107</v>
      </c>
      <c r="Y17" s="128">
        <v>0.74652777777777779</v>
      </c>
      <c r="Z17" s="128">
        <v>0.76249999999999996</v>
      </c>
      <c r="AA17" s="128">
        <v>0.77916666666666667</v>
      </c>
      <c r="AB17" s="128">
        <v>0.7944444444444444</v>
      </c>
      <c r="AC17" s="128">
        <v>0.82499999999999996</v>
      </c>
      <c r="AD17" s="128">
        <v>0.83680555555555558</v>
      </c>
    </row>
    <row r="18" spans="1:30">
      <c r="A18" s="6" t="s">
        <v>107</v>
      </c>
      <c r="B18" s="6" t="s">
        <v>108</v>
      </c>
      <c r="C18" s="128">
        <v>0.24583333333333332</v>
      </c>
      <c r="D18" s="128">
        <v>0.26180555555555557</v>
      </c>
      <c r="E18" s="128">
        <v>0.27847222222222223</v>
      </c>
      <c r="F18" s="128">
        <v>0.29444444444444445</v>
      </c>
      <c r="G18" s="128">
        <v>0.31111111111111112</v>
      </c>
      <c r="H18" s="128">
        <v>0.32708333333333334</v>
      </c>
      <c r="I18" s="128">
        <v>0.34375</v>
      </c>
      <c r="J18" s="128">
        <v>0.35972222222222222</v>
      </c>
      <c r="K18" s="128">
        <v>0.37638888888888888</v>
      </c>
      <c r="L18" s="128">
        <v>0.3923611111111111</v>
      </c>
      <c r="M18" s="128">
        <v>0.42499999999999999</v>
      </c>
      <c r="N18" s="128">
        <v>0.47361111111111109</v>
      </c>
      <c r="O18" s="128">
        <v>0.49930555555555556</v>
      </c>
      <c r="P18" s="128">
        <v>0.52222222222222225</v>
      </c>
      <c r="Q18" s="128">
        <v>0.5708333333333333</v>
      </c>
      <c r="R18" s="128">
        <v>0.59652777777777777</v>
      </c>
      <c r="S18" s="128">
        <v>0.61944444444444446</v>
      </c>
      <c r="T18" s="128">
        <v>0.6694444444444444</v>
      </c>
      <c r="U18" s="128">
        <v>0.68611111111111112</v>
      </c>
      <c r="V18" s="128">
        <v>0.70208333333333328</v>
      </c>
      <c r="W18" s="128">
        <v>0.71875</v>
      </c>
      <c r="X18" s="128">
        <v>0.73472222222222228</v>
      </c>
      <c r="Y18" s="128">
        <v>0.75138888888888888</v>
      </c>
      <c r="Z18" s="128">
        <v>0.76736111111111116</v>
      </c>
      <c r="AA18" s="128">
        <v>0.78402777777777777</v>
      </c>
      <c r="AB18" s="128">
        <v>0.7993055555555556</v>
      </c>
      <c r="AC18" s="128">
        <v>0.82986111111111116</v>
      </c>
      <c r="AD18" s="128">
        <v>0.84166666666666667</v>
      </c>
    </row>
    <row r="19" spans="1:30">
      <c r="A19" s="6" t="s">
        <v>109</v>
      </c>
      <c r="B19" s="70" t="s">
        <v>110</v>
      </c>
      <c r="C19" s="128">
        <v>0.24930555555555556</v>
      </c>
      <c r="D19" s="128">
        <v>0.26527777777777778</v>
      </c>
      <c r="E19" s="128">
        <v>0.28194444444444444</v>
      </c>
      <c r="F19" s="128">
        <v>0.29791666666666666</v>
      </c>
      <c r="G19" s="128">
        <v>0.31458333333333333</v>
      </c>
      <c r="H19" s="128">
        <v>0.33055555555555555</v>
      </c>
      <c r="I19" s="128">
        <v>0.34722222222222221</v>
      </c>
      <c r="J19" s="128">
        <v>0.36319444444444443</v>
      </c>
      <c r="K19" s="128">
        <v>0.37986111111111109</v>
      </c>
      <c r="L19" s="128">
        <v>0.39583333333333331</v>
      </c>
      <c r="M19" s="128">
        <v>0.4284722222222222</v>
      </c>
      <c r="N19" s="128">
        <v>0.47708333333333336</v>
      </c>
      <c r="O19" s="128">
        <v>0.50277777777777777</v>
      </c>
      <c r="P19" s="128">
        <v>0.52569444444444446</v>
      </c>
      <c r="Q19" s="128">
        <v>0.57430555555555551</v>
      </c>
      <c r="R19" s="128">
        <v>0.6</v>
      </c>
      <c r="S19" s="128">
        <v>0.62291666666666667</v>
      </c>
      <c r="T19" s="128">
        <v>0.67291666666666672</v>
      </c>
      <c r="U19" s="128">
        <v>0.68958333333333333</v>
      </c>
      <c r="V19" s="128">
        <v>0.7055555555555556</v>
      </c>
      <c r="W19" s="128">
        <v>0.72222222222222221</v>
      </c>
      <c r="X19" s="128">
        <v>0.73819444444444449</v>
      </c>
      <c r="Y19" s="128">
        <v>0.75486111111111109</v>
      </c>
      <c r="Z19" s="128">
        <v>0.77083333333333337</v>
      </c>
      <c r="AA19" s="128">
        <v>0.78749999999999998</v>
      </c>
      <c r="AB19" s="128">
        <v>0.80277777777777781</v>
      </c>
      <c r="AC19" s="128">
        <v>0.83333333333333337</v>
      </c>
      <c r="AD19" s="128">
        <v>0.84513888888888888</v>
      </c>
    </row>
    <row r="20" spans="1:30">
      <c r="A20" s="6" t="s">
        <v>111</v>
      </c>
      <c r="B20" s="6" t="s">
        <v>112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</row>
    <row r="21" spans="1:30">
      <c r="A21" s="6" t="s">
        <v>113</v>
      </c>
      <c r="B21" s="6" t="s">
        <v>114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</row>
    <row r="22" spans="1:30">
      <c r="A22" s="6" t="s">
        <v>115</v>
      </c>
      <c r="B22" s="6" t="s">
        <v>116</v>
      </c>
      <c r="C22" s="128">
        <v>0.25833333333333336</v>
      </c>
      <c r="D22" s="128">
        <v>0.27430555555555558</v>
      </c>
      <c r="E22" s="128">
        <v>0.29097222222222224</v>
      </c>
      <c r="F22" s="128">
        <v>0.30694444444444446</v>
      </c>
      <c r="G22" s="128">
        <v>0.32361111111111113</v>
      </c>
      <c r="H22" s="128">
        <v>0.33958333333333335</v>
      </c>
      <c r="I22" s="128">
        <v>0.35625000000000001</v>
      </c>
      <c r="J22" s="128">
        <v>0.37222222222222223</v>
      </c>
      <c r="K22" s="128">
        <v>0.3888888888888889</v>
      </c>
      <c r="L22" s="128">
        <v>0.40486111111111112</v>
      </c>
      <c r="M22" s="128">
        <v>0.4375</v>
      </c>
      <c r="N22" s="128">
        <v>0.4861111111111111</v>
      </c>
      <c r="O22" s="128">
        <v>0.51180555555555551</v>
      </c>
      <c r="P22" s="128">
        <v>0.53472222222222221</v>
      </c>
      <c r="Q22" s="128">
        <v>0.58333333333333337</v>
      </c>
      <c r="R22" s="128">
        <v>0.60902777777777772</v>
      </c>
      <c r="S22" s="128">
        <v>0.63194444444444442</v>
      </c>
      <c r="T22" s="128">
        <v>0.68194444444444446</v>
      </c>
      <c r="U22" s="128">
        <v>0.69861111111111107</v>
      </c>
      <c r="V22" s="128">
        <v>0.71458333333333335</v>
      </c>
      <c r="W22" s="128">
        <v>0.73124999999999996</v>
      </c>
      <c r="X22" s="128">
        <v>0.74722222222222223</v>
      </c>
      <c r="Y22" s="128">
        <v>0.76388888888888884</v>
      </c>
      <c r="Z22" s="128">
        <v>0.77986111111111112</v>
      </c>
      <c r="AA22" s="128">
        <v>0.79652777777777772</v>
      </c>
      <c r="AB22" s="128">
        <v>0.81180555555555556</v>
      </c>
      <c r="AC22" s="128">
        <v>0.84236111111111112</v>
      </c>
      <c r="AD22" s="128">
        <v>0.85416666666666663</v>
      </c>
    </row>
    <row r="23" spans="1:30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1:30"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 spans="1:3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40"/>
      <c r="V25" s="40"/>
      <c r="W25" s="40"/>
    </row>
    <row r="26" spans="1:30" ht="12.75">
      <c r="A26" s="8"/>
      <c r="B26" s="8"/>
    </row>
    <row r="27" spans="1:30" ht="12.75">
      <c r="A27" s="10"/>
      <c r="B27" s="11"/>
    </row>
    <row r="28" spans="1:30" ht="12.75">
      <c r="A28" s="10"/>
      <c r="B28" s="11"/>
    </row>
    <row r="29" spans="1:30" ht="12.75">
      <c r="A29" s="10"/>
      <c r="B29" s="11"/>
    </row>
    <row r="30" spans="1:30" ht="12.75">
      <c r="A30" s="10"/>
      <c r="B30" s="11"/>
    </row>
    <row r="31" spans="1:30" ht="12.75">
      <c r="A31" s="10"/>
      <c r="B31" s="11"/>
    </row>
    <row r="32" spans="1:30" ht="12.75">
      <c r="A32" s="10"/>
      <c r="B32" s="11"/>
    </row>
    <row r="33" spans="1:2" ht="12.75">
      <c r="A33" s="10"/>
      <c r="B33" s="11"/>
    </row>
    <row r="34" spans="1:2" ht="12.75">
      <c r="A34" s="10"/>
      <c r="B34" s="11"/>
    </row>
    <row r="35" spans="1:2" ht="12.75">
      <c r="A35" s="10"/>
      <c r="B35" s="11"/>
    </row>
    <row r="36" spans="1:2" ht="12.75">
      <c r="A36" s="10"/>
      <c r="B36" s="11"/>
    </row>
    <row r="37" spans="1:2" ht="12.75">
      <c r="A37" s="10"/>
      <c r="B37" s="11"/>
    </row>
    <row r="38" spans="1:2" ht="12.75">
      <c r="A38" s="10"/>
      <c r="B38" s="11"/>
    </row>
    <row r="39" spans="1:2" ht="12.75">
      <c r="A39" s="10"/>
      <c r="B39" s="11"/>
    </row>
    <row r="40" spans="1:2" ht="12.75">
      <c r="A40" s="10"/>
      <c r="B40" s="11"/>
    </row>
    <row r="41" spans="1:2" ht="12.75">
      <c r="A41" s="10"/>
      <c r="B41" s="11"/>
    </row>
    <row r="42" spans="1:2" ht="12.75">
      <c r="A42" s="10"/>
      <c r="B42" s="11"/>
    </row>
    <row r="43" spans="1:2" ht="12.75">
      <c r="A43" s="10"/>
      <c r="B43" s="11"/>
    </row>
    <row r="44" spans="1:2" ht="12.75">
      <c r="A44" s="10"/>
      <c r="B44" s="11"/>
    </row>
    <row r="45" spans="1:2" ht="12.75">
      <c r="A45" s="10"/>
      <c r="B45" s="11"/>
    </row>
    <row r="46" spans="1:2" ht="12.75">
      <c r="A46" s="10"/>
      <c r="B46" s="11"/>
    </row>
    <row r="47" spans="1:2" ht="12.75">
      <c r="A47" s="10"/>
      <c r="B47" s="11"/>
    </row>
    <row r="48" spans="1:2" ht="12.75">
      <c r="A48" s="10"/>
      <c r="B48" s="11"/>
    </row>
    <row r="49" spans="1:2" ht="12.75">
      <c r="A49" s="10"/>
      <c r="B49" s="11"/>
    </row>
    <row r="50" spans="1:2" ht="12.75">
      <c r="A50" s="10"/>
      <c r="B50" s="11"/>
    </row>
    <row r="51" spans="1:2" ht="12.75">
      <c r="A51" s="10"/>
      <c r="B51" s="11"/>
    </row>
    <row r="52" spans="1:2" ht="12.75">
      <c r="A52" s="10"/>
      <c r="B52" s="11"/>
    </row>
    <row r="53" spans="1:2" ht="12.75">
      <c r="A53" s="10"/>
      <c r="B53" s="11"/>
    </row>
    <row r="54" spans="1:2" ht="12.75">
      <c r="A54" s="10"/>
      <c r="B54" s="11"/>
    </row>
    <row r="55" spans="1:2" ht="12.75">
      <c r="A55" s="10"/>
      <c r="B55" s="11"/>
    </row>
    <row r="56" spans="1:2" ht="12.75">
      <c r="A56" s="10"/>
      <c r="B56" s="11"/>
    </row>
    <row r="57" spans="1:2" ht="12.75">
      <c r="A57" s="10"/>
      <c r="B57" s="11"/>
    </row>
    <row r="58" spans="1:2" ht="12.75">
      <c r="A58" s="10"/>
      <c r="B58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00"/>
    <outlinePr summaryBelow="0" summaryRight="0"/>
  </sheetPr>
  <dimension ref="A1:AF62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32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2</v>
      </c>
      <c r="B2" s="1" t="s">
        <v>3</v>
      </c>
      <c r="C2" s="127">
        <v>1800</v>
      </c>
      <c r="D2" s="127">
        <v>1802</v>
      </c>
      <c r="E2" s="127">
        <v>1804</v>
      </c>
      <c r="F2" s="127">
        <v>1806</v>
      </c>
      <c r="G2" s="127">
        <v>1808</v>
      </c>
      <c r="H2" s="127">
        <v>1810</v>
      </c>
      <c r="I2" s="127">
        <v>1812</v>
      </c>
      <c r="J2" s="127">
        <v>1814</v>
      </c>
      <c r="K2" s="127">
        <v>1816</v>
      </c>
      <c r="L2" s="127">
        <v>1818</v>
      </c>
      <c r="M2" s="127">
        <v>1820</v>
      </c>
      <c r="N2" s="127">
        <v>1822</v>
      </c>
      <c r="O2" s="127">
        <v>1824</v>
      </c>
      <c r="P2" s="127">
        <v>1826</v>
      </c>
      <c r="Q2" s="127">
        <v>1836</v>
      </c>
      <c r="R2" s="127">
        <v>1828</v>
      </c>
      <c r="S2" s="127">
        <v>1830</v>
      </c>
      <c r="T2" s="127">
        <v>1838</v>
      </c>
      <c r="U2" s="127">
        <v>1832</v>
      </c>
      <c r="V2" s="127">
        <v>1834</v>
      </c>
      <c r="W2" s="127">
        <v>1840</v>
      </c>
      <c r="X2" s="127">
        <v>1850</v>
      </c>
      <c r="Y2" s="127">
        <v>1852</v>
      </c>
      <c r="Z2" s="127">
        <v>1854</v>
      </c>
      <c r="AA2" s="127">
        <v>1856</v>
      </c>
      <c r="AB2" s="127">
        <v>1858</v>
      </c>
      <c r="AC2" s="127">
        <v>1860</v>
      </c>
      <c r="AD2" s="127">
        <v>1862</v>
      </c>
      <c r="AE2" s="127">
        <v>1864</v>
      </c>
      <c r="AF2" s="1"/>
    </row>
    <row r="3" spans="1:32">
      <c r="A3" s="4" t="s">
        <v>115</v>
      </c>
      <c r="B3" s="4" t="s">
        <v>116</v>
      </c>
      <c r="C3" s="80">
        <v>0.16805555555555557</v>
      </c>
      <c r="D3" s="80">
        <v>0.18402777777777779</v>
      </c>
      <c r="E3" s="80">
        <v>0.20069444444444445</v>
      </c>
      <c r="F3" s="80">
        <v>0.21666666666666667</v>
      </c>
      <c r="G3" s="80">
        <v>0.23333333333333334</v>
      </c>
      <c r="H3" s="80">
        <v>0.24930555555555556</v>
      </c>
      <c r="I3" s="80">
        <v>0.26597222222222222</v>
      </c>
      <c r="J3" s="80">
        <v>0.28194444444444444</v>
      </c>
      <c r="K3" s="80">
        <v>0.2986111111111111</v>
      </c>
      <c r="L3" s="80">
        <v>0.31458333333333333</v>
      </c>
      <c r="M3" s="80">
        <v>0.33124999999999999</v>
      </c>
      <c r="N3" s="80">
        <v>0.34722222222222221</v>
      </c>
      <c r="O3" s="80">
        <v>0.36388888888888887</v>
      </c>
      <c r="P3" s="80">
        <v>0.39583333333333331</v>
      </c>
      <c r="Q3" s="80">
        <v>0.42152777777777778</v>
      </c>
      <c r="R3" s="80">
        <v>0.44444444444444442</v>
      </c>
      <c r="S3" s="80">
        <v>0.49305555555555558</v>
      </c>
      <c r="T3" s="80">
        <v>0.51875000000000004</v>
      </c>
      <c r="U3" s="80">
        <v>0.54166666666666663</v>
      </c>
      <c r="V3" s="80">
        <v>0.59027777777777779</v>
      </c>
      <c r="W3" s="80">
        <v>0.62152777777777779</v>
      </c>
      <c r="X3" s="80">
        <v>0.64027777777777772</v>
      </c>
      <c r="Y3" s="80">
        <v>0.65763888888888888</v>
      </c>
      <c r="Z3" s="80">
        <v>0.67291666666666672</v>
      </c>
      <c r="AA3" s="80">
        <v>0.68958333333333333</v>
      </c>
      <c r="AB3" s="80">
        <v>0.70625000000000004</v>
      </c>
      <c r="AC3" s="80">
        <v>0.72222222222222221</v>
      </c>
      <c r="AD3" s="80">
        <v>0.73819444444444449</v>
      </c>
      <c r="AE3" s="80">
        <v>0.75486111111111109</v>
      </c>
    </row>
    <row r="4" spans="1:32">
      <c r="A4" s="6" t="s">
        <v>113</v>
      </c>
      <c r="B4" s="6" t="s">
        <v>114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</row>
    <row r="5" spans="1:32">
      <c r="A5" s="6" t="s">
        <v>111</v>
      </c>
      <c r="B5" s="6" t="s">
        <v>112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</row>
    <row r="6" spans="1:32">
      <c r="A6" s="6" t="s">
        <v>109</v>
      </c>
      <c r="B6" s="6" t="s">
        <v>110</v>
      </c>
      <c r="C6" s="128">
        <v>0.1763888888888889</v>
      </c>
      <c r="D6" s="128">
        <v>0.19236111111111112</v>
      </c>
      <c r="E6" s="128">
        <v>0.20902777777777778</v>
      </c>
      <c r="F6" s="128">
        <v>0.22500000000000001</v>
      </c>
      <c r="G6" s="128">
        <v>0.24166666666666667</v>
      </c>
      <c r="H6" s="128">
        <v>0.25763888888888886</v>
      </c>
      <c r="I6" s="128">
        <v>0.27430555555555558</v>
      </c>
      <c r="J6" s="128">
        <v>0.2902777777777778</v>
      </c>
      <c r="K6" s="128">
        <v>0.30694444444444446</v>
      </c>
      <c r="L6" s="128">
        <v>0.32291666666666669</v>
      </c>
      <c r="M6" s="128">
        <v>0.33958333333333335</v>
      </c>
      <c r="N6" s="128">
        <v>0.35555555555555557</v>
      </c>
      <c r="O6" s="128">
        <v>0.37222222222222223</v>
      </c>
      <c r="P6" s="128">
        <v>0.40416666666666667</v>
      </c>
      <c r="Q6" s="128">
        <v>0.42986111111111114</v>
      </c>
      <c r="R6" s="128">
        <v>0.45277777777777778</v>
      </c>
      <c r="S6" s="128">
        <v>0.50138888888888888</v>
      </c>
      <c r="T6" s="128">
        <v>0.52708333333333335</v>
      </c>
      <c r="U6" s="128">
        <v>0.55000000000000004</v>
      </c>
      <c r="V6" s="128">
        <v>0.59861111111111109</v>
      </c>
      <c r="W6" s="128">
        <v>0.62986111111111109</v>
      </c>
      <c r="X6" s="128">
        <v>0.64861111111111114</v>
      </c>
      <c r="Y6" s="128">
        <v>0.66597222222222219</v>
      </c>
      <c r="Z6" s="128">
        <v>0.68125000000000002</v>
      </c>
      <c r="AA6" s="128">
        <v>0.69791666666666663</v>
      </c>
      <c r="AB6" s="128">
        <v>0.71458333333333335</v>
      </c>
      <c r="AC6" s="128">
        <v>0.73055555555555551</v>
      </c>
      <c r="AD6" s="128">
        <v>0.74652777777777779</v>
      </c>
      <c r="AE6" s="128">
        <v>0.7631944444444444</v>
      </c>
    </row>
    <row r="7" spans="1:32">
      <c r="A7" s="6" t="s">
        <v>107</v>
      </c>
      <c r="B7" s="6" t="s">
        <v>108</v>
      </c>
      <c r="C7" s="128">
        <v>0.18055555555555555</v>
      </c>
      <c r="D7" s="128">
        <v>0.19652777777777777</v>
      </c>
      <c r="E7" s="128">
        <v>0.21319444444444444</v>
      </c>
      <c r="F7" s="128">
        <v>0.22916666666666666</v>
      </c>
      <c r="G7" s="128">
        <v>0.24583333333333332</v>
      </c>
      <c r="H7" s="128">
        <v>0.26180555555555557</v>
      </c>
      <c r="I7" s="128">
        <v>0.27847222222222223</v>
      </c>
      <c r="J7" s="128">
        <v>0.29444444444444445</v>
      </c>
      <c r="K7" s="128">
        <v>0.31111111111111112</v>
      </c>
      <c r="L7" s="128">
        <v>0.32708333333333334</v>
      </c>
      <c r="M7" s="128">
        <v>0.34375</v>
      </c>
      <c r="N7" s="128">
        <v>0.35972222222222222</v>
      </c>
      <c r="O7" s="128">
        <v>0.37638888888888888</v>
      </c>
      <c r="P7" s="128">
        <v>0.40833333333333333</v>
      </c>
      <c r="Q7" s="128">
        <v>0.43402777777777779</v>
      </c>
      <c r="R7" s="128">
        <v>0.45694444444444443</v>
      </c>
      <c r="S7" s="128">
        <v>0.50555555555555554</v>
      </c>
      <c r="T7" s="128">
        <v>0.53125</v>
      </c>
      <c r="U7" s="128">
        <v>0.5541666666666667</v>
      </c>
      <c r="V7" s="128">
        <v>0.60277777777777775</v>
      </c>
      <c r="W7" s="128">
        <v>0.63402777777777775</v>
      </c>
      <c r="X7" s="128">
        <v>0.65277777777777779</v>
      </c>
      <c r="Y7" s="128">
        <v>0.67013888888888884</v>
      </c>
      <c r="Z7" s="128">
        <v>0.68541666666666667</v>
      </c>
      <c r="AA7" s="128">
        <v>0.70208333333333328</v>
      </c>
      <c r="AB7" s="128">
        <v>0.71875</v>
      </c>
      <c r="AC7" s="128">
        <v>0.73472222222222228</v>
      </c>
      <c r="AD7" s="128">
        <v>0.75069444444444444</v>
      </c>
      <c r="AE7" s="128">
        <v>0.76736111111111116</v>
      </c>
    </row>
    <row r="8" spans="1:32">
      <c r="A8" s="6" t="s">
        <v>12</v>
      </c>
      <c r="B8" s="6" t="s">
        <v>13</v>
      </c>
      <c r="C8" s="128">
        <v>0.18541666666666667</v>
      </c>
      <c r="D8" s="128">
        <v>0.2013888888888889</v>
      </c>
      <c r="E8" s="128">
        <v>0.21805555555555556</v>
      </c>
      <c r="F8" s="128">
        <v>0.23402777777777778</v>
      </c>
      <c r="G8" s="128">
        <v>0.25069444444444444</v>
      </c>
      <c r="H8" s="128">
        <v>0.26666666666666666</v>
      </c>
      <c r="I8" s="128">
        <v>0.28333333333333333</v>
      </c>
      <c r="J8" s="128">
        <v>0.29930555555555555</v>
      </c>
      <c r="K8" s="128">
        <v>0.31597222222222221</v>
      </c>
      <c r="L8" s="128">
        <v>0.33194444444444443</v>
      </c>
      <c r="M8" s="128">
        <v>0.34861111111111109</v>
      </c>
      <c r="N8" s="128">
        <v>0.36458333333333331</v>
      </c>
      <c r="O8" s="128">
        <v>0.38124999999999998</v>
      </c>
      <c r="P8" s="128">
        <v>0.41319444444444442</v>
      </c>
      <c r="Q8" s="128">
        <v>0.43888888888888888</v>
      </c>
      <c r="R8" s="128">
        <v>0.46180555555555558</v>
      </c>
      <c r="S8" s="128">
        <v>0.51041666666666663</v>
      </c>
      <c r="T8" s="128">
        <v>0.53611111111111109</v>
      </c>
      <c r="U8" s="128">
        <v>0.55902777777777779</v>
      </c>
      <c r="V8" s="128">
        <v>0.60763888888888884</v>
      </c>
      <c r="W8" s="128">
        <v>0.63888888888888884</v>
      </c>
      <c r="X8" s="128">
        <v>0.65763888888888888</v>
      </c>
      <c r="Y8" s="128">
        <v>0.67500000000000004</v>
      </c>
      <c r="Z8" s="128">
        <v>0.69027777777777777</v>
      </c>
      <c r="AA8" s="128">
        <v>0.70694444444444449</v>
      </c>
      <c r="AB8" s="128">
        <v>0.72361111111111109</v>
      </c>
      <c r="AC8" s="128">
        <v>0.73958333333333337</v>
      </c>
      <c r="AD8" s="128">
        <v>0.75555555555555554</v>
      </c>
      <c r="AE8" s="128">
        <v>0.77222222222222225</v>
      </c>
    </row>
    <row r="9" spans="1:32">
      <c r="A9" s="6" t="s">
        <v>14</v>
      </c>
      <c r="B9" s="6" t="s">
        <v>15</v>
      </c>
      <c r="C9" s="128">
        <v>0.18958333333333333</v>
      </c>
      <c r="D9" s="128">
        <v>0.20555555555555555</v>
      </c>
      <c r="E9" s="128">
        <v>0.22222222222222221</v>
      </c>
      <c r="F9" s="128">
        <v>0.23819444444444443</v>
      </c>
      <c r="G9" s="128">
        <v>0.25486111111111109</v>
      </c>
      <c r="H9" s="128">
        <v>0.27083333333333331</v>
      </c>
      <c r="I9" s="128">
        <v>0.28749999999999998</v>
      </c>
      <c r="J9" s="128">
        <v>0.3034722222222222</v>
      </c>
      <c r="K9" s="128">
        <v>0.32013888888888886</v>
      </c>
      <c r="L9" s="128">
        <v>0.33611111111111114</v>
      </c>
      <c r="M9" s="128">
        <v>0.3527777777777778</v>
      </c>
      <c r="N9" s="128">
        <v>0.36875000000000002</v>
      </c>
      <c r="O9" s="128">
        <v>0.38541666666666669</v>
      </c>
      <c r="P9" s="128">
        <v>0.41736111111111113</v>
      </c>
      <c r="Q9" s="128">
        <v>0.44305555555555554</v>
      </c>
      <c r="R9" s="128">
        <v>0.46597222222222223</v>
      </c>
      <c r="S9" s="128">
        <v>0.51458333333333328</v>
      </c>
      <c r="T9" s="128">
        <v>0.54027777777777775</v>
      </c>
      <c r="U9" s="128">
        <v>0.56319444444444444</v>
      </c>
      <c r="V9" s="128">
        <v>0.6118055555555556</v>
      </c>
      <c r="W9" s="128">
        <v>0.6430555555555556</v>
      </c>
      <c r="X9" s="128">
        <v>0.66180555555555554</v>
      </c>
      <c r="Y9" s="128">
        <v>0.6791666666666667</v>
      </c>
      <c r="Z9" s="128">
        <v>0.69444444444444442</v>
      </c>
      <c r="AA9" s="128">
        <v>0.71111111111111114</v>
      </c>
      <c r="AB9" s="128">
        <v>0.72777777777777775</v>
      </c>
      <c r="AC9" s="128">
        <v>0.74375000000000002</v>
      </c>
      <c r="AD9" s="128">
        <v>0.75972222222222219</v>
      </c>
      <c r="AE9" s="128">
        <v>0.77638888888888891</v>
      </c>
    </row>
    <row r="10" spans="1:32">
      <c r="A10" s="6" t="s">
        <v>16</v>
      </c>
      <c r="B10" s="6" t="s">
        <v>17</v>
      </c>
      <c r="C10" s="128">
        <v>0.19236111111111112</v>
      </c>
      <c r="D10" s="128">
        <v>0.20833333333333334</v>
      </c>
      <c r="E10" s="128">
        <v>0.22500000000000001</v>
      </c>
      <c r="F10" s="128">
        <v>0.24097222222222223</v>
      </c>
      <c r="G10" s="128">
        <v>0.25763888888888886</v>
      </c>
      <c r="H10" s="128">
        <v>0.27361111111111114</v>
      </c>
      <c r="I10" s="128">
        <v>0.2902777777777778</v>
      </c>
      <c r="J10" s="128">
        <v>0.30625000000000002</v>
      </c>
      <c r="K10" s="128">
        <v>0.32291666666666669</v>
      </c>
      <c r="L10" s="128">
        <v>0.33888888888888891</v>
      </c>
      <c r="M10" s="128">
        <v>0.35555555555555557</v>
      </c>
      <c r="N10" s="128">
        <v>0.37152777777777779</v>
      </c>
      <c r="O10" s="128">
        <v>0.38819444444444445</v>
      </c>
      <c r="P10" s="128">
        <v>0.4201388888888889</v>
      </c>
      <c r="Q10" s="128">
        <v>0.44583333333333336</v>
      </c>
      <c r="R10" s="128">
        <v>0.46875</v>
      </c>
      <c r="S10" s="128">
        <v>0.51736111111111116</v>
      </c>
      <c r="T10" s="128">
        <v>0.54305555555555551</v>
      </c>
      <c r="U10" s="128">
        <v>0.56597222222222221</v>
      </c>
      <c r="V10" s="128">
        <v>0.61458333333333337</v>
      </c>
      <c r="W10" s="128">
        <v>0.64583333333333337</v>
      </c>
      <c r="X10" s="128">
        <v>0.6645833333333333</v>
      </c>
      <c r="Y10" s="128">
        <v>0.68194444444444446</v>
      </c>
      <c r="Z10" s="128">
        <v>0.69722222222222219</v>
      </c>
      <c r="AA10" s="128">
        <v>0.71388888888888891</v>
      </c>
      <c r="AB10" s="128">
        <v>0.73055555555555551</v>
      </c>
      <c r="AC10" s="128">
        <v>0.74652777777777779</v>
      </c>
      <c r="AD10" s="128">
        <v>0.76249999999999996</v>
      </c>
      <c r="AE10" s="128">
        <v>0.77916666666666667</v>
      </c>
    </row>
    <row r="11" spans="1:32">
      <c r="A11" s="6" t="s">
        <v>105</v>
      </c>
      <c r="B11" s="6" t="s">
        <v>106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</row>
    <row r="12" spans="1:32">
      <c r="A12" s="6" t="s">
        <v>18</v>
      </c>
      <c r="B12" s="6" t="s">
        <v>19</v>
      </c>
      <c r="C12" s="128">
        <v>0.19722222222222222</v>
      </c>
      <c r="D12" s="128">
        <v>0.21319444444444444</v>
      </c>
      <c r="E12" s="128">
        <v>0.2298611111111111</v>
      </c>
      <c r="F12" s="128">
        <v>0.24583333333333332</v>
      </c>
      <c r="G12" s="128">
        <v>0.26250000000000001</v>
      </c>
      <c r="H12" s="128">
        <v>0.27847222222222223</v>
      </c>
      <c r="I12" s="128">
        <v>0.2951388888888889</v>
      </c>
      <c r="J12" s="128">
        <v>0.31111111111111112</v>
      </c>
      <c r="K12" s="128">
        <v>0.32777777777777778</v>
      </c>
      <c r="L12" s="128">
        <v>0.34375</v>
      </c>
      <c r="M12" s="128">
        <v>0.36041666666666666</v>
      </c>
      <c r="N12" s="128">
        <v>0.37638888888888888</v>
      </c>
      <c r="O12" s="128">
        <v>0.39305555555555555</v>
      </c>
      <c r="P12" s="128">
        <v>0.42499999999999999</v>
      </c>
      <c r="Q12" s="128">
        <v>0.45069444444444445</v>
      </c>
      <c r="R12" s="128">
        <v>0.47361111111111109</v>
      </c>
      <c r="S12" s="128">
        <v>0.52222222222222225</v>
      </c>
      <c r="T12" s="128">
        <v>0.54791666666666672</v>
      </c>
      <c r="U12" s="128">
        <v>0.5708333333333333</v>
      </c>
      <c r="V12" s="128">
        <v>0.61944444444444446</v>
      </c>
      <c r="W12" s="128">
        <v>0.65069444444444446</v>
      </c>
      <c r="X12" s="128">
        <v>0.6694444444444444</v>
      </c>
      <c r="Y12" s="128">
        <v>0.68680555555555556</v>
      </c>
      <c r="Z12" s="128">
        <v>0.70208333333333328</v>
      </c>
      <c r="AA12" s="128">
        <v>0.71875</v>
      </c>
      <c r="AB12" s="128">
        <v>0.73541666666666672</v>
      </c>
      <c r="AC12" s="128">
        <v>0.75138888888888888</v>
      </c>
      <c r="AD12" s="128">
        <v>0.76736111111111116</v>
      </c>
      <c r="AE12" s="128">
        <v>0.78402777777777777</v>
      </c>
    </row>
    <row r="13" spans="1:32">
      <c r="A13" s="6" t="s">
        <v>103</v>
      </c>
      <c r="B13" s="6" t="s">
        <v>104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</row>
    <row r="14" spans="1:32">
      <c r="A14" s="6" t="s">
        <v>20</v>
      </c>
      <c r="B14" s="6" t="s">
        <v>21</v>
      </c>
      <c r="C14" s="128">
        <v>0.20069444444444445</v>
      </c>
      <c r="D14" s="128">
        <v>0.21666666666666667</v>
      </c>
      <c r="E14" s="128">
        <v>0.23333333333333334</v>
      </c>
      <c r="F14" s="128">
        <v>0.24930555555555556</v>
      </c>
      <c r="G14" s="128">
        <v>0.26597222222222222</v>
      </c>
      <c r="H14" s="128">
        <v>0.28194444444444444</v>
      </c>
      <c r="I14" s="128">
        <v>0.2986111111111111</v>
      </c>
      <c r="J14" s="128">
        <v>0.31458333333333333</v>
      </c>
      <c r="K14" s="128">
        <v>0.33124999999999999</v>
      </c>
      <c r="L14" s="128">
        <v>0.34722222222222221</v>
      </c>
      <c r="M14" s="128">
        <v>0.36388888888888887</v>
      </c>
      <c r="N14" s="128">
        <v>0.37986111111111109</v>
      </c>
      <c r="O14" s="128">
        <v>0.39652777777777776</v>
      </c>
      <c r="P14" s="128">
        <v>0.4284722222222222</v>
      </c>
      <c r="Q14" s="128">
        <v>0.45416666666666666</v>
      </c>
      <c r="R14" s="128">
        <v>0.47708333333333336</v>
      </c>
      <c r="S14" s="128">
        <v>0.52569444444444446</v>
      </c>
      <c r="T14" s="128">
        <v>0.55138888888888893</v>
      </c>
      <c r="U14" s="128">
        <v>0.57430555555555551</v>
      </c>
      <c r="V14" s="128">
        <v>0.62291666666666667</v>
      </c>
      <c r="W14" s="128">
        <v>0.65416666666666667</v>
      </c>
      <c r="X14" s="128">
        <v>0.67291666666666672</v>
      </c>
      <c r="Y14" s="128">
        <v>0.69027777777777777</v>
      </c>
      <c r="Z14" s="128">
        <v>0.7055555555555556</v>
      </c>
      <c r="AA14" s="128">
        <v>0.72222222222222221</v>
      </c>
      <c r="AB14" s="128">
        <v>0.73888888888888893</v>
      </c>
      <c r="AC14" s="128">
        <v>0.75486111111111109</v>
      </c>
      <c r="AD14" s="128">
        <v>0.77083333333333337</v>
      </c>
      <c r="AE14" s="128">
        <v>0.78749999999999998</v>
      </c>
    </row>
    <row r="15" spans="1:32">
      <c r="A15" s="6" t="s">
        <v>101</v>
      </c>
      <c r="B15" s="6" t="s">
        <v>102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</row>
    <row r="16" spans="1:32">
      <c r="A16" s="6" t="s">
        <v>99</v>
      </c>
      <c r="B16" s="6" t="s">
        <v>100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</row>
    <row r="17" spans="1:31">
      <c r="A17" s="6" t="s">
        <v>97</v>
      </c>
      <c r="B17" s="6" t="s">
        <v>98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</row>
    <row r="18" spans="1:31">
      <c r="A18" s="6" t="s">
        <v>95</v>
      </c>
      <c r="B18" s="6" t="s">
        <v>96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</row>
    <row r="19" spans="1:31">
      <c r="A19" s="6" t="s">
        <v>22</v>
      </c>
      <c r="B19" s="6" t="s">
        <v>23</v>
      </c>
      <c r="C19" s="128">
        <v>0.20555555555555555</v>
      </c>
      <c r="D19" s="128">
        <v>0.22152777777777777</v>
      </c>
      <c r="E19" s="128">
        <v>0.23819444444444443</v>
      </c>
      <c r="F19" s="128">
        <v>0.25416666666666665</v>
      </c>
      <c r="G19" s="128">
        <v>0.27083333333333331</v>
      </c>
      <c r="H19" s="128">
        <v>0.28680555555555554</v>
      </c>
      <c r="I19" s="128">
        <v>0.3034722222222222</v>
      </c>
      <c r="J19" s="128">
        <v>0.31944444444444442</v>
      </c>
      <c r="K19" s="128">
        <v>0.33611111111111114</v>
      </c>
      <c r="L19" s="128">
        <v>0.35208333333333336</v>
      </c>
      <c r="M19" s="128">
        <v>0.36875000000000002</v>
      </c>
      <c r="N19" s="128">
        <v>0.38472222222222224</v>
      </c>
      <c r="O19" s="128">
        <v>0.40138888888888891</v>
      </c>
      <c r="P19" s="128">
        <v>0.43333333333333335</v>
      </c>
      <c r="Q19" s="128">
        <v>0.45902777777777776</v>
      </c>
      <c r="R19" s="128">
        <v>0.48194444444444445</v>
      </c>
      <c r="S19" s="128">
        <v>0.53055555555555556</v>
      </c>
      <c r="T19" s="128">
        <v>0.55625000000000002</v>
      </c>
      <c r="U19" s="128">
        <v>0.57916666666666672</v>
      </c>
      <c r="V19" s="128">
        <v>0.62777777777777777</v>
      </c>
      <c r="W19" s="128">
        <v>0.65902777777777777</v>
      </c>
      <c r="X19" s="128">
        <v>0.67777777777777781</v>
      </c>
      <c r="Y19" s="128">
        <v>0.69513888888888886</v>
      </c>
      <c r="Z19" s="128">
        <v>0.7104166666666667</v>
      </c>
      <c r="AA19" s="128">
        <v>0.7270833333333333</v>
      </c>
      <c r="AB19" s="128">
        <v>0.74375000000000002</v>
      </c>
      <c r="AC19" s="128">
        <v>0.75972222222222219</v>
      </c>
      <c r="AD19" s="128">
        <v>0.77569444444444446</v>
      </c>
      <c r="AE19" s="128">
        <v>0.79236111111111107</v>
      </c>
    </row>
    <row r="20" spans="1:31">
      <c r="A20" s="6" t="s">
        <v>93</v>
      </c>
      <c r="B20" s="6" t="s">
        <v>94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</row>
    <row r="21" spans="1:31">
      <c r="A21" s="6" t="s">
        <v>91</v>
      </c>
      <c r="B21" s="6" t="s">
        <v>92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</row>
    <row r="22" spans="1:31">
      <c r="A22" s="6" t="s">
        <v>24</v>
      </c>
      <c r="B22" s="7" t="s">
        <v>25</v>
      </c>
      <c r="C22" s="128">
        <v>0.20972222222222223</v>
      </c>
      <c r="D22" s="128">
        <v>0.22569444444444445</v>
      </c>
      <c r="E22" s="128">
        <v>0.24236111111111111</v>
      </c>
      <c r="F22" s="128">
        <v>0.25833333333333336</v>
      </c>
      <c r="G22" s="128">
        <v>0.27500000000000002</v>
      </c>
      <c r="H22" s="128">
        <v>0.29097222222222224</v>
      </c>
      <c r="I22" s="128">
        <v>0.30763888888888891</v>
      </c>
      <c r="J22" s="128">
        <v>0.32361111111111113</v>
      </c>
      <c r="K22" s="128">
        <v>0.34027777777777779</v>
      </c>
      <c r="L22" s="128">
        <v>0.35625000000000001</v>
      </c>
      <c r="M22" s="128">
        <v>0.37291666666666667</v>
      </c>
      <c r="N22" s="128">
        <v>0.3888888888888889</v>
      </c>
      <c r="O22" s="128">
        <v>0.40555555555555556</v>
      </c>
      <c r="P22" s="128">
        <v>0.4375</v>
      </c>
      <c r="Q22" s="128">
        <v>0.46319444444444446</v>
      </c>
      <c r="R22" s="128">
        <v>0.4861111111111111</v>
      </c>
      <c r="S22" s="128">
        <v>0.53472222222222221</v>
      </c>
      <c r="T22" s="128">
        <v>0.56041666666666667</v>
      </c>
      <c r="U22" s="128">
        <v>0.58333333333333337</v>
      </c>
      <c r="V22" s="128">
        <v>0.63194444444444442</v>
      </c>
      <c r="W22" s="128">
        <v>0.66319444444444442</v>
      </c>
      <c r="X22" s="128">
        <v>0.68194444444444446</v>
      </c>
      <c r="Y22" s="128">
        <v>0.69930555555555551</v>
      </c>
      <c r="Z22" s="128">
        <v>0.71458333333333335</v>
      </c>
      <c r="AA22" s="128">
        <v>0.73124999999999996</v>
      </c>
      <c r="AB22" s="128">
        <v>0.74791666666666667</v>
      </c>
      <c r="AC22" s="128">
        <v>0.76388888888888884</v>
      </c>
      <c r="AD22" s="128">
        <v>0.77986111111111112</v>
      </c>
      <c r="AE22" s="128">
        <v>0.79652777777777772</v>
      </c>
    </row>
    <row r="23" spans="1:31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pans="1:31">
      <c r="A24" s="8"/>
      <c r="B24" s="8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</row>
    <row r="25" spans="1:31"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</row>
    <row r="26" spans="1:31"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</row>
    <row r="27" spans="1:31"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</row>
    <row r="28" spans="1:31"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</row>
    <row r="29" spans="1:31"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</row>
    <row r="30" spans="1:31"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</row>
    <row r="31" spans="1:31"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</row>
    <row r="32" spans="1:31"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</row>
    <row r="33" spans="1:31"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</row>
    <row r="34" spans="1:31"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</row>
    <row r="35" spans="1:31"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</row>
    <row r="36" spans="1:31"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</row>
    <row r="37" spans="1:31"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</row>
    <row r="38" spans="1:31"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</row>
    <row r="39" spans="1:31"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</row>
    <row r="40" spans="1:31"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</row>
    <row r="41" spans="1:31"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</row>
    <row r="42" spans="1:31"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</row>
    <row r="43" spans="1:31"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</row>
    <row r="44" spans="1:31">
      <c r="B44" s="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</row>
    <row r="45" spans="1:31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8"/>
    </row>
    <row r="46" spans="1:31">
      <c r="C46" s="128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31">
      <c r="A47" s="8"/>
      <c r="B47" s="8"/>
      <c r="C47" s="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8"/>
    </row>
    <row r="48" spans="1:31">
      <c r="A48" s="10"/>
      <c r="B48" s="11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30">
      <c r="A49" s="10"/>
      <c r="B49" s="11"/>
      <c r="C49" s="9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8"/>
      <c r="U49" s="8"/>
    </row>
    <row r="50" spans="1:30">
      <c r="A50" s="10"/>
      <c r="B50" s="11"/>
      <c r="C50" s="9"/>
    </row>
    <row r="51" spans="1:30">
      <c r="A51" s="10"/>
      <c r="B51" s="11"/>
      <c r="C51" s="9"/>
    </row>
    <row r="52" spans="1:30">
      <c r="A52" s="10"/>
      <c r="B52" s="11"/>
      <c r="C52" s="9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</row>
    <row r="53" spans="1:30">
      <c r="A53" s="10"/>
      <c r="B53" s="11"/>
      <c r="C53" s="9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</row>
    <row r="54" spans="1:30">
      <c r="A54" s="10"/>
      <c r="B54" s="11"/>
      <c r="C54" s="9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</row>
    <row r="55" spans="1:30">
      <c r="A55" s="10"/>
      <c r="B55" s="1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>
      <c r="A56" s="10"/>
      <c r="B56" s="1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>
      <c r="A57" s="10"/>
      <c r="B57" s="1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>
      <c r="C58" s="12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>
      <c r="C59" s="12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>
      <c r="C60" s="12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>
      <c r="C61" s="12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>
      <c r="B62" s="7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  <outlinePr summaryBelow="0" summaryRight="0"/>
  </sheetPr>
  <dimension ref="A1:AA5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7.7109375" customWidth="1"/>
  </cols>
  <sheetData>
    <row r="1" spans="1:27">
      <c r="A1" s="1" t="s">
        <v>0</v>
      </c>
      <c r="B1" s="129" t="s">
        <v>135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1803</v>
      </c>
      <c r="D2" s="1">
        <v>1805</v>
      </c>
      <c r="E2" s="1">
        <v>1821</v>
      </c>
      <c r="F2" s="1">
        <v>1823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4" t="s">
        <v>24</v>
      </c>
      <c r="B3" s="5" t="str">
        <f>'PTA-to-PIEN_Sat'!B3</f>
        <v>-25.75864361043285, 28.189866445989118</v>
      </c>
      <c r="C3" s="5">
        <v>0.25</v>
      </c>
      <c r="D3" s="5">
        <v>0.375</v>
      </c>
      <c r="E3" s="5">
        <v>0.63541666666666663</v>
      </c>
      <c r="F3" s="5">
        <v>0.77777777777777779</v>
      </c>
      <c r="G3" s="5"/>
      <c r="H3" s="69"/>
      <c r="I3" s="5"/>
      <c r="J3" s="69"/>
      <c r="K3" s="5"/>
      <c r="L3" s="5"/>
      <c r="M3" s="5"/>
      <c r="N3" s="5"/>
      <c r="O3" s="5"/>
      <c r="P3" s="5"/>
      <c r="Q3" s="5"/>
      <c r="R3" s="5"/>
      <c r="S3" s="5"/>
    </row>
    <row r="4" spans="1:27">
      <c r="A4" s="6" t="s">
        <v>91</v>
      </c>
      <c r="B4" s="6" t="s">
        <v>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7">
      <c r="A5" s="6" t="s">
        <v>93</v>
      </c>
      <c r="B5" s="6" t="s">
        <v>94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7">
      <c r="A6" s="6" t="s">
        <v>22</v>
      </c>
      <c r="B6" s="6" t="s">
        <v>23</v>
      </c>
      <c r="C6" s="7">
        <v>0.25416666666666665</v>
      </c>
      <c r="D6" s="7">
        <v>0.37916666666666665</v>
      </c>
      <c r="E6" s="7">
        <v>0.63958333333333328</v>
      </c>
      <c r="F6" s="7">
        <v>0.78194444444444444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7">
      <c r="A7" s="6" t="s">
        <v>95</v>
      </c>
      <c r="B7" s="6" t="s">
        <v>96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27">
      <c r="A8" s="6" t="s">
        <v>97</v>
      </c>
      <c r="B8" s="6" t="s">
        <v>98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27">
      <c r="A9" s="6" t="s">
        <v>99</v>
      </c>
      <c r="B9" s="6" t="s">
        <v>100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27">
      <c r="A10" s="6" t="s">
        <v>101</v>
      </c>
      <c r="B10" s="6" t="s">
        <v>102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27">
      <c r="A11" s="6" t="s">
        <v>20</v>
      </c>
      <c r="B11" s="6" t="s">
        <v>21</v>
      </c>
      <c r="C11" s="7">
        <v>0.25972222222222224</v>
      </c>
      <c r="D11" s="7">
        <v>0.38472222222222224</v>
      </c>
      <c r="E11" s="7">
        <v>0.64513888888888893</v>
      </c>
      <c r="F11" s="7">
        <v>0.78749999999999998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27">
      <c r="A12" s="6" t="s">
        <v>103</v>
      </c>
      <c r="B12" s="6" t="s">
        <v>104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27">
      <c r="A13" s="6" t="s">
        <v>18</v>
      </c>
      <c r="B13" s="6" t="s">
        <v>19</v>
      </c>
      <c r="C13" s="7">
        <v>0.26319444444444445</v>
      </c>
      <c r="D13" s="7">
        <v>0.38819444444444445</v>
      </c>
      <c r="E13" s="7">
        <v>0.64861111111111114</v>
      </c>
      <c r="F13" s="7">
        <v>0.79097222222222219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27">
      <c r="A14" s="6" t="s">
        <v>105</v>
      </c>
      <c r="B14" s="6" t="s">
        <v>106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27">
      <c r="A15" s="6" t="s">
        <v>16</v>
      </c>
      <c r="B15" s="6" t="s">
        <v>17</v>
      </c>
      <c r="C15" s="7">
        <v>0.26805555555555555</v>
      </c>
      <c r="D15" s="7">
        <v>0.39305555555555555</v>
      </c>
      <c r="E15" s="7">
        <v>0.65347222222222223</v>
      </c>
      <c r="F15" s="7">
        <v>0.79583333333333328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27">
      <c r="A16" s="6" t="s">
        <v>14</v>
      </c>
      <c r="B16" s="6" t="s">
        <v>15</v>
      </c>
      <c r="C16" s="7">
        <v>0.27083333333333331</v>
      </c>
      <c r="D16" s="7">
        <v>0.39583333333333331</v>
      </c>
      <c r="E16" s="7">
        <v>0.65625</v>
      </c>
      <c r="F16" s="7">
        <v>0.79861111111111116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6" t="s">
        <v>12</v>
      </c>
      <c r="B17" s="6" t="s">
        <v>13</v>
      </c>
      <c r="C17" s="7">
        <v>0.27430555555555558</v>
      </c>
      <c r="D17" s="7">
        <v>0.39930555555555558</v>
      </c>
      <c r="E17" s="7">
        <v>0.65972222222222221</v>
      </c>
      <c r="F17" s="7">
        <v>0.80208333333333337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6" t="s">
        <v>107</v>
      </c>
      <c r="B18" s="6" t="s">
        <v>108</v>
      </c>
      <c r="C18" s="7">
        <v>0.27916666666666667</v>
      </c>
      <c r="D18" s="7">
        <v>0.40416666666666667</v>
      </c>
      <c r="E18" s="7">
        <v>0.6645833333333333</v>
      </c>
      <c r="F18" s="7">
        <v>0.80694444444444446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6" t="s">
        <v>109</v>
      </c>
      <c r="B19" s="70" t="s">
        <v>110</v>
      </c>
      <c r="C19" s="7">
        <v>0.28263888888888888</v>
      </c>
      <c r="D19" s="7">
        <v>0.40763888888888888</v>
      </c>
      <c r="E19" s="7">
        <v>0.66805555555555551</v>
      </c>
      <c r="F19" s="7">
        <v>0.81041666666666667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6" t="s">
        <v>111</v>
      </c>
      <c r="B20" s="6" t="s">
        <v>112</v>
      </c>
    </row>
    <row r="21" spans="1:19">
      <c r="A21" s="6" t="s">
        <v>113</v>
      </c>
      <c r="B21" s="6" t="s">
        <v>114</v>
      </c>
    </row>
    <row r="22" spans="1:19">
      <c r="A22" s="6" t="s">
        <v>115</v>
      </c>
      <c r="B22" s="6" t="s">
        <v>116</v>
      </c>
      <c r="C22" s="7">
        <v>0.29166666666666669</v>
      </c>
      <c r="D22" s="7">
        <v>0.41666666666666669</v>
      </c>
      <c r="E22" s="7">
        <v>0.67708333333333337</v>
      </c>
      <c r="F22" s="7">
        <v>0.81944444444444442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4" spans="1:19">
      <c r="B24" s="8"/>
      <c r="C24" s="8"/>
      <c r="D24" s="8"/>
      <c r="E24" s="8"/>
      <c r="S24" s="7"/>
    </row>
    <row r="26" spans="1:19">
      <c r="S26" s="7"/>
    </row>
    <row r="28" spans="1:19">
      <c r="S28" s="7"/>
    </row>
    <row r="30" spans="1:19">
      <c r="S30" s="7"/>
    </row>
    <row r="31" spans="1:19">
      <c r="A31" s="8"/>
    </row>
    <row r="32" spans="1:19">
      <c r="A32" s="10"/>
      <c r="B32" s="11"/>
      <c r="C32" s="11"/>
      <c r="D32" s="11"/>
      <c r="E32" s="11"/>
      <c r="S32" s="7"/>
    </row>
    <row r="33" spans="1:19">
      <c r="A33" s="10"/>
      <c r="B33" s="11"/>
      <c r="C33" s="11"/>
      <c r="D33" s="11"/>
      <c r="E33" s="11"/>
    </row>
    <row r="34" spans="1:19">
      <c r="A34" s="10"/>
      <c r="B34" s="11"/>
      <c r="C34" s="11"/>
      <c r="D34" s="11"/>
      <c r="E34" s="11"/>
      <c r="S34" s="7"/>
    </row>
    <row r="35" spans="1:19">
      <c r="A35" s="10"/>
      <c r="B35" s="11"/>
      <c r="C35" s="11"/>
      <c r="D35" s="11"/>
      <c r="E35" s="11"/>
    </row>
    <row r="36" spans="1:19">
      <c r="A36" s="10"/>
      <c r="B36" s="11"/>
      <c r="C36" s="11"/>
      <c r="D36" s="11"/>
      <c r="E36" s="11"/>
      <c r="S36" s="7"/>
    </row>
    <row r="37" spans="1:19">
      <c r="A37" s="10"/>
      <c r="B37" s="11"/>
      <c r="C37" s="11"/>
      <c r="D37" s="11"/>
      <c r="E37" s="11"/>
    </row>
    <row r="38" spans="1:19">
      <c r="A38" s="10"/>
      <c r="B38" s="11"/>
      <c r="C38" s="11"/>
      <c r="D38" s="11"/>
      <c r="E38" s="11"/>
      <c r="S38" s="7"/>
    </row>
    <row r="39" spans="1:19">
      <c r="A39" s="10"/>
      <c r="B39" s="11"/>
      <c r="C39" s="11"/>
      <c r="D39" s="11"/>
      <c r="E39" s="11"/>
    </row>
    <row r="40" spans="1:19">
      <c r="A40" s="10"/>
      <c r="B40" s="11"/>
      <c r="C40" s="11"/>
      <c r="D40" s="11"/>
      <c r="E40" s="11"/>
      <c r="S40" s="7"/>
    </row>
    <row r="41" spans="1:19">
      <c r="A41" s="10"/>
      <c r="B41" s="11"/>
      <c r="C41" s="11"/>
      <c r="D41" s="11"/>
      <c r="E41" s="11"/>
    </row>
    <row r="42" spans="1:19">
      <c r="S42" s="7"/>
    </row>
    <row r="44" spans="1:19">
      <c r="S44" s="7"/>
    </row>
    <row r="46" spans="1:19">
      <c r="S46" s="7"/>
    </row>
    <row r="48" spans="1:19">
      <c r="S48" s="7"/>
    </row>
    <row r="50" spans="19:19">
      <c r="S5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00"/>
    <outlinePr summaryBelow="0" summaryRight="0"/>
  </sheetPr>
  <dimension ref="A1:AA48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1800</v>
      </c>
      <c r="D2" s="1">
        <v>1802</v>
      </c>
      <c r="E2" s="1">
        <v>1822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4" t="s">
        <v>115</v>
      </c>
      <c r="B3" s="4" t="s">
        <v>116</v>
      </c>
      <c r="C3" s="5">
        <v>0.2013888888888889</v>
      </c>
      <c r="D3" s="5">
        <v>0.30555555555555558</v>
      </c>
      <c r="E3" s="5">
        <v>0.69097222222222221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6" t="s">
        <v>113</v>
      </c>
      <c r="B4" s="6" t="s">
        <v>114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27">
      <c r="A5" s="6" t="s">
        <v>111</v>
      </c>
      <c r="B5" s="6" t="s">
        <v>112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27">
      <c r="A6" s="6" t="s">
        <v>109</v>
      </c>
      <c r="B6" s="6" t="s">
        <v>110</v>
      </c>
      <c r="C6" s="7">
        <v>0.20972222222222223</v>
      </c>
      <c r="D6" s="7">
        <v>0.31388888888888888</v>
      </c>
      <c r="E6" s="7">
        <v>0.69930555555555551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107</v>
      </c>
      <c r="B7" s="6" t="s">
        <v>108</v>
      </c>
      <c r="C7" s="7">
        <v>0.21388888888888888</v>
      </c>
      <c r="D7" s="7">
        <v>0.31805555555555554</v>
      </c>
      <c r="E7" s="7">
        <v>0.70347222222222228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12</v>
      </c>
      <c r="B8" s="6" t="s">
        <v>13</v>
      </c>
      <c r="C8" s="7">
        <v>0.21875</v>
      </c>
      <c r="D8" s="7">
        <v>0.32291666666666669</v>
      </c>
      <c r="E8" s="7">
        <v>0.70833333333333337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6" t="s">
        <v>14</v>
      </c>
      <c r="B9" s="6" t="s">
        <v>15</v>
      </c>
      <c r="C9" s="7">
        <v>0.22291666666666668</v>
      </c>
      <c r="D9" s="7">
        <v>0.32708333333333334</v>
      </c>
      <c r="E9" s="7">
        <v>0.71250000000000002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6" t="s">
        <v>16</v>
      </c>
      <c r="B10" s="6" t="s">
        <v>17</v>
      </c>
      <c r="C10" s="7">
        <v>0.22569444444444445</v>
      </c>
      <c r="D10" s="7">
        <v>0.3298611111111111</v>
      </c>
      <c r="E10" s="7">
        <v>0.71527777777777779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105</v>
      </c>
      <c r="B11" s="6" t="s">
        <v>106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18</v>
      </c>
      <c r="B12" s="6" t="s">
        <v>19</v>
      </c>
      <c r="C12" s="7">
        <v>0.23055555555555557</v>
      </c>
      <c r="D12" s="7">
        <v>0.3347222222222222</v>
      </c>
      <c r="E12" s="7">
        <v>0.72013888888888888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6" t="s">
        <v>103</v>
      </c>
      <c r="B13" s="6" t="s">
        <v>104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20</v>
      </c>
      <c r="B14" s="6" t="s">
        <v>21</v>
      </c>
      <c r="C14" s="7">
        <v>0.23402777777777778</v>
      </c>
      <c r="D14" s="7">
        <v>0.33819444444444446</v>
      </c>
      <c r="E14" s="7">
        <v>0.72361111111111109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7">
      <c r="A15" s="6" t="s">
        <v>101</v>
      </c>
      <c r="B15" s="6" t="s">
        <v>102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7">
      <c r="A16" s="6" t="s">
        <v>99</v>
      </c>
      <c r="B16" s="6" t="s">
        <v>100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97</v>
      </c>
      <c r="B17" s="6" t="s">
        <v>98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6" t="s">
        <v>95</v>
      </c>
      <c r="B18" s="6" t="s">
        <v>96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6" t="s">
        <v>22</v>
      </c>
      <c r="B19" s="6" t="s">
        <v>23</v>
      </c>
      <c r="C19" s="7">
        <v>0.2388888888888889</v>
      </c>
      <c r="D19" s="7">
        <v>0.34305555555555556</v>
      </c>
      <c r="E19" s="7">
        <v>0.72847222222222219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6" t="s">
        <v>93</v>
      </c>
      <c r="B20" s="6" t="s">
        <v>94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6" t="s">
        <v>91</v>
      </c>
      <c r="B21" s="6" t="s">
        <v>92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A22" s="6" t="s">
        <v>24</v>
      </c>
      <c r="B22" s="7" t="s">
        <v>25</v>
      </c>
      <c r="C22" s="7">
        <v>0.24305555555555555</v>
      </c>
      <c r="D22" s="7">
        <v>0.34722222222222221</v>
      </c>
      <c r="E22" s="7">
        <v>0.73263888888888884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T23" s="7"/>
    </row>
    <row r="24" spans="1:20">
      <c r="T24" s="7"/>
    </row>
    <row r="25" spans="1:20">
      <c r="T25" s="7"/>
    </row>
    <row r="26" spans="1:20">
      <c r="B26" s="7"/>
      <c r="T26" s="7"/>
    </row>
    <row r="27" spans="1:20">
      <c r="T27" s="7"/>
    </row>
    <row r="28" spans="1:20">
      <c r="T28" s="7"/>
    </row>
    <row r="29" spans="1:20">
      <c r="T29" s="7"/>
    </row>
    <row r="30" spans="1:20">
      <c r="B30" s="8"/>
      <c r="C30" s="8"/>
      <c r="D30" s="8"/>
      <c r="E30" s="8"/>
      <c r="T30" s="7"/>
    </row>
    <row r="31" spans="1:20">
      <c r="B31" s="10"/>
      <c r="C31" s="11"/>
      <c r="D31" s="11"/>
      <c r="E31" s="11"/>
      <c r="T31" s="7"/>
    </row>
    <row r="32" spans="1:20">
      <c r="B32" s="10"/>
      <c r="C32" s="11"/>
      <c r="D32" s="11"/>
      <c r="E32" s="11"/>
      <c r="T32" s="7"/>
    </row>
    <row r="33" spans="2:20">
      <c r="B33" s="10"/>
      <c r="C33" s="11"/>
      <c r="D33" s="11"/>
      <c r="E33" s="11"/>
      <c r="T33" s="7"/>
    </row>
    <row r="34" spans="2:20">
      <c r="B34" s="10"/>
      <c r="C34" s="11"/>
      <c r="D34" s="11"/>
      <c r="E34" s="11"/>
      <c r="T34" s="7"/>
    </row>
    <row r="35" spans="2:20">
      <c r="B35" s="10"/>
      <c r="C35" s="11"/>
      <c r="D35" s="11"/>
      <c r="E35" s="11"/>
      <c r="T35" s="7"/>
    </row>
    <row r="36" spans="2:20">
      <c r="B36" s="10"/>
      <c r="C36" s="11"/>
      <c r="D36" s="11"/>
      <c r="E36" s="11"/>
      <c r="T36" s="7"/>
    </row>
    <row r="37" spans="2:20">
      <c r="B37" s="10"/>
      <c r="C37" s="11"/>
      <c r="D37" s="11"/>
      <c r="E37" s="11"/>
      <c r="T37" s="7"/>
    </row>
    <row r="38" spans="2:20">
      <c r="B38" s="10"/>
      <c r="C38" s="11"/>
      <c r="D38" s="11"/>
      <c r="E38" s="11"/>
      <c r="T38" s="7"/>
    </row>
    <row r="39" spans="2:20">
      <c r="B39" s="10"/>
      <c r="C39" s="11"/>
      <c r="D39" s="11"/>
      <c r="E39" s="11"/>
      <c r="T39" s="7"/>
    </row>
    <row r="40" spans="2:20">
      <c r="B40" s="10"/>
      <c r="C40" s="11"/>
      <c r="D40" s="11"/>
      <c r="E40" s="11"/>
      <c r="T40" s="7"/>
    </row>
    <row r="41" spans="2:20">
      <c r="T41" s="7"/>
    </row>
    <row r="42" spans="2:20">
      <c r="T42" s="7"/>
    </row>
    <row r="43" spans="2:20">
      <c r="T43" s="7"/>
    </row>
    <row r="44" spans="2:20">
      <c r="T44" s="7"/>
    </row>
    <row r="45" spans="2:20">
      <c r="T45" s="7"/>
    </row>
    <row r="46" spans="2:20">
      <c r="T46" s="7"/>
    </row>
    <row r="47" spans="2:20">
      <c r="T47" s="7"/>
    </row>
    <row r="48" spans="2:20">
      <c r="T48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0000"/>
    <outlinePr summaryBelow="0" summaryRight="0"/>
  </sheetPr>
  <dimension ref="A1:AB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8">
      <c r="A1" s="1" t="s">
        <v>0</v>
      </c>
      <c r="B1" s="2">
        <v>45925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 t="s">
        <v>2</v>
      </c>
      <c r="B2" s="1" t="s">
        <v>3</v>
      </c>
      <c r="C2" s="130" t="s">
        <v>136</v>
      </c>
      <c r="D2" s="130" t="s">
        <v>137</v>
      </c>
      <c r="E2" s="130" t="s">
        <v>138</v>
      </c>
      <c r="F2" s="130" t="s">
        <v>139</v>
      </c>
      <c r="G2" s="130" t="s">
        <v>140</v>
      </c>
      <c r="H2" s="130" t="s">
        <v>141</v>
      </c>
      <c r="I2" s="130" t="s">
        <v>142</v>
      </c>
      <c r="J2" s="130" t="s">
        <v>143</v>
      </c>
      <c r="K2" s="130" t="s">
        <v>144</v>
      </c>
      <c r="L2" s="130" t="s">
        <v>145</v>
      </c>
      <c r="M2" s="130" t="s">
        <v>146</v>
      </c>
      <c r="N2" s="130" t="s">
        <v>147</v>
      </c>
      <c r="O2" s="130" t="s">
        <v>148</v>
      </c>
      <c r="P2" s="130" t="s">
        <v>149</v>
      </c>
      <c r="Q2" s="130" t="s">
        <v>150</v>
      </c>
      <c r="R2" s="130" t="s">
        <v>151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3" t="s">
        <v>49</v>
      </c>
      <c r="B3" s="4" t="s">
        <v>152</v>
      </c>
      <c r="C3" s="5">
        <v>0.19444444444444445</v>
      </c>
      <c r="D3" s="5">
        <v>0.2048611111111111</v>
      </c>
      <c r="E3" s="5">
        <v>0.27083333333333331</v>
      </c>
      <c r="F3" s="5">
        <v>0.31944444444444442</v>
      </c>
      <c r="G3" s="5">
        <v>0.33333333333333331</v>
      </c>
      <c r="H3" s="5">
        <v>0.375</v>
      </c>
      <c r="I3" s="5">
        <v>0.4375</v>
      </c>
      <c r="J3" s="5">
        <v>0.5</v>
      </c>
      <c r="K3" s="5">
        <v>0.54166666666666663</v>
      </c>
      <c r="L3" s="5">
        <v>0.60416666666666663</v>
      </c>
      <c r="M3" s="5">
        <v>0.64930555555555558</v>
      </c>
      <c r="N3" s="5">
        <v>0.65972222222222221</v>
      </c>
      <c r="O3" s="5">
        <v>0.70833333333333337</v>
      </c>
      <c r="P3" s="5">
        <v>0.75555555555555554</v>
      </c>
      <c r="Q3" s="5">
        <v>0.76388888888888884</v>
      </c>
      <c r="R3" s="5">
        <v>0.81944444444444442</v>
      </c>
      <c r="S3" s="131"/>
    </row>
    <row r="4" spans="1:28">
      <c r="A4" s="6" t="s">
        <v>48</v>
      </c>
      <c r="B4" s="7" t="s">
        <v>153</v>
      </c>
      <c r="C4" s="7"/>
      <c r="D4" s="7"/>
      <c r="E4" s="7"/>
      <c r="F4" s="7"/>
      <c r="G4" s="7"/>
      <c r="H4" s="7"/>
      <c r="I4" s="7"/>
      <c r="J4" s="7"/>
      <c r="K4" s="7"/>
      <c r="L4" s="7"/>
      <c r="S4" s="131"/>
    </row>
    <row r="5" spans="1:28">
      <c r="A5" s="1" t="s">
        <v>47</v>
      </c>
      <c r="B5" s="7" t="s">
        <v>154</v>
      </c>
      <c r="C5" s="7">
        <v>0.20555555555555552</v>
      </c>
      <c r="D5" s="7">
        <v>0.21597222222222218</v>
      </c>
      <c r="E5" s="7">
        <v>0.28194444444444439</v>
      </c>
      <c r="F5" s="7">
        <v>0.33055555555555549</v>
      </c>
      <c r="G5" s="7">
        <v>0.34444444444444439</v>
      </c>
      <c r="H5" s="7">
        <v>0.38611111111111107</v>
      </c>
      <c r="I5" s="7">
        <v>0.44861111111111107</v>
      </c>
      <c r="J5" s="7">
        <v>0.51111111111111107</v>
      </c>
      <c r="K5" s="7">
        <v>0.5527777777777777</v>
      </c>
      <c r="L5" s="7">
        <v>0.6152777777777777</v>
      </c>
      <c r="M5" s="7">
        <v>0.66041666666666665</v>
      </c>
      <c r="N5" s="7">
        <v>0.67083333333333328</v>
      </c>
      <c r="O5" s="7">
        <v>0.71944444444444444</v>
      </c>
      <c r="P5" s="7">
        <v>0.76666666666666661</v>
      </c>
      <c r="Q5" s="7">
        <v>0.77291666666666659</v>
      </c>
      <c r="R5" s="7">
        <v>0.82847222222222217</v>
      </c>
      <c r="S5" s="131"/>
    </row>
    <row r="6" spans="1:28">
      <c r="A6" s="6" t="s">
        <v>46</v>
      </c>
      <c r="B6" s="6" t="s">
        <v>155</v>
      </c>
      <c r="S6" s="131"/>
    </row>
    <row r="7" spans="1:28">
      <c r="A7" s="6" t="s">
        <v>45</v>
      </c>
      <c r="B7" s="6" t="s">
        <v>156</v>
      </c>
      <c r="S7" s="131"/>
    </row>
    <row r="8" spans="1:28">
      <c r="A8" s="1" t="s">
        <v>44</v>
      </c>
      <c r="B8" s="6" t="s">
        <v>157</v>
      </c>
      <c r="C8" s="7">
        <v>0.21458333333333338</v>
      </c>
      <c r="D8" s="7">
        <v>0.22500000000000003</v>
      </c>
      <c r="E8" s="7">
        <v>0.29097222222222224</v>
      </c>
      <c r="F8" s="7">
        <v>0.33958333333333335</v>
      </c>
      <c r="G8" s="7">
        <v>0.35347222222222224</v>
      </c>
      <c r="H8" s="7">
        <v>0.39513888888888893</v>
      </c>
      <c r="I8" s="7">
        <v>0.45763888888888893</v>
      </c>
      <c r="J8" s="7">
        <v>0.52013888888888893</v>
      </c>
      <c r="K8" s="7">
        <v>0.56180555555555556</v>
      </c>
      <c r="L8" s="7">
        <v>0.62430555555555556</v>
      </c>
      <c r="M8" s="7">
        <v>0.66944444444444451</v>
      </c>
      <c r="N8" s="7">
        <v>0.67986111111111114</v>
      </c>
      <c r="O8" s="7">
        <v>0.7284722222222223</v>
      </c>
      <c r="P8" s="7">
        <v>0.77569444444444446</v>
      </c>
      <c r="Q8" s="7">
        <v>0.78124999999999989</v>
      </c>
      <c r="R8" s="7">
        <v>0.83680555555555547</v>
      </c>
      <c r="S8" s="131"/>
    </row>
    <row r="9" spans="1:28">
      <c r="A9" s="1" t="s">
        <v>43</v>
      </c>
      <c r="B9" s="6" t="s">
        <v>158</v>
      </c>
      <c r="C9" s="7">
        <v>0.21875000000000003</v>
      </c>
      <c r="D9" s="7">
        <v>0.22916666666666669</v>
      </c>
      <c r="E9" s="7">
        <v>0.2951388888888889</v>
      </c>
      <c r="F9" s="7">
        <v>0.34375</v>
      </c>
      <c r="G9" s="7">
        <v>0.3576388888888889</v>
      </c>
      <c r="H9" s="7">
        <v>0.39930555555555558</v>
      </c>
      <c r="I9" s="7">
        <v>0.46180555555555558</v>
      </c>
      <c r="J9" s="7">
        <v>0.52430555555555558</v>
      </c>
      <c r="K9" s="7">
        <v>0.56597222222222221</v>
      </c>
      <c r="L9" s="7">
        <v>0.62847222222222221</v>
      </c>
      <c r="M9" s="7">
        <v>0.67361111111111116</v>
      </c>
      <c r="N9" s="7">
        <v>0.68402777777777779</v>
      </c>
      <c r="O9" s="7">
        <v>0.73263888888888895</v>
      </c>
      <c r="P9" s="7">
        <v>0.77986111111111112</v>
      </c>
      <c r="Q9" s="7">
        <v>0.7847222222222221</v>
      </c>
      <c r="R9" s="7">
        <v>0.84027777777777768</v>
      </c>
      <c r="S9" s="131"/>
    </row>
    <row r="10" spans="1:28">
      <c r="A10" s="6" t="s">
        <v>42</v>
      </c>
      <c r="B10" s="6" t="s">
        <v>159</v>
      </c>
      <c r="S10" s="131"/>
    </row>
    <row r="11" spans="1:28">
      <c r="A11" s="6" t="s">
        <v>41</v>
      </c>
      <c r="B11" s="6" t="s">
        <v>160</v>
      </c>
      <c r="S11" s="131"/>
    </row>
    <row r="12" spans="1:28">
      <c r="A12" s="6" t="s">
        <v>40</v>
      </c>
      <c r="B12" s="6" t="s">
        <v>161</v>
      </c>
      <c r="S12" s="131"/>
    </row>
    <row r="13" spans="1:28">
      <c r="A13" s="1" t="s">
        <v>39</v>
      </c>
      <c r="B13" s="6" t="s">
        <v>162</v>
      </c>
      <c r="C13" s="7">
        <v>0.23402777777777775</v>
      </c>
      <c r="D13" s="7">
        <v>0.24444444444444441</v>
      </c>
      <c r="E13" s="7">
        <v>0.31041666666666662</v>
      </c>
      <c r="F13" s="7">
        <v>0.35902777777777772</v>
      </c>
      <c r="G13" s="7">
        <v>0.37291666666666662</v>
      </c>
      <c r="H13" s="7">
        <v>0.4145833333333333</v>
      </c>
      <c r="I13" s="7">
        <v>0.4770833333333333</v>
      </c>
      <c r="J13" s="7">
        <v>0.5395833333333333</v>
      </c>
      <c r="K13" s="7">
        <v>0.58124999999999993</v>
      </c>
      <c r="L13" s="7">
        <v>0.64374999999999993</v>
      </c>
      <c r="M13" s="7">
        <v>0.68888888888888888</v>
      </c>
      <c r="N13" s="7">
        <v>0.69930555555555551</v>
      </c>
      <c r="O13" s="7">
        <v>0.74791666666666667</v>
      </c>
      <c r="P13" s="7">
        <v>0.79513888888888884</v>
      </c>
      <c r="Q13" s="7">
        <v>0.80069444444444438</v>
      </c>
      <c r="R13" s="7">
        <v>0.85624999999999996</v>
      </c>
      <c r="S13" s="131"/>
    </row>
    <row r="14" spans="1:28">
      <c r="A14" s="1" t="s">
        <v>38</v>
      </c>
      <c r="B14" s="6" t="s">
        <v>163</v>
      </c>
      <c r="C14" s="7">
        <v>0.23680555555555552</v>
      </c>
      <c r="D14" s="7">
        <v>0.24722222222222218</v>
      </c>
      <c r="E14" s="7">
        <v>0.31319444444444439</v>
      </c>
      <c r="F14" s="7">
        <v>0.36180555555555549</v>
      </c>
      <c r="G14" s="7">
        <v>0.37569444444444439</v>
      </c>
      <c r="H14" s="7">
        <v>0.41736111111111107</v>
      </c>
      <c r="I14" s="7">
        <v>0.47986111111111107</v>
      </c>
      <c r="J14" s="7">
        <v>0.54236111111111107</v>
      </c>
      <c r="K14" s="7">
        <v>0.5840277777777777</v>
      </c>
      <c r="L14" s="7">
        <v>0.6465277777777777</v>
      </c>
      <c r="M14" s="7">
        <v>0.69166666666666665</v>
      </c>
      <c r="N14" s="7">
        <v>0.70208333333333328</v>
      </c>
      <c r="O14" s="7">
        <v>0.75069444444444444</v>
      </c>
      <c r="P14" s="7">
        <v>0.79791666666666661</v>
      </c>
      <c r="Q14" s="7">
        <v>0.80486111111111103</v>
      </c>
      <c r="R14" s="7">
        <v>0.86041666666666661</v>
      </c>
      <c r="S14" s="131"/>
    </row>
    <row r="15" spans="1:28">
      <c r="A15" s="1" t="s">
        <v>37</v>
      </c>
      <c r="B15" s="6" t="s">
        <v>164</v>
      </c>
      <c r="C15" s="7">
        <v>0.24027777777777773</v>
      </c>
      <c r="D15" s="7">
        <v>0.25069444444444439</v>
      </c>
      <c r="E15" s="7">
        <v>0.3166666666666666</v>
      </c>
      <c r="F15" s="7">
        <v>0.3652777777777777</v>
      </c>
      <c r="G15" s="7">
        <v>0.3791666666666666</v>
      </c>
      <c r="H15" s="7">
        <v>0.42083333333333328</v>
      </c>
      <c r="I15" s="7">
        <v>0.48333333333333328</v>
      </c>
      <c r="J15" s="7">
        <v>0.54583333333333328</v>
      </c>
      <c r="K15" s="7">
        <v>0.58749999999999991</v>
      </c>
      <c r="L15" s="7">
        <v>0.64999999999999991</v>
      </c>
      <c r="M15" s="7">
        <v>0.69513888888888886</v>
      </c>
      <c r="N15" s="7">
        <v>0.70555555555555549</v>
      </c>
      <c r="O15" s="7">
        <v>0.75416666666666665</v>
      </c>
      <c r="P15" s="7">
        <v>0.80138888888888882</v>
      </c>
      <c r="Q15" s="7">
        <v>0.80902777777777768</v>
      </c>
      <c r="R15" s="7">
        <v>0.86458333333333326</v>
      </c>
      <c r="S15" s="131"/>
    </row>
    <row r="16" spans="1:28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6" spans="1:20">
      <c r="A26" s="7"/>
      <c r="B26" s="7"/>
    </row>
    <row r="27" spans="1:20">
      <c r="B27" s="7"/>
    </row>
    <row r="28" spans="1:20">
      <c r="A28" s="7"/>
      <c r="B28" s="7"/>
    </row>
    <row r="29" spans="1:20">
      <c r="B29" s="7"/>
    </row>
    <row r="30" spans="1:20">
      <c r="A30" s="8"/>
      <c r="B30" s="7"/>
    </row>
    <row r="31" spans="1:20">
      <c r="A31" s="132"/>
      <c r="B31" s="7"/>
    </row>
    <row r="32" spans="1:20">
      <c r="A32" s="9"/>
      <c r="B32" s="9"/>
      <c r="D32" s="8"/>
    </row>
    <row r="33" spans="1:10">
      <c r="A33" s="9"/>
      <c r="B33" s="9"/>
      <c r="D33" s="11"/>
    </row>
    <row r="34" spans="1:10">
      <c r="A34" s="9"/>
      <c r="B34" s="9"/>
      <c r="D34" s="11"/>
    </row>
    <row r="35" spans="1:10">
      <c r="A35" s="9"/>
      <c r="B35" s="9"/>
      <c r="D35" s="11"/>
    </row>
    <row r="36" spans="1:10">
      <c r="A36" s="9"/>
      <c r="B36" s="9"/>
      <c r="D36" s="8"/>
    </row>
    <row r="37" spans="1:10">
      <c r="A37" s="9"/>
      <c r="B37" s="9"/>
      <c r="D37" s="8"/>
    </row>
    <row r="38" spans="1:10">
      <c r="A38" s="9"/>
      <c r="B38" s="9"/>
      <c r="D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8"/>
      <c r="C40" s="8"/>
      <c r="D40" s="8"/>
      <c r="E40" s="8"/>
      <c r="F40" s="8"/>
      <c r="G40" s="8"/>
      <c r="H40" s="8"/>
      <c r="I40" s="8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11"/>
      <c r="C44" s="11"/>
      <c r="D44" s="11"/>
      <c r="E44" s="11"/>
      <c r="F44" s="11"/>
      <c r="G44" s="11"/>
      <c r="H44" s="11"/>
      <c r="I44" s="11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C0000"/>
    <outlinePr summaryBelow="0" summaryRight="0"/>
  </sheetPr>
  <dimension ref="A1:AN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40">
      <c r="A1" s="1" t="s">
        <v>0</v>
      </c>
      <c r="B1" s="2">
        <f>'GERM-to-LERL_Weekday'!B1</f>
        <v>45925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 t="s">
        <v>2</v>
      </c>
      <c r="B2" s="1" t="s">
        <v>3</v>
      </c>
      <c r="C2" s="130" t="s">
        <v>28</v>
      </c>
      <c r="D2" s="130" t="s">
        <v>165</v>
      </c>
      <c r="E2" s="130" t="s">
        <v>166</v>
      </c>
      <c r="F2" s="130" t="s">
        <v>167</v>
      </c>
      <c r="G2" s="130" t="s">
        <v>168</v>
      </c>
      <c r="H2" s="130" t="s">
        <v>169</v>
      </c>
      <c r="I2" s="130" t="s">
        <v>170</v>
      </c>
      <c r="J2" s="130" t="s">
        <v>171</v>
      </c>
      <c r="K2" s="130" t="s">
        <v>172</v>
      </c>
      <c r="L2" s="130" t="s">
        <v>173</v>
      </c>
      <c r="M2" s="130" t="s">
        <v>174</v>
      </c>
      <c r="N2" s="130" t="s">
        <v>175</v>
      </c>
      <c r="O2" s="130" t="s">
        <v>176</v>
      </c>
      <c r="P2" s="130" t="s">
        <v>177</v>
      </c>
      <c r="Q2" s="130" t="s">
        <v>178</v>
      </c>
      <c r="R2" s="130" t="s">
        <v>179</v>
      </c>
      <c r="S2" s="130" t="s">
        <v>180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3" t="s">
        <v>37</v>
      </c>
      <c r="B3" s="4" t="s">
        <v>164</v>
      </c>
      <c r="C3" s="5">
        <v>0.15277777777777779</v>
      </c>
      <c r="D3" s="5">
        <v>0.21180555555555555</v>
      </c>
      <c r="E3" s="5">
        <v>0.25694444444444442</v>
      </c>
      <c r="F3" s="5">
        <v>0.27083333333333331</v>
      </c>
      <c r="G3" s="5">
        <v>0.32291666666666669</v>
      </c>
      <c r="H3" s="5">
        <v>0.37152777777777779</v>
      </c>
      <c r="I3" s="5">
        <v>0.3888888888888889</v>
      </c>
      <c r="J3" s="5">
        <v>0.42708333333333331</v>
      </c>
      <c r="K3" s="5">
        <v>0.48958333333333331</v>
      </c>
      <c r="L3" s="5">
        <v>0.55208333333333337</v>
      </c>
      <c r="M3" s="5">
        <v>0.59375</v>
      </c>
      <c r="N3" s="5">
        <v>0.65625</v>
      </c>
      <c r="O3" s="5">
        <v>0.70138888888888884</v>
      </c>
      <c r="P3" s="5">
        <v>0.71180555555555558</v>
      </c>
      <c r="Q3" s="5">
        <v>0.76041666666666663</v>
      </c>
      <c r="R3" s="5">
        <v>0.80555555555555558</v>
      </c>
      <c r="S3" s="5">
        <v>0.81597222222222221</v>
      </c>
      <c r="T3" s="133"/>
      <c r="V3" s="7"/>
    </row>
    <row r="4" spans="1:40">
      <c r="A4" s="1" t="s">
        <v>38</v>
      </c>
      <c r="B4" s="6" t="s">
        <v>163</v>
      </c>
      <c r="C4" s="7">
        <v>0.15694444444444447</v>
      </c>
      <c r="D4" s="7">
        <v>0.21458333333333332</v>
      </c>
      <c r="E4" s="7">
        <v>0.25972222222222219</v>
      </c>
      <c r="F4" s="7">
        <v>0.27361111111111108</v>
      </c>
      <c r="G4" s="7">
        <v>0.32569444444444445</v>
      </c>
      <c r="H4" s="7">
        <v>0.37430555555555556</v>
      </c>
      <c r="I4" s="7">
        <v>0.39166666666666666</v>
      </c>
      <c r="J4" s="7">
        <v>0.42986111111111108</v>
      </c>
      <c r="K4" s="7">
        <v>0.49236111111111108</v>
      </c>
      <c r="L4" s="7">
        <v>0.55486111111111114</v>
      </c>
      <c r="M4" s="7">
        <v>0.59652777777777777</v>
      </c>
      <c r="N4" s="7">
        <v>0.65902777777777777</v>
      </c>
      <c r="O4" s="7">
        <v>0.70416666666666661</v>
      </c>
      <c r="P4" s="7">
        <v>0.71458333333333335</v>
      </c>
      <c r="Q4" s="7">
        <v>0.7631944444444444</v>
      </c>
      <c r="R4" s="7">
        <v>0.80833333333333335</v>
      </c>
      <c r="S4" s="7">
        <v>0.81874999999999998</v>
      </c>
      <c r="T4" s="133"/>
      <c r="V4" s="7"/>
    </row>
    <row r="5" spans="1:40">
      <c r="A5" s="1" t="s">
        <v>39</v>
      </c>
      <c r="B5" s="6" t="s">
        <v>162</v>
      </c>
      <c r="C5" s="7">
        <v>0.16111111111111112</v>
      </c>
      <c r="D5" s="7">
        <v>0.21736111111111109</v>
      </c>
      <c r="E5" s="7">
        <v>0.26249999999999996</v>
      </c>
      <c r="F5" s="7">
        <v>0.27638888888888885</v>
      </c>
      <c r="G5" s="7">
        <v>0.32847222222222222</v>
      </c>
      <c r="H5" s="7">
        <v>0.37708333333333333</v>
      </c>
      <c r="I5" s="7">
        <v>0.39444444444444443</v>
      </c>
      <c r="J5" s="7">
        <v>0.43263888888888885</v>
      </c>
      <c r="K5" s="7">
        <v>0.49513888888888885</v>
      </c>
      <c r="L5" s="7">
        <v>0.55763888888888891</v>
      </c>
      <c r="M5" s="7">
        <v>0.59930555555555554</v>
      </c>
      <c r="N5" s="7">
        <v>0.66180555555555554</v>
      </c>
      <c r="O5" s="7">
        <v>0.70694444444444438</v>
      </c>
      <c r="P5" s="7">
        <v>0.71736111111111112</v>
      </c>
      <c r="Q5" s="7">
        <v>0.76597222222222217</v>
      </c>
      <c r="R5" s="7">
        <v>0.81111111111111112</v>
      </c>
      <c r="S5" s="7">
        <v>0.82152777777777775</v>
      </c>
      <c r="T5" s="133"/>
      <c r="V5" s="7"/>
    </row>
    <row r="6" spans="1:40">
      <c r="A6" s="6" t="s">
        <v>40</v>
      </c>
      <c r="B6" s="6" t="s">
        <v>161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33"/>
    </row>
    <row r="7" spans="1:40">
      <c r="A7" s="6" t="s">
        <v>41</v>
      </c>
      <c r="B7" s="6" t="s">
        <v>160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33"/>
    </row>
    <row r="8" spans="1:40">
      <c r="A8" s="6" t="s">
        <v>42</v>
      </c>
      <c r="B8" s="6" t="s">
        <v>159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33"/>
    </row>
    <row r="9" spans="1:40">
      <c r="A9" s="1" t="s">
        <v>43</v>
      </c>
      <c r="B9" s="6" t="s">
        <v>158</v>
      </c>
      <c r="C9" s="7">
        <v>0.17777777777777778</v>
      </c>
      <c r="D9" s="7">
        <v>0.23333333333333331</v>
      </c>
      <c r="E9" s="7">
        <v>0.27847222222222218</v>
      </c>
      <c r="F9" s="7">
        <v>0.29236111111111107</v>
      </c>
      <c r="G9" s="7">
        <v>0.34444444444444444</v>
      </c>
      <c r="H9" s="7">
        <v>0.39305555555555555</v>
      </c>
      <c r="I9" s="7">
        <v>0.41041666666666665</v>
      </c>
      <c r="J9" s="7">
        <v>0.44861111111111107</v>
      </c>
      <c r="K9" s="7">
        <v>0.51111111111111107</v>
      </c>
      <c r="L9" s="7">
        <v>0.57361111111111107</v>
      </c>
      <c r="M9" s="7">
        <v>0.61527777777777781</v>
      </c>
      <c r="N9" s="7">
        <v>0.67777777777777781</v>
      </c>
      <c r="O9" s="7">
        <v>0.72291666666666665</v>
      </c>
      <c r="P9" s="7">
        <v>0.73333333333333339</v>
      </c>
      <c r="Q9" s="7">
        <v>0.78194444444444433</v>
      </c>
      <c r="R9" s="7">
        <v>0.82708333333333339</v>
      </c>
      <c r="S9" s="7">
        <v>0.83750000000000002</v>
      </c>
      <c r="T9" s="133"/>
      <c r="V9" s="7"/>
    </row>
    <row r="10" spans="1:40">
      <c r="A10" s="1" t="s">
        <v>44</v>
      </c>
      <c r="B10" s="6" t="s">
        <v>157</v>
      </c>
      <c r="C10" s="7">
        <v>0.18125000000000002</v>
      </c>
      <c r="D10" s="7">
        <v>0.23749999999999999</v>
      </c>
      <c r="E10" s="7">
        <v>0.28263888888888888</v>
      </c>
      <c r="F10" s="7">
        <v>0.29652777777777772</v>
      </c>
      <c r="G10" s="7">
        <v>0.34861111111111109</v>
      </c>
      <c r="H10" s="7">
        <v>0.39722222222222225</v>
      </c>
      <c r="I10" s="7">
        <v>0.4145833333333333</v>
      </c>
      <c r="J10" s="7">
        <v>0.45277777777777772</v>
      </c>
      <c r="K10" s="7">
        <v>0.51527777777777772</v>
      </c>
      <c r="L10" s="7">
        <v>0.57777777777777772</v>
      </c>
      <c r="M10" s="7">
        <v>0.61944444444444446</v>
      </c>
      <c r="N10" s="7">
        <v>0.68194444444444446</v>
      </c>
      <c r="O10" s="7">
        <v>0.7270833333333333</v>
      </c>
      <c r="P10" s="7">
        <v>0.73750000000000004</v>
      </c>
      <c r="Q10" s="7">
        <v>0.78611111111111098</v>
      </c>
      <c r="R10" s="7">
        <v>0.83125000000000004</v>
      </c>
      <c r="S10" s="7">
        <v>0.84166666666666667</v>
      </c>
      <c r="T10" s="133"/>
      <c r="V10" s="7"/>
    </row>
    <row r="11" spans="1:40">
      <c r="A11" s="6" t="s">
        <v>45</v>
      </c>
      <c r="B11" s="6" t="s">
        <v>156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33"/>
    </row>
    <row r="12" spans="1:40">
      <c r="A12" s="6" t="s">
        <v>46</v>
      </c>
      <c r="B12" s="6" t="s">
        <v>155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33"/>
    </row>
    <row r="13" spans="1:40">
      <c r="A13" s="1" t="s">
        <v>47</v>
      </c>
      <c r="B13" s="6" t="s">
        <v>154</v>
      </c>
      <c r="C13" s="7">
        <v>0.18819444444444447</v>
      </c>
      <c r="D13" s="7">
        <v>0.24583333333333332</v>
      </c>
      <c r="E13" s="7">
        <v>0.29097222222222219</v>
      </c>
      <c r="F13" s="7">
        <v>0.30486111111111103</v>
      </c>
      <c r="G13" s="7">
        <v>0.3569444444444444</v>
      </c>
      <c r="H13" s="7">
        <v>0.40555555555555556</v>
      </c>
      <c r="I13" s="7">
        <v>0.42291666666666661</v>
      </c>
      <c r="J13" s="7">
        <v>0.46111111111111103</v>
      </c>
      <c r="K13" s="7">
        <v>0.52361111111111103</v>
      </c>
      <c r="L13" s="7">
        <v>0.58611111111111103</v>
      </c>
      <c r="M13" s="7">
        <v>0.62777777777777777</v>
      </c>
      <c r="N13" s="7">
        <v>0.69027777777777777</v>
      </c>
      <c r="O13" s="7">
        <v>0.73541666666666661</v>
      </c>
      <c r="P13" s="7">
        <v>0.74583333333333335</v>
      </c>
      <c r="Q13" s="7">
        <v>0.79444444444444429</v>
      </c>
      <c r="R13" s="7">
        <v>0.83958333333333335</v>
      </c>
      <c r="S13" s="7">
        <v>0.85</v>
      </c>
      <c r="T13" s="133"/>
      <c r="V13" s="7"/>
    </row>
    <row r="14" spans="1:40">
      <c r="A14" s="6" t="s">
        <v>48</v>
      </c>
      <c r="B14" s="6" t="s">
        <v>153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33"/>
    </row>
    <row r="15" spans="1:40">
      <c r="A15" s="1" t="s">
        <v>49</v>
      </c>
      <c r="B15" s="6" t="s">
        <v>152</v>
      </c>
      <c r="C15" s="7">
        <v>0.19791666666666669</v>
      </c>
      <c r="D15" s="7">
        <v>0.25763888888888886</v>
      </c>
      <c r="E15" s="7">
        <v>0.3027777777777777</v>
      </c>
      <c r="F15" s="7">
        <v>0.31666666666666654</v>
      </c>
      <c r="G15" s="7">
        <v>0.36874999999999991</v>
      </c>
      <c r="H15" s="7">
        <v>0.41736111111111107</v>
      </c>
      <c r="I15" s="7">
        <v>0.43472222222222212</v>
      </c>
      <c r="J15" s="7">
        <v>0.47291666666666654</v>
      </c>
      <c r="K15" s="7">
        <v>0.53541666666666654</v>
      </c>
      <c r="L15" s="7">
        <v>0.59791666666666654</v>
      </c>
      <c r="M15" s="7">
        <v>0.63958333333333328</v>
      </c>
      <c r="N15" s="7">
        <v>0.70208333333333328</v>
      </c>
      <c r="O15" s="7">
        <v>0.74722222222222212</v>
      </c>
      <c r="P15" s="7">
        <v>0.75763888888888886</v>
      </c>
      <c r="Q15" s="7">
        <v>0.8062499999999998</v>
      </c>
      <c r="R15" s="7">
        <v>0.85138888888888886</v>
      </c>
      <c r="S15" s="7">
        <v>0.86180555555555549</v>
      </c>
      <c r="T15" s="133"/>
      <c r="V15" s="7"/>
    </row>
    <row r="16" spans="1:40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20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7"/>
      <c r="B23" s="7"/>
    </row>
    <row r="24" spans="1:20">
      <c r="A24" s="7"/>
      <c r="B24" s="7"/>
    </row>
    <row r="25" spans="1:20">
      <c r="A25" s="7"/>
      <c r="B25" s="7"/>
    </row>
    <row r="26" spans="1:20">
      <c r="A26" s="7"/>
      <c r="B26" s="7"/>
    </row>
    <row r="27" spans="1:20">
      <c r="A27" s="7"/>
      <c r="B27" s="7"/>
    </row>
    <row r="28" spans="1:20">
      <c r="A28" s="7"/>
      <c r="B28" s="7"/>
    </row>
    <row r="29" spans="1:20">
      <c r="A29" s="7"/>
      <c r="B29" s="7"/>
    </row>
    <row r="30" spans="1:20">
      <c r="A30" s="7"/>
      <c r="B30" s="9"/>
      <c r="C30" s="8"/>
      <c r="D30" s="8"/>
      <c r="E30" s="8"/>
    </row>
    <row r="31" spans="1:20">
      <c r="A31" s="7"/>
      <c r="B31" s="132"/>
      <c r="C31" s="11"/>
      <c r="D31" s="11"/>
      <c r="E31" s="11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10"/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00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45890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138</v>
      </c>
      <c r="D2" s="130" t="s">
        <v>140</v>
      </c>
      <c r="E2" s="130" t="s">
        <v>139</v>
      </c>
      <c r="F2" s="130" t="s">
        <v>141</v>
      </c>
      <c r="G2" s="130" t="s">
        <v>143</v>
      </c>
      <c r="H2" s="130" t="s">
        <v>144</v>
      </c>
      <c r="I2" s="130" t="s">
        <v>145</v>
      </c>
      <c r="J2" s="130" t="s">
        <v>147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4" t="s">
        <v>49</v>
      </c>
      <c r="B3" s="4" t="s">
        <v>152</v>
      </c>
      <c r="C3" s="5">
        <v>0.20833333333333334</v>
      </c>
      <c r="D3" s="5">
        <v>0.2638888888888889</v>
      </c>
      <c r="E3" s="5">
        <v>0.31944444444444442</v>
      </c>
      <c r="F3" s="5">
        <v>0.40277777777777779</v>
      </c>
      <c r="G3" s="5">
        <v>0.56944444444444442</v>
      </c>
      <c r="H3" s="5">
        <v>0.65277777777777779</v>
      </c>
      <c r="I3" s="5">
        <v>0.73611111111111116</v>
      </c>
      <c r="J3" s="5">
        <v>0.76041666666666663</v>
      </c>
      <c r="K3" s="131"/>
    </row>
    <row r="4" spans="1:27">
      <c r="A4" s="6" t="s">
        <v>48</v>
      </c>
      <c r="B4" s="7" t="s">
        <v>153</v>
      </c>
      <c r="C4" s="7"/>
      <c r="D4" s="7"/>
      <c r="E4" s="7"/>
      <c r="F4" s="7"/>
      <c r="G4" s="7"/>
      <c r="H4" s="7"/>
      <c r="I4" s="7"/>
      <c r="J4" s="7"/>
      <c r="K4" s="131"/>
    </row>
    <row r="5" spans="1:27">
      <c r="A5" s="6" t="s">
        <v>47</v>
      </c>
      <c r="B5" s="7" t="s">
        <v>154</v>
      </c>
      <c r="C5" s="7">
        <v>0.21944444444444444</v>
      </c>
      <c r="D5" s="7">
        <v>0.27500000000000002</v>
      </c>
      <c r="E5" s="7">
        <v>0.33055555555555555</v>
      </c>
      <c r="F5" s="7">
        <v>0.41388888888888886</v>
      </c>
      <c r="G5" s="7">
        <v>0.5805555555555556</v>
      </c>
      <c r="H5" s="7">
        <v>0.66388888888888886</v>
      </c>
      <c r="I5" s="7">
        <v>0.74513888888888891</v>
      </c>
      <c r="J5" s="7">
        <v>0.76944444444444449</v>
      </c>
      <c r="K5" s="131"/>
    </row>
    <row r="6" spans="1:27">
      <c r="A6" s="6" t="s">
        <v>46</v>
      </c>
      <c r="B6" s="6" t="s">
        <v>155</v>
      </c>
      <c r="C6" s="7"/>
      <c r="D6" s="7"/>
      <c r="E6" s="7"/>
      <c r="F6" s="7"/>
      <c r="G6" s="7"/>
      <c r="H6" s="7"/>
      <c r="I6" s="7"/>
      <c r="J6" s="7"/>
      <c r="K6" s="131"/>
    </row>
    <row r="7" spans="1:27">
      <c r="A7" s="6" t="s">
        <v>45</v>
      </c>
      <c r="B7" s="6" t="s">
        <v>156</v>
      </c>
      <c r="C7" s="7"/>
      <c r="D7" s="7"/>
      <c r="E7" s="7"/>
      <c r="F7" s="7"/>
      <c r="G7" s="7"/>
      <c r="H7" s="7"/>
      <c r="I7" s="7"/>
      <c r="J7" s="7"/>
      <c r="K7" s="131"/>
    </row>
    <row r="8" spans="1:27">
      <c r="A8" s="6" t="s">
        <v>44</v>
      </c>
      <c r="B8" s="6" t="s">
        <v>157</v>
      </c>
      <c r="C8" s="7">
        <v>0.22847222222222222</v>
      </c>
      <c r="D8" s="7">
        <v>0.28402777777777777</v>
      </c>
      <c r="E8" s="7">
        <v>0.33958333333333335</v>
      </c>
      <c r="F8" s="7">
        <v>0.42291666666666666</v>
      </c>
      <c r="G8" s="7">
        <v>0.58958333333333335</v>
      </c>
      <c r="H8" s="7">
        <v>0.67291666666666672</v>
      </c>
      <c r="I8" s="7">
        <v>0.75347222222222221</v>
      </c>
      <c r="J8" s="7">
        <v>0.77777777777777779</v>
      </c>
      <c r="K8" s="131"/>
    </row>
    <row r="9" spans="1:27">
      <c r="A9" s="6" t="s">
        <v>43</v>
      </c>
      <c r="B9" s="6" t="s">
        <v>158</v>
      </c>
      <c r="C9" s="7">
        <v>0.2326388888888889</v>
      </c>
      <c r="D9" s="7">
        <v>0.28819444444444442</v>
      </c>
      <c r="E9" s="7">
        <v>0.34375</v>
      </c>
      <c r="F9" s="7">
        <v>0.42708333333333331</v>
      </c>
      <c r="G9" s="7">
        <v>0.59375</v>
      </c>
      <c r="H9" s="7">
        <v>0.67708333333333337</v>
      </c>
      <c r="I9" s="7">
        <v>0.75694444444444442</v>
      </c>
      <c r="J9" s="7">
        <v>0.78125</v>
      </c>
      <c r="K9" s="131"/>
    </row>
    <row r="10" spans="1:27">
      <c r="A10" s="6" t="s">
        <v>42</v>
      </c>
      <c r="B10" s="6" t="s">
        <v>159</v>
      </c>
      <c r="C10" s="7"/>
      <c r="D10" s="7"/>
      <c r="E10" s="7"/>
      <c r="F10" s="7"/>
      <c r="G10" s="7"/>
      <c r="H10" s="7"/>
      <c r="I10" s="7"/>
      <c r="J10" s="7"/>
      <c r="K10" s="131"/>
    </row>
    <row r="11" spans="1:27">
      <c r="A11" s="6" t="s">
        <v>41</v>
      </c>
      <c r="B11" s="6" t="s">
        <v>160</v>
      </c>
      <c r="C11" s="7"/>
      <c r="D11" s="7"/>
      <c r="E11" s="7"/>
      <c r="F11" s="7"/>
      <c r="G11" s="7"/>
      <c r="H11" s="7"/>
      <c r="I11" s="7"/>
      <c r="J11" s="7"/>
      <c r="K11" s="131"/>
    </row>
    <row r="12" spans="1:27">
      <c r="A12" s="6" t="s">
        <v>40</v>
      </c>
      <c r="B12" s="6" t="s">
        <v>161</v>
      </c>
      <c r="C12" s="7"/>
      <c r="D12" s="7"/>
      <c r="E12" s="7"/>
      <c r="F12" s="7"/>
      <c r="G12" s="7"/>
      <c r="H12" s="7"/>
      <c r="I12" s="7"/>
      <c r="J12" s="7"/>
      <c r="K12" s="131"/>
    </row>
    <row r="13" spans="1:27">
      <c r="A13" s="6" t="s">
        <v>39</v>
      </c>
      <c r="B13" s="6" t="s">
        <v>162</v>
      </c>
      <c r="C13" s="7">
        <v>0.24791666666666667</v>
      </c>
      <c r="D13" s="7">
        <v>0.3034722222222222</v>
      </c>
      <c r="E13" s="7">
        <v>0.35902777777777778</v>
      </c>
      <c r="F13" s="7">
        <v>0.44236111111111109</v>
      </c>
      <c r="G13" s="7">
        <v>0.60902777777777772</v>
      </c>
      <c r="H13" s="7">
        <v>0.69236111111111109</v>
      </c>
      <c r="I13" s="7">
        <v>0.7729166666666667</v>
      </c>
      <c r="J13" s="7">
        <v>0.79722222222222228</v>
      </c>
      <c r="K13" s="131"/>
    </row>
    <row r="14" spans="1:27">
      <c r="A14" s="6" t="s">
        <v>38</v>
      </c>
      <c r="B14" s="6" t="s">
        <v>163</v>
      </c>
      <c r="C14" s="7">
        <v>0.25069444444444444</v>
      </c>
      <c r="D14" s="7">
        <v>0.30625000000000002</v>
      </c>
      <c r="E14" s="7">
        <v>0.36180555555555555</v>
      </c>
      <c r="F14" s="7">
        <v>0.44513888888888886</v>
      </c>
      <c r="G14" s="7">
        <v>0.6118055555555556</v>
      </c>
      <c r="H14" s="7">
        <v>0.69513888888888886</v>
      </c>
      <c r="I14" s="7">
        <v>0.77708333333333335</v>
      </c>
      <c r="J14" s="7">
        <v>0.80138888888888893</v>
      </c>
      <c r="K14" s="131"/>
    </row>
    <row r="15" spans="1:27">
      <c r="A15" s="6" t="s">
        <v>37</v>
      </c>
      <c r="B15" s="6" t="s">
        <v>164</v>
      </c>
      <c r="C15" s="7">
        <v>0.25416666666666665</v>
      </c>
      <c r="D15" s="7">
        <v>0.30972222222222223</v>
      </c>
      <c r="E15" s="7">
        <v>0.36527777777777776</v>
      </c>
      <c r="F15" s="7">
        <v>0.44861111111111113</v>
      </c>
      <c r="G15" s="7">
        <v>0.61527777777777781</v>
      </c>
      <c r="H15" s="7">
        <v>0.69861111111111107</v>
      </c>
      <c r="I15" s="7">
        <v>0.78125</v>
      </c>
      <c r="J15" s="7">
        <v>0.80555555555555558</v>
      </c>
      <c r="K15" s="131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30" spans="1:20">
      <c r="A30" s="8"/>
      <c r="B30" s="8"/>
      <c r="C30" s="8"/>
      <c r="D30" s="8"/>
      <c r="E30" s="8"/>
    </row>
    <row r="31" spans="1:20">
      <c r="A31" s="11"/>
      <c r="B31" s="11"/>
      <c r="C31" s="11"/>
      <c r="D31" s="11"/>
      <c r="E31" s="11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B34" s="11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C0000"/>
    <outlinePr summaryBelow="0" summaryRight="0"/>
  </sheetPr>
  <dimension ref="A1:AA43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45890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165</v>
      </c>
      <c r="D2" s="130" t="s">
        <v>167</v>
      </c>
      <c r="E2" s="130" t="s">
        <v>166</v>
      </c>
      <c r="F2" s="130" t="s">
        <v>168</v>
      </c>
      <c r="G2" s="130" t="s">
        <v>169</v>
      </c>
      <c r="H2" s="130" t="s">
        <v>171</v>
      </c>
      <c r="I2" s="130" t="s">
        <v>172</v>
      </c>
      <c r="J2" s="130" t="s">
        <v>174</v>
      </c>
      <c r="K2" s="130" t="s">
        <v>175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37</v>
      </c>
      <c r="B3" s="4" t="s">
        <v>164</v>
      </c>
      <c r="C3" s="5">
        <v>0.15625</v>
      </c>
      <c r="D3" s="5">
        <v>0.20833333333333334</v>
      </c>
      <c r="E3" s="5">
        <v>0.2638888888888889</v>
      </c>
      <c r="F3" s="5">
        <v>0.31944444444444442</v>
      </c>
      <c r="G3" s="5">
        <v>0.375</v>
      </c>
      <c r="H3" s="5">
        <v>0.45833333333333331</v>
      </c>
      <c r="I3" s="5">
        <v>0.625</v>
      </c>
      <c r="J3" s="5">
        <v>0.70833333333333337</v>
      </c>
      <c r="K3" s="5">
        <v>0.79166666666666663</v>
      </c>
      <c r="L3" s="133"/>
    </row>
    <row r="4" spans="1:27">
      <c r="A4" s="1" t="s">
        <v>38</v>
      </c>
      <c r="B4" s="6" t="s">
        <v>163</v>
      </c>
      <c r="C4" s="7">
        <v>0.16041666666666668</v>
      </c>
      <c r="D4" s="7">
        <v>0.21111111111111111</v>
      </c>
      <c r="E4" s="7">
        <v>0.26666666666666666</v>
      </c>
      <c r="F4" s="7">
        <v>0.32222222222222224</v>
      </c>
      <c r="G4" s="7">
        <v>0.37777777777777777</v>
      </c>
      <c r="H4" s="7">
        <v>0.46111111111111114</v>
      </c>
      <c r="I4" s="7">
        <v>0.62777777777777777</v>
      </c>
      <c r="J4" s="7">
        <v>0.71111111111111114</v>
      </c>
      <c r="K4" s="7">
        <v>0.79583333333333328</v>
      </c>
      <c r="L4" s="133"/>
    </row>
    <row r="5" spans="1:27">
      <c r="A5" s="1" t="s">
        <v>39</v>
      </c>
      <c r="B5" s="6" t="s">
        <v>162</v>
      </c>
      <c r="C5" s="7">
        <v>0.16458333333333333</v>
      </c>
      <c r="D5" s="7">
        <v>0.21388888888888888</v>
      </c>
      <c r="E5" s="7">
        <v>0.26944444444444443</v>
      </c>
      <c r="F5" s="7">
        <v>0.32500000000000001</v>
      </c>
      <c r="G5" s="7">
        <v>0.38055555555555554</v>
      </c>
      <c r="H5" s="7">
        <v>0.46388888888888891</v>
      </c>
      <c r="I5" s="7">
        <v>0.63055555555555554</v>
      </c>
      <c r="J5" s="7">
        <v>0.71388888888888891</v>
      </c>
      <c r="K5" s="7">
        <v>0.8</v>
      </c>
      <c r="L5" s="133"/>
    </row>
    <row r="6" spans="1:27">
      <c r="A6" s="6" t="s">
        <v>40</v>
      </c>
      <c r="B6" s="6" t="s">
        <v>161</v>
      </c>
      <c r="C6" s="7"/>
      <c r="D6" s="7"/>
      <c r="E6" s="7"/>
      <c r="F6" s="7"/>
      <c r="G6" s="7"/>
      <c r="H6" s="7"/>
      <c r="I6" s="7"/>
      <c r="J6" s="7"/>
      <c r="K6" s="7"/>
      <c r="L6" s="133"/>
    </row>
    <row r="7" spans="1:27">
      <c r="A7" s="6" t="s">
        <v>41</v>
      </c>
      <c r="B7" s="6" t="s">
        <v>160</v>
      </c>
      <c r="C7" s="7"/>
      <c r="D7" s="7"/>
      <c r="E7" s="7"/>
      <c r="F7" s="7"/>
      <c r="G7" s="7"/>
      <c r="H7" s="7"/>
      <c r="I7" s="7"/>
      <c r="J7" s="7"/>
      <c r="K7" s="7"/>
      <c r="L7" s="133"/>
    </row>
    <row r="8" spans="1:27">
      <c r="A8" s="6" t="s">
        <v>42</v>
      </c>
      <c r="B8" s="6" t="s">
        <v>159</v>
      </c>
      <c r="C8" s="7"/>
      <c r="D8" s="7"/>
      <c r="E8" s="7"/>
      <c r="F8" s="7"/>
      <c r="G8" s="7"/>
      <c r="H8" s="7"/>
      <c r="I8" s="7"/>
      <c r="J8" s="7"/>
      <c r="K8" s="7"/>
      <c r="L8" s="133"/>
    </row>
    <row r="9" spans="1:27">
      <c r="A9" s="1" t="s">
        <v>43</v>
      </c>
      <c r="B9" s="6" t="s">
        <v>158</v>
      </c>
      <c r="C9" s="7">
        <v>0.18124999999999999</v>
      </c>
      <c r="D9" s="7">
        <v>0.2298611111111111</v>
      </c>
      <c r="E9" s="7">
        <v>0.28541666666666665</v>
      </c>
      <c r="F9" s="7">
        <v>0.34097222222222223</v>
      </c>
      <c r="G9" s="7">
        <v>0.39652777777777776</v>
      </c>
      <c r="H9" s="7">
        <v>0.47986111111111113</v>
      </c>
      <c r="I9" s="7">
        <v>0.64652777777777781</v>
      </c>
      <c r="J9" s="7">
        <v>0.72986111111111107</v>
      </c>
      <c r="K9" s="7">
        <v>0.81666666666666665</v>
      </c>
      <c r="L9" s="133"/>
    </row>
    <row r="10" spans="1:27">
      <c r="A10" s="1" t="s">
        <v>44</v>
      </c>
      <c r="B10" s="6" t="s">
        <v>157</v>
      </c>
      <c r="C10" s="7">
        <v>0.18472222222222223</v>
      </c>
      <c r="D10" s="7">
        <v>0.23402777777777778</v>
      </c>
      <c r="E10" s="7">
        <v>0.28958333333333336</v>
      </c>
      <c r="F10" s="7">
        <v>0.34513888888888888</v>
      </c>
      <c r="G10" s="7">
        <v>0.40069444444444446</v>
      </c>
      <c r="H10" s="7">
        <v>0.48402777777777778</v>
      </c>
      <c r="I10" s="7">
        <v>0.65069444444444446</v>
      </c>
      <c r="J10" s="7">
        <v>0.73402777777777772</v>
      </c>
      <c r="K10" s="7">
        <v>0.82013888888888886</v>
      </c>
      <c r="L10" s="133"/>
    </row>
    <row r="11" spans="1:27">
      <c r="A11" s="6" t="s">
        <v>45</v>
      </c>
      <c r="B11" s="6" t="s">
        <v>156</v>
      </c>
      <c r="C11" s="7"/>
      <c r="D11" s="7"/>
      <c r="E11" s="7"/>
      <c r="F11" s="7"/>
      <c r="G11" s="7"/>
      <c r="H11" s="7"/>
      <c r="I11" s="7"/>
      <c r="J11" s="7"/>
      <c r="K11" s="7"/>
      <c r="L11" s="133"/>
    </row>
    <row r="12" spans="1:27">
      <c r="A12" s="6" t="s">
        <v>46</v>
      </c>
      <c r="B12" s="6" t="s">
        <v>155</v>
      </c>
      <c r="C12" s="7"/>
      <c r="D12" s="7"/>
      <c r="E12" s="7"/>
      <c r="F12" s="7"/>
      <c r="G12" s="7"/>
      <c r="H12" s="7"/>
      <c r="I12" s="7"/>
      <c r="J12" s="7"/>
      <c r="K12" s="7"/>
      <c r="L12" s="133"/>
    </row>
    <row r="13" spans="1:27">
      <c r="A13" s="1" t="s">
        <v>47</v>
      </c>
      <c r="B13" s="6" t="s">
        <v>154</v>
      </c>
      <c r="C13" s="7">
        <v>0.19166666666666668</v>
      </c>
      <c r="D13" s="7">
        <v>0.24236111111111111</v>
      </c>
      <c r="E13" s="7">
        <v>0.29791666666666666</v>
      </c>
      <c r="F13" s="7">
        <v>0.35347222222222224</v>
      </c>
      <c r="G13" s="7">
        <v>0.40902777777777777</v>
      </c>
      <c r="H13" s="7">
        <v>0.49236111111111114</v>
      </c>
      <c r="I13" s="7">
        <v>0.65902777777777777</v>
      </c>
      <c r="J13" s="7">
        <v>0.7416666666666667</v>
      </c>
      <c r="K13" s="7">
        <v>0.82708333333333328</v>
      </c>
      <c r="L13" s="133"/>
    </row>
    <row r="14" spans="1:27">
      <c r="A14" s="6" t="s">
        <v>48</v>
      </c>
      <c r="B14" s="6" t="s">
        <v>153</v>
      </c>
      <c r="C14" s="7"/>
      <c r="D14" s="7"/>
      <c r="E14" s="7"/>
      <c r="F14" s="7"/>
      <c r="G14" s="7"/>
      <c r="H14" s="7"/>
      <c r="I14" s="7"/>
      <c r="J14" s="7"/>
      <c r="K14" s="7"/>
      <c r="L14" s="133"/>
    </row>
    <row r="15" spans="1:27">
      <c r="A15" s="1" t="s">
        <v>49</v>
      </c>
      <c r="B15" s="6" t="s">
        <v>152</v>
      </c>
      <c r="C15" s="7">
        <v>0.2013888888888889</v>
      </c>
      <c r="D15" s="7">
        <v>0.25416666666666665</v>
      </c>
      <c r="E15" s="7">
        <v>0.30972222222222223</v>
      </c>
      <c r="F15" s="7">
        <v>0.36527777777777776</v>
      </c>
      <c r="G15" s="7">
        <v>0.42083333333333334</v>
      </c>
      <c r="H15" s="7">
        <v>0.50416666666666665</v>
      </c>
      <c r="I15" s="7">
        <v>0.67083333333333328</v>
      </c>
      <c r="J15" s="7">
        <v>0.75347222222222221</v>
      </c>
      <c r="K15" s="7">
        <v>0.83680555555555558</v>
      </c>
      <c r="L15" s="133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C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7"/>
      <c r="B23" s="7"/>
    </row>
    <row r="24" spans="1:20">
      <c r="A24" s="7"/>
      <c r="B24" s="7"/>
    </row>
    <row r="25" spans="1:20">
      <c r="A25" s="7"/>
      <c r="B25" s="7"/>
    </row>
    <row r="26" spans="1:20">
      <c r="A26" s="7"/>
      <c r="B26" s="7"/>
    </row>
    <row r="27" spans="1:20">
      <c r="A27" s="7"/>
      <c r="B27" s="7"/>
    </row>
    <row r="28" spans="1:20">
      <c r="A28" s="7"/>
      <c r="B28" s="7"/>
    </row>
    <row r="29" spans="1:20">
      <c r="A29" s="7"/>
      <c r="B29" s="7"/>
    </row>
    <row r="30" spans="1:20">
      <c r="A30" s="7"/>
      <c r="B30" s="9"/>
      <c r="C30" s="8"/>
      <c r="D30" s="8"/>
      <c r="E30" s="8"/>
    </row>
    <row r="31" spans="1:20">
      <c r="A31" s="7"/>
      <c r="B31" s="132"/>
      <c r="C31" s="11"/>
      <c r="D31" s="11"/>
      <c r="E31" s="11"/>
    </row>
    <row r="32" spans="1:20">
      <c r="A32" s="9"/>
      <c r="B32" s="9"/>
      <c r="C32" s="8"/>
      <c r="D32" s="8"/>
      <c r="E32" s="8"/>
      <c r="F32" s="8"/>
      <c r="G32" s="8"/>
      <c r="H32" s="8"/>
      <c r="I32" s="8"/>
      <c r="J32" s="8"/>
    </row>
    <row r="33" spans="1:10">
      <c r="A33" s="132"/>
      <c r="B33" s="9"/>
      <c r="C33" s="11"/>
      <c r="D33" s="11"/>
      <c r="E33" s="11"/>
      <c r="F33" s="11"/>
      <c r="G33" s="11"/>
      <c r="H33" s="11"/>
      <c r="I33" s="11"/>
      <c r="J33" s="11"/>
    </row>
    <row r="34" spans="1:10">
      <c r="A34" s="132"/>
      <c r="B34" s="9"/>
      <c r="C34" s="11"/>
      <c r="D34" s="11"/>
      <c r="E34" s="11"/>
      <c r="F34" s="11"/>
      <c r="G34" s="11"/>
      <c r="H34" s="11"/>
      <c r="I34" s="11"/>
      <c r="J34" s="11"/>
    </row>
    <row r="35" spans="1:10">
      <c r="A35" s="132"/>
      <c r="B35" s="9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outlinePr summaryBelow="0" summaryRight="0"/>
  </sheetPr>
  <dimension ref="A1:AI68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35">
      <c r="A1" s="1" t="s">
        <v>0</v>
      </c>
      <c r="B1" s="2">
        <v>46055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 t="s">
        <v>2</v>
      </c>
      <c r="B2" s="1" t="s">
        <v>3</v>
      </c>
      <c r="C2" s="127">
        <v>4501</v>
      </c>
      <c r="D2" s="127">
        <v>4503</v>
      </c>
      <c r="E2" s="127">
        <v>4401</v>
      </c>
      <c r="F2" s="127">
        <v>4505</v>
      </c>
      <c r="G2" s="127">
        <v>4403</v>
      </c>
      <c r="H2" s="127">
        <v>4507</v>
      </c>
      <c r="I2" s="127">
        <v>4405</v>
      </c>
      <c r="J2" s="127">
        <v>4509</v>
      </c>
      <c r="K2" s="127">
        <v>4407</v>
      </c>
      <c r="L2" s="127">
        <v>4511</v>
      </c>
      <c r="M2" s="127">
        <v>4409</v>
      </c>
      <c r="N2" s="127">
        <v>4513</v>
      </c>
      <c r="O2" s="127">
        <v>4411</v>
      </c>
      <c r="P2" s="127">
        <v>4515</v>
      </c>
      <c r="Q2" s="127">
        <v>4413</v>
      </c>
      <c r="R2" s="127">
        <v>4517</v>
      </c>
      <c r="S2" s="127">
        <v>4415</v>
      </c>
      <c r="T2" s="127">
        <v>4519</v>
      </c>
      <c r="U2" s="127">
        <v>4417</v>
      </c>
      <c r="V2" s="127">
        <v>4521</v>
      </c>
      <c r="W2" s="127">
        <v>4419</v>
      </c>
      <c r="X2" s="127">
        <v>4523</v>
      </c>
      <c r="Y2" s="127">
        <v>4421</v>
      </c>
      <c r="Z2" s="127">
        <v>4525</v>
      </c>
      <c r="AA2" s="127">
        <v>4423</v>
      </c>
      <c r="AB2" s="127">
        <v>4527</v>
      </c>
      <c r="AC2" s="127">
        <v>4425</v>
      </c>
      <c r="AD2" s="127">
        <v>4529</v>
      </c>
      <c r="AE2" s="127">
        <v>4427</v>
      </c>
      <c r="AF2" s="127">
        <v>4531</v>
      </c>
      <c r="AG2" s="127">
        <v>4429</v>
      </c>
      <c r="AH2" s="127">
        <v>4533</v>
      </c>
      <c r="AI2" s="127"/>
    </row>
    <row r="3" spans="1:35">
      <c r="A3" s="3" t="s">
        <v>24</v>
      </c>
      <c r="B3" s="5" t="s">
        <v>25</v>
      </c>
      <c r="C3" s="80"/>
      <c r="D3" s="80"/>
      <c r="E3" s="80">
        <v>0.21180555555555555</v>
      </c>
      <c r="F3" s="80"/>
      <c r="G3" s="80">
        <v>0.25347222222222221</v>
      </c>
      <c r="H3" s="80"/>
      <c r="I3" s="80">
        <v>0.2951388888888889</v>
      </c>
      <c r="J3" s="80"/>
      <c r="K3" s="80">
        <v>0.33680555555555558</v>
      </c>
      <c r="L3" s="80"/>
      <c r="M3" s="80">
        <v>0.37847222222222221</v>
      </c>
      <c r="N3" s="80"/>
      <c r="O3" s="80">
        <v>0.4201388888888889</v>
      </c>
      <c r="P3" s="80"/>
      <c r="Q3" s="80">
        <v>0.46180555555555558</v>
      </c>
      <c r="R3" s="80"/>
      <c r="S3" s="80">
        <v>0.50347222222222221</v>
      </c>
      <c r="T3" s="80"/>
      <c r="U3" s="80">
        <v>0.54513888888888884</v>
      </c>
      <c r="V3" s="80"/>
      <c r="W3" s="80">
        <v>0.58680555555555558</v>
      </c>
      <c r="X3" s="80"/>
      <c r="Y3" s="80">
        <v>0.62847222222222221</v>
      </c>
      <c r="Z3" s="80"/>
      <c r="AA3" s="80">
        <v>0.67013888888888884</v>
      </c>
      <c r="AB3" s="80"/>
      <c r="AC3" s="80">
        <v>0.71319444444444446</v>
      </c>
      <c r="AD3" s="80"/>
      <c r="AE3" s="80">
        <v>0.75694444444444442</v>
      </c>
      <c r="AF3" s="80"/>
      <c r="AG3" s="80">
        <v>0.80555555555555558</v>
      </c>
      <c r="AH3" s="80"/>
      <c r="AI3" s="80"/>
    </row>
    <row r="4" spans="1:35">
      <c r="A4" s="1" t="s">
        <v>91</v>
      </c>
      <c r="B4" s="6" t="s">
        <v>92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</row>
    <row r="5" spans="1:35">
      <c r="A5" s="1" t="s">
        <v>93</v>
      </c>
      <c r="B5" s="6" t="s">
        <v>94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</row>
    <row r="6" spans="1:35">
      <c r="A6" s="6" t="s">
        <v>22</v>
      </c>
      <c r="B6" s="6" t="s">
        <v>23</v>
      </c>
      <c r="C6" s="82"/>
      <c r="D6" s="82"/>
      <c r="E6" s="82">
        <v>0.21597222222222223</v>
      </c>
      <c r="F6" s="82"/>
      <c r="G6" s="82">
        <v>0.25763888888888886</v>
      </c>
      <c r="H6" s="82"/>
      <c r="I6" s="82">
        <v>0.29930555555555555</v>
      </c>
      <c r="J6" s="82"/>
      <c r="K6" s="82">
        <v>0.34097222222222223</v>
      </c>
      <c r="L6" s="82"/>
      <c r="M6" s="82">
        <v>0.38263888888888886</v>
      </c>
      <c r="N6" s="82"/>
      <c r="O6" s="82">
        <v>0.42430555555555555</v>
      </c>
      <c r="P6" s="82"/>
      <c r="Q6" s="82">
        <v>0.46597222222222223</v>
      </c>
      <c r="R6" s="82"/>
      <c r="S6" s="82">
        <v>0.50763888888888886</v>
      </c>
      <c r="T6" s="82"/>
      <c r="U6" s="82">
        <v>0.5493055555555556</v>
      </c>
      <c r="V6" s="82"/>
      <c r="W6" s="82">
        <v>0.59097222222222223</v>
      </c>
      <c r="X6" s="82"/>
      <c r="Y6" s="82">
        <v>0.63263888888888886</v>
      </c>
      <c r="Z6" s="82"/>
      <c r="AA6" s="82">
        <v>0.6743055555555556</v>
      </c>
      <c r="AB6" s="82"/>
      <c r="AC6" s="82">
        <v>0.71736111111111112</v>
      </c>
      <c r="AD6" s="82"/>
      <c r="AE6" s="82">
        <v>0.76111111111111107</v>
      </c>
      <c r="AF6" s="82"/>
      <c r="AG6" s="82">
        <v>0.80972222222222223</v>
      </c>
      <c r="AH6" s="82"/>
      <c r="AI6" s="82"/>
    </row>
    <row r="7" spans="1:35">
      <c r="A7" s="6" t="s">
        <v>95</v>
      </c>
      <c r="B7" s="6" t="s">
        <v>96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</row>
    <row r="8" spans="1:35">
      <c r="A8" s="6" t="s">
        <v>97</v>
      </c>
      <c r="B8" s="6" t="s">
        <v>98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</row>
    <row r="9" spans="1:35">
      <c r="A9" s="1" t="s">
        <v>99</v>
      </c>
      <c r="B9" s="6" t="s">
        <v>100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</row>
    <row r="10" spans="1:35">
      <c r="A10" s="1" t="s">
        <v>101</v>
      </c>
      <c r="B10" s="6" t="s">
        <v>102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</row>
    <row r="11" spans="1:35">
      <c r="A11" s="6" t="s">
        <v>20</v>
      </c>
      <c r="B11" s="6" t="s">
        <v>21</v>
      </c>
      <c r="C11" s="82"/>
      <c r="D11" s="82"/>
      <c r="E11" s="82">
        <v>0.22083333333333333</v>
      </c>
      <c r="F11" s="82"/>
      <c r="G11" s="82">
        <v>0.26250000000000001</v>
      </c>
      <c r="H11" s="82"/>
      <c r="I11" s="82">
        <v>0.30416666666666664</v>
      </c>
      <c r="J11" s="82"/>
      <c r="K11" s="82">
        <v>0.34583333333333333</v>
      </c>
      <c r="L11" s="82"/>
      <c r="M11" s="82">
        <v>0.38750000000000001</v>
      </c>
      <c r="N11" s="82"/>
      <c r="O11" s="82">
        <v>0.42916666666666664</v>
      </c>
      <c r="P11" s="82"/>
      <c r="Q11" s="82">
        <v>0.47083333333333333</v>
      </c>
      <c r="R11" s="82"/>
      <c r="S11" s="82">
        <v>0.51249999999999996</v>
      </c>
      <c r="T11" s="82"/>
      <c r="U11" s="82">
        <v>0.5541666666666667</v>
      </c>
      <c r="V11" s="82"/>
      <c r="W11" s="82">
        <v>0.59583333333333333</v>
      </c>
      <c r="X11" s="82"/>
      <c r="Y11" s="82">
        <v>0.63749999999999996</v>
      </c>
      <c r="Z11" s="82"/>
      <c r="AA11" s="82">
        <v>0.6791666666666667</v>
      </c>
      <c r="AB11" s="82"/>
      <c r="AC11" s="82">
        <v>0.72222222222222221</v>
      </c>
      <c r="AD11" s="82"/>
      <c r="AE11" s="82">
        <v>0.76597222222222228</v>
      </c>
      <c r="AF11" s="82"/>
      <c r="AG11" s="82">
        <v>0.81458333333333333</v>
      </c>
      <c r="AH11" s="82"/>
      <c r="AI11" s="82"/>
    </row>
    <row r="12" spans="1:35">
      <c r="A12" s="6" t="s">
        <v>103</v>
      </c>
      <c r="B12" s="6" t="s">
        <v>104</v>
      </c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</row>
    <row r="13" spans="1:35">
      <c r="A13" s="1" t="s">
        <v>18</v>
      </c>
      <c r="B13" s="6" t="s">
        <v>19</v>
      </c>
      <c r="C13" s="82"/>
      <c r="D13" s="82"/>
      <c r="E13" s="82">
        <v>0.22500000000000001</v>
      </c>
      <c r="F13" s="82"/>
      <c r="G13" s="82">
        <v>0.26666666666666666</v>
      </c>
      <c r="H13" s="82"/>
      <c r="I13" s="82">
        <v>0.30833333333333335</v>
      </c>
      <c r="J13" s="82"/>
      <c r="K13" s="82">
        <v>0.35</v>
      </c>
      <c r="L13" s="82"/>
      <c r="M13" s="82">
        <v>0.39166666666666666</v>
      </c>
      <c r="N13" s="82"/>
      <c r="O13" s="82">
        <v>0.43333333333333335</v>
      </c>
      <c r="P13" s="82"/>
      <c r="Q13" s="82">
        <v>0.47499999999999998</v>
      </c>
      <c r="R13" s="82"/>
      <c r="S13" s="82">
        <v>0.51666666666666672</v>
      </c>
      <c r="T13" s="82"/>
      <c r="U13" s="82">
        <v>0.55833333333333335</v>
      </c>
      <c r="V13" s="82"/>
      <c r="W13" s="82">
        <v>0.6</v>
      </c>
      <c r="X13" s="82"/>
      <c r="Y13" s="82">
        <v>0.64166666666666672</v>
      </c>
      <c r="Z13" s="82"/>
      <c r="AA13" s="82">
        <v>0.68333333333333335</v>
      </c>
      <c r="AB13" s="82"/>
      <c r="AC13" s="82">
        <v>0.72638888888888886</v>
      </c>
      <c r="AD13" s="82"/>
      <c r="AE13" s="82">
        <v>0.77013888888888893</v>
      </c>
      <c r="AF13" s="82"/>
      <c r="AG13" s="82">
        <v>0.81874999999999998</v>
      </c>
      <c r="AH13" s="82"/>
      <c r="AI13" s="82"/>
    </row>
    <row r="14" spans="1:35">
      <c r="A14" s="6" t="s">
        <v>105</v>
      </c>
      <c r="B14" s="6" t="s">
        <v>106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</row>
    <row r="15" spans="1:35">
      <c r="A15" s="8" t="s">
        <v>16</v>
      </c>
      <c r="B15" s="6" t="s">
        <v>17</v>
      </c>
      <c r="C15" s="82"/>
      <c r="D15" s="82"/>
      <c r="E15" s="82">
        <v>0.22916666666666666</v>
      </c>
      <c r="F15" s="82"/>
      <c r="G15" s="82">
        <v>0.27083333333333331</v>
      </c>
      <c r="H15" s="82"/>
      <c r="I15" s="82">
        <v>0.3125</v>
      </c>
      <c r="J15" s="82"/>
      <c r="K15" s="82">
        <v>0.35416666666666669</v>
      </c>
      <c r="L15" s="82"/>
      <c r="M15" s="82">
        <v>0.39583333333333331</v>
      </c>
      <c r="N15" s="82"/>
      <c r="O15" s="82">
        <v>0.4375</v>
      </c>
      <c r="P15" s="82"/>
      <c r="Q15" s="82">
        <v>0.47916666666666669</v>
      </c>
      <c r="R15" s="82"/>
      <c r="S15" s="82">
        <v>0.52083333333333337</v>
      </c>
      <c r="T15" s="7"/>
      <c r="U15" s="7">
        <v>0.5625</v>
      </c>
      <c r="V15" s="7"/>
      <c r="W15" s="7">
        <v>0.60416666666666663</v>
      </c>
      <c r="X15" s="7"/>
      <c r="Y15" s="7">
        <v>0.64583333333333337</v>
      </c>
      <c r="Z15" s="7"/>
      <c r="AA15" s="7">
        <v>0.6875</v>
      </c>
      <c r="AB15" s="7"/>
      <c r="AC15" s="7">
        <v>0.73055555555555551</v>
      </c>
      <c r="AD15" s="7"/>
      <c r="AE15" s="7">
        <v>0.77430555555555558</v>
      </c>
      <c r="AF15" s="7"/>
      <c r="AG15" s="7">
        <v>0.82291666666666663</v>
      </c>
      <c r="AH15" s="7"/>
      <c r="AI15" s="7"/>
    </row>
    <row r="16" spans="1:35">
      <c r="A16" s="10" t="s">
        <v>14</v>
      </c>
      <c r="B16" s="6" t="s">
        <v>15</v>
      </c>
      <c r="C16" s="82"/>
      <c r="D16" s="82"/>
      <c r="E16" s="82">
        <v>0.23194444444444445</v>
      </c>
      <c r="F16" s="82"/>
      <c r="G16" s="82">
        <v>0.27361111111111114</v>
      </c>
      <c r="H16" s="82"/>
      <c r="I16" s="82">
        <v>0.31527777777777777</v>
      </c>
      <c r="J16" s="82"/>
      <c r="K16" s="82">
        <v>0.35694444444444445</v>
      </c>
      <c r="L16" s="82"/>
      <c r="M16" s="82">
        <v>0.39861111111111114</v>
      </c>
      <c r="N16" s="82"/>
      <c r="O16" s="82">
        <v>0.44027777777777777</v>
      </c>
      <c r="P16" s="82"/>
      <c r="Q16" s="82">
        <v>0.48194444444444445</v>
      </c>
      <c r="R16" s="82"/>
      <c r="S16" s="82">
        <v>0.52361111111111114</v>
      </c>
      <c r="T16" s="7"/>
      <c r="U16" s="7">
        <v>0.56527777777777777</v>
      </c>
      <c r="V16" s="7"/>
      <c r="W16" s="7">
        <v>0.6069444444444444</v>
      </c>
      <c r="X16" s="7"/>
      <c r="Y16" s="7">
        <v>0.64861111111111114</v>
      </c>
      <c r="Z16" s="7"/>
      <c r="AA16" s="7">
        <v>0.69027777777777777</v>
      </c>
      <c r="AB16" s="7"/>
      <c r="AC16" s="7">
        <v>0.73333333333333328</v>
      </c>
      <c r="AD16" s="7"/>
      <c r="AE16" s="7">
        <v>0.77708333333333335</v>
      </c>
      <c r="AF16" s="7"/>
      <c r="AG16" s="7">
        <v>0.8256944444444444</v>
      </c>
      <c r="AH16" s="7"/>
      <c r="AI16" s="7"/>
    </row>
    <row r="17" spans="1:35">
      <c r="A17" s="10" t="s">
        <v>12</v>
      </c>
      <c r="B17" s="6" t="s">
        <v>13</v>
      </c>
      <c r="C17" s="82"/>
      <c r="D17" s="82"/>
      <c r="E17" s="82">
        <v>0.2361111111111111</v>
      </c>
      <c r="F17" s="82"/>
      <c r="G17" s="82">
        <v>0.27777777777777779</v>
      </c>
      <c r="H17" s="82"/>
      <c r="I17" s="82">
        <v>0.31944444444444442</v>
      </c>
      <c r="J17" s="82"/>
      <c r="K17" s="82">
        <v>0.3611111111111111</v>
      </c>
      <c r="L17" s="82"/>
      <c r="M17" s="82">
        <v>0.40277777777777779</v>
      </c>
      <c r="N17" s="82"/>
      <c r="O17" s="82">
        <v>0.44444444444444442</v>
      </c>
      <c r="P17" s="82"/>
      <c r="Q17" s="82">
        <v>0.4861111111111111</v>
      </c>
      <c r="R17" s="82"/>
      <c r="S17" s="82">
        <v>0.52777777777777779</v>
      </c>
      <c r="T17" s="7"/>
      <c r="U17" s="7">
        <v>0.56944444444444442</v>
      </c>
      <c r="V17" s="7"/>
      <c r="W17" s="7">
        <v>0.61111111111111116</v>
      </c>
      <c r="X17" s="7"/>
      <c r="Y17" s="7">
        <v>0.65277777777777779</v>
      </c>
      <c r="Z17" s="7"/>
      <c r="AA17" s="7">
        <v>0.69444444444444442</v>
      </c>
      <c r="AB17" s="7"/>
      <c r="AC17" s="7">
        <v>0.73750000000000004</v>
      </c>
      <c r="AD17" s="7"/>
      <c r="AE17" s="7">
        <v>0.78125</v>
      </c>
      <c r="AF17" s="7"/>
      <c r="AG17" s="7">
        <v>0.82986111111111116</v>
      </c>
      <c r="AH17" s="7"/>
      <c r="AI17" s="7"/>
    </row>
    <row r="18" spans="1:35">
      <c r="A18" s="8" t="s">
        <v>10</v>
      </c>
      <c r="B18" s="8" t="s">
        <v>11</v>
      </c>
      <c r="C18" s="82">
        <v>0.18055555555555555</v>
      </c>
      <c r="D18" s="82">
        <v>0.22222222222222221</v>
      </c>
      <c r="E18" s="82">
        <v>0.23958333333333334</v>
      </c>
      <c r="F18" s="82">
        <v>0.2638888888888889</v>
      </c>
      <c r="G18" s="82">
        <v>0.28125</v>
      </c>
      <c r="H18" s="82">
        <v>0.30555555555555558</v>
      </c>
      <c r="I18" s="82">
        <v>0.32291666666666669</v>
      </c>
      <c r="J18" s="82">
        <v>0.34722222222222221</v>
      </c>
      <c r="K18" s="82">
        <v>0.36458333333333331</v>
      </c>
      <c r="L18" s="82">
        <v>0.3888888888888889</v>
      </c>
      <c r="M18" s="82">
        <v>0.40625</v>
      </c>
      <c r="N18" s="82">
        <v>0.43055555555555558</v>
      </c>
      <c r="O18" s="82">
        <v>0.44791666666666669</v>
      </c>
      <c r="P18" s="82">
        <v>0.47222222222222221</v>
      </c>
      <c r="Q18" s="82">
        <v>0.48958333333333331</v>
      </c>
      <c r="R18" s="82">
        <v>0.51388888888888884</v>
      </c>
      <c r="S18" s="82">
        <v>0.53125</v>
      </c>
      <c r="T18" s="9">
        <v>0.55555555555555558</v>
      </c>
      <c r="U18" s="7">
        <v>0.57291666666666663</v>
      </c>
      <c r="V18" s="7">
        <v>0.59722222222222221</v>
      </c>
      <c r="W18" s="7">
        <v>0.61458333333333337</v>
      </c>
      <c r="X18" s="7">
        <v>0.63888888888888884</v>
      </c>
      <c r="Y18" s="7">
        <v>0.65625</v>
      </c>
      <c r="Z18" s="7">
        <v>0.68055555555555558</v>
      </c>
      <c r="AA18" s="7">
        <v>0.69791666666666663</v>
      </c>
      <c r="AB18" s="7">
        <v>0.72222222222222221</v>
      </c>
      <c r="AC18" s="7">
        <v>0.74097222222222225</v>
      </c>
      <c r="AD18" s="7">
        <v>0.76388888888888884</v>
      </c>
      <c r="AE18" s="7">
        <v>0.78472222222222221</v>
      </c>
      <c r="AF18" s="7">
        <v>0.80555555555555558</v>
      </c>
      <c r="AG18" s="7">
        <v>0.83333333333333337</v>
      </c>
      <c r="AH18" s="7">
        <v>0.84722222222222221</v>
      </c>
      <c r="AI18" s="7"/>
    </row>
    <row r="19" spans="1:35">
      <c r="A19" s="10" t="s">
        <v>181</v>
      </c>
      <c r="B19" s="8" t="s">
        <v>182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8"/>
    </row>
    <row r="20" spans="1:35">
      <c r="A20" s="10" t="s">
        <v>183</v>
      </c>
      <c r="B20" s="8" t="s">
        <v>184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8"/>
    </row>
    <row r="21" spans="1:35">
      <c r="A21" s="10" t="s">
        <v>8</v>
      </c>
      <c r="B21" s="8" t="s">
        <v>9</v>
      </c>
      <c r="C21" s="82">
        <v>0.18819444444444444</v>
      </c>
      <c r="D21" s="82">
        <v>0.2298611111111111</v>
      </c>
      <c r="E21" s="82"/>
      <c r="F21" s="82">
        <v>0.27152777777777776</v>
      </c>
      <c r="G21" s="82"/>
      <c r="H21" s="82">
        <v>0.31319444444444444</v>
      </c>
      <c r="I21" s="82"/>
      <c r="J21" s="82">
        <v>0.35486111111111113</v>
      </c>
      <c r="K21" s="82"/>
      <c r="L21" s="82">
        <v>0.39652777777777776</v>
      </c>
      <c r="M21" s="82"/>
      <c r="N21" s="82">
        <v>0.43819444444444444</v>
      </c>
      <c r="O21" s="82"/>
      <c r="P21" s="82">
        <v>0.47986111111111113</v>
      </c>
      <c r="Q21" s="82"/>
      <c r="R21" s="82">
        <v>0.52152777777777781</v>
      </c>
      <c r="S21" s="82"/>
      <c r="T21" s="9">
        <v>0.56319444444444444</v>
      </c>
      <c r="U21" s="7"/>
      <c r="V21" s="7">
        <v>0.60486111111111107</v>
      </c>
      <c r="W21" s="7"/>
      <c r="X21" s="7">
        <v>0.64652777777777781</v>
      </c>
      <c r="Y21" s="7"/>
      <c r="Z21" s="7">
        <v>0.68819444444444444</v>
      </c>
      <c r="AA21" s="7"/>
      <c r="AB21" s="7">
        <v>0.72986111111111107</v>
      </c>
      <c r="AC21" s="7"/>
      <c r="AD21" s="7">
        <v>0.77152777777777781</v>
      </c>
      <c r="AE21" s="7"/>
      <c r="AF21" s="7">
        <v>0.81319444444444444</v>
      </c>
      <c r="AG21" s="7"/>
      <c r="AH21" s="7">
        <v>0.85486111111111107</v>
      </c>
      <c r="AI21" s="7"/>
    </row>
    <row r="22" spans="1:35">
      <c r="A22" s="10" t="s">
        <v>6</v>
      </c>
      <c r="B22" s="8" t="s">
        <v>7</v>
      </c>
      <c r="C22" s="82">
        <v>0.19097222222222221</v>
      </c>
      <c r="D22" s="82">
        <v>0.2326388888888889</v>
      </c>
      <c r="E22" s="82"/>
      <c r="F22" s="82">
        <v>0.27430555555555558</v>
      </c>
      <c r="G22" s="82"/>
      <c r="H22" s="82">
        <v>0.31597222222222221</v>
      </c>
      <c r="I22" s="82"/>
      <c r="J22" s="82">
        <v>0.3576388888888889</v>
      </c>
      <c r="K22" s="82"/>
      <c r="L22" s="82">
        <v>0.39930555555555558</v>
      </c>
      <c r="M22" s="82"/>
      <c r="N22" s="82">
        <v>0.44097222222222221</v>
      </c>
      <c r="O22" s="82"/>
      <c r="P22" s="82">
        <v>0.4826388888888889</v>
      </c>
      <c r="Q22" s="82"/>
      <c r="R22" s="82">
        <v>0.52430555555555558</v>
      </c>
      <c r="S22" s="82"/>
      <c r="T22" s="9">
        <v>0.56597222222222221</v>
      </c>
      <c r="U22" s="7"/>
      <c r="V22" s="7">
        <v>0.60763888888888884</v>
      </c>
      <c r="W22" s="7"/>
      <c r="X22" s="7">
        <v>0.64930555555555558</v>
      </c>
      <c r="Y22" s="7"/>
      <c r="Z22" s="7">
        <v>0.69097222222222221</v>
      </c>
      <c r="AA22" s="7"/>
      <c r="AB22" s="7">
        <v>0.73263888888888884</v>
      </c>
      <c r="AC22" s="7"/>
      <c r="AD22" s="7">
        <v>0.77430555555555558</v>
      </c>
      <c r="AE22" s="7"/>
      <c r="AF22" s="7">
        <v>0.81597222222222221</v>
      </c>
      <c r="AG22" s="7"/>
      <c r="AH22" s="7">
        <v>0.85763888888888884</v>
      </c>
      <c r="AI22" s="7"/>
    </row>
    <row r="23" spans="1:35">
      <c r="A23" s="10" t="s">
        <v>4</v>
      </c>
      <c r="B23" s="8" t="s">
        <v>5</v>
      </c>
      <c r="C23" s="82">
        <v>0.19444444444444445</v>
      </c>
      <c r="D23" s="82">
        <v>0.2361111111111111</v>
      </c>
      <c r="E23" s="82"/>
      <c r="F23" s="82">
        <v>0.27777777777777779</v>
      </c>
      <c r="G23" s="82"/>
      <c r="H23" s="82">
        <v>0.31944444444444442</v>
      </c>
      <c r="I23" s="82"/>
      <c r="J23" s="82">
        <v>0.3611111111111111</v>
      </c>
      <c r="K23" s="82"/>
      <c r="L23" s="82">
        <v>0.40277777777777779</v>
      </c>
      <c r="M23" s="82"/>
      <c r="N23" s="82">
        <v>0.44444444444444442</v>
      </c>
      <c r="O23" s="82"/>
      <c r="P23" s="82">
        <v>0.4861111111111111</v>
      </c>
      <c r="Q23" s="82"/>
      <c r="R23" s="82">
        <v>0.52777777777777779</v>
      </c>
      <c r="S23" s="82"/>
      <c r="T23" s="9">
        <v>0.56944444444444442</v>
      </c>
      <c r="U23" s="7"/>
      <c r="V23" s="7">
        <v>0.61111111111111116</v>
      </c>
      <c r="W23" s="7"/>
      <c r="X23" s="7">
        <v>0.65277777777777779</v>
      </c>
      <c r="Y23" s="7"/>
      <c r="Z23" s="7">
        <v>0.69444444444444442</v>
      </c>
      <c r="AA23" s="7"/>
      <c r="AB23" s="7">
        <v>0.73611111111111116</v>
      </c>
      <c r="AC23" s="7"/>
      <c r="AD23" s="7">
        <v>0.77777777777777779</v>
      </c>
      <c r="AE23" s="7"/>
      <c r="AF23" s="7">
        <v>0.81944444444444442</v>
      </c>
      <c r="AG23" s="7"/>
      <c r="AH23" s="7">
        <v>0.86111111111111116</v>
      </c>
      <c r="AI23" s="7"/>
    </row>
    <row r="24" spans="1:3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1"/>
    </row>
    <row r="25" spans="1:35">
      <c r="A25" s="10"/>
      <c r="B25" s="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35">
      <c r="A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35">
      <c r="A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35">
      <c r="A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35">
      <c r="A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35">
      <c r="A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35">
      <c r="A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35">
      <c r="A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>
      <c r="A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>
      <c r="A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>
      <c r="A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>
      <c r="A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>
      <c r="A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>
      <c r="A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>
      <c r="A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>
      <c r="A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>
      <c r="A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>
      <c r="A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>
      <c r="A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>
      <c r="A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>
      <c r="A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A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>
      <c r="A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>
      <c r="A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>
      <c r="A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>
      <c r="A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>
      <c r="A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>
      <c r="A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>
      <c r="A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>
      <c r="A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>
      <c r="A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>
      <c r="A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>
      <c r="A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>
      <c r="A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>
      <c r="A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>
      <c r="A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>
      <c r="A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>
      <c r="A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>
      <c r="A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>
      <c r="A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outlinePr summaryBelow="0" summaryRight="0"/>
  </sheetPr>
  <dimension ref="A1:AK56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37">
      <c r="A1" s="1" t="s">
        <v>0</v>
      </c>
      <c r="B1" s="2">
        <f>'PTA-to-DEWIL_Weekday'!B1</f>
        <v>46055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2</v>
      </c>
      <c r="B2" s="1" t="s">
        <v>3</v>
      </c>
      <c r="C2" s="127">
        <v>4500</v>
      </c>
      <c r="D2" s="127">
        <v>4400</v>
      </c>
      <c r="E2" s="127">
        <v>4502</v>
      </c>
      <c r="F2" s="127">
        <v>4402</v>
      </c>
      <c r="G2" s="127">
        <v>4504</v>
      </c>
      <c r="H2" s="127">
        <v>4404</v>
      </c>
      <c r="I2" s="127">
        <v>4506</v>
      </c>
      <c r="J2" s="127">
        <v>4406</v>
      </c>
      <c r="K2" s="127">
        <v>4508</v>
      </c>
      <c r="L2" s="127">
        <v>4408</v>
      </c>
      <c r="M2" s="127">
        <v>4510</v>
      </c>
      <c r="N2" s="127">
        <v>4410</v>
      </c>
      <c r="O2" s="127">
        <v>4512</v>
      </c>
      <c r="P2" s="127">
        <v>4412</v>
      </c>
      <c r="Q2" s="127">
        <v>4514</v>
      </c>
      <c r="R2" s="127">
        <v>4414</v>
      </c>
      <c r="S2" s="127">
        <v>4516</v>
      </c>
      <c r="T2" s="127">
        <v>4416</v>
      </c>
      <c r="U2" s="127">
        <v>4518</v>
      </c>
      <c r="V2" s="127">
        <v>4418</v>
      </c>
      <c r="W2" s="127">
        <v>4520</v>
      </c>
      <c r="X2" s="127">
        <v>4420</v>
      </c>
      <c r="Y2" s="127">
        <v>4522</v>
      </c>
      <c r="Z2" s="127">
        <v>4422</v>
      </c>
      <c r="AA2" s="127">
        <v>4524</v>
      </c>
      <c r="AB2" s="127">
        <v>4424</v>
      </c>
      <c r="AC2" s="127">
        <v>4526</v>
      </c>
      <c r="AD2" s="127">
        <v>4426</v>
      </c>
      <c r="AE2" s="127">
        <v>4528</v>
      </c>
      <c r="AF2" s="127">
        <v>4428</v>
      </c>
      <c r="AG2" s="127">
        <v>4530</v>
      </c>
      <c r="AH2" s="127">
        <v>4532</v>
      </c>
      <c r="AI2" s="1"/>
      <c r="AJ2" s="1"/>
      <c r="AK2" s="1"/>
    </row>
    <row r="3" spans="1:37">
      <c r="A3" s="134" t="s">
        <v>4</v>
      </c>
      <c r="B3" s="5" t="s">
        <v>5</v>
      </c>
      <c r="C3" s="80">
        <v>0.15972222222222221</v>
      </c>
      <c r="D3" s="80"/>
      <c r="E3" s="80">
        <v>0.2013888888888889</v>
      </c>
      <c r="F3" s="80"/>
      <c r="G3" s="80">
        <v>0.24305555555555555</v>
      </c>
      <c r="H3" s="80"/>
      <c r="I3" s="80">
        <v>0.28472222222222221</v>
      </c>
      <c r="J3" s="80"/>
      <c r="K3" s="80">
        <v>0.3263888888888889</v>
      </c>
      <c r="L3" s="80"/>
      <c r="M3" s="80">
        <v>0.36805555555555558</v>
      </c>
      <c r="N3" s="80"/>
      <c r="O3" s="80">
        <v>0.40972222222222221</v>
      </c>
      <c r="P3" s="80"/>
      <c r="Q3" s="80">
        <v>0.4513888888888889</v>
      </c>
      <c r="R3" s="80"/>
      <c r="S3" s="80">
        <v>0.49305555555555558</v>
      </c>
      <c r="T3" s="80"/>
      <c r="U3" s="80">
        <v>0.53472222222222221</v>
      </c>
      <c r="V3" s="80"/>
      <c r="W3" s="80">
        <v>0.57638888888888884</v>
      </c>
      <c r="X3" s="80"/>
      <c r="Y3" s="80">
        <v>0.61805555555555558</v>
      </c>
      <c r="Z3" s="80"/>
      <c r="AA3" s="80">
        <v>0.65972222222222221</v>
      </c>
      <c r="AB3" s="80"/>
      <c r="AC3" s="80">
        <v>0.70138888888888884</v>
      </c>
      <c r="AD3" s="80"/>
      <c r="AE3" s="80">
        <v>0.74305555555555558</v>
      </c>
      <c r="AF3" s="80"/>
      <c r="AG3" s="80">
        <v>0.78472222222222221</v>
      </c>
      <c r="AH3" s="80">
        <v>0.82638888888888884</v>
      </c>
    </row>
    <row r="4" spans="1:37">
      <c r="A4" s="130" t="s">
        <v>6</v>
      </c>
      <c r="B4" s="7" t="s">
        <v>7</v>
      </c>
      <c r="C4" s="82">
        <v>0.16319444444444445</v>
      </c>
      <c r="D4" s="82"/>
      <c r="E4" s="82">
        <v>0.2048611111111111</v>
      </c>
      <c r="F4" s="82"/>
      <c r="G4" s="82">
        <v>0.24652777777777779</v>
      </c>
      <c r="H4" s="82"/>
      <c r="I4" s="82">
        <v>0.28819444444444442</v>
      </c>
      <c r="J4" s="82"/>
      <c r="K4" s="82">
        <v>0.3298611111111111</v>
      </c>
      <c r="L4" s="82"/>
      <c r="M4" s="82">
        <v>0.37152777777777779</v>
      </c>
      <c r="N4" s="82"/>
      <c r="O4" s="82">
        <v>0.41319444444444442</v>
      </c>
      <c r="P4" s="82"/>
      <c r="Q4" s="82">
        <v>0.4548611111111111</v>
      </c>
      <c r="R4" s="82"/>
      <c r="S4" s="82">
        <v>0.49652777777777779</v>
      </c>
      <c r="T4" s="82"/>
      <c r="U4" s="82">
        <v>0.53819444444444442</v>
      </c>
      <c r="V4" s="82"/>
      <c r="W4" s="82">
        <v>0.57986111111111116</v>
      </c>
      <c r="X4" s="82"/>
      <c r="Y4" s="82">
        <v>0.62152777777777779</v>
      </c>
      <c r="Z4" s="82"/>
      <c r="AA4" s="82">
        <v>0.66319444444444442</v>
      </c>
      <c r="AB4" s="82"/>
      <c r="AC4" s="82">
        <v>0.70486111111111116</v>
      </c>
      <c r="AD4" s="82"/>
      <c r="AE4" s="82">
        <v>0.74652777777777779</v>
      </c>
      <c r="AF4" s="82"/>
      <c r="AG4" s="82">
        <v>0.78819444444444442</v>
      </c>
      <c r="AH4" s="82">
        <v>0.82986111111111116</v>
      </c>
    </row>
    <row r="5" spans="1:37">
      <c r="A5" s="130" t="s">
        <v>8</v>
      </c>
      <c r="B5" s="7" t="s">
        <v>9</v>
      </c>
      <c r="C5" s="82">
        <v>0.16527777777777777</v>
      </c>
      <c r="D5" s="82"/>
      <c r="E5" s="82">
        <v>0.20694444444444443</v>
      </c>
      <c r="F5" s="82"/>
      <c r="G5" s="82">
        <v>0.24861111111111112</v>
      </c>
      <c r="H5" s="82"/>
      <c r="I5" s="82">
        <v>0.2902777777777778</v>
      </c>
      <c r="J5" s="82"/>
      <c r="K5" s="82">
        <v>0.33194444444444443</v>
      </c>
      <c r="L5" s="82"/>
      <c r="M5" s="82">
        <v>0.37361111111111112</v>
      </c>
      <c r="N5" s="82"/>
      <c r="O5" s="82">
        <v>0.4152777777777778</v>
      </c>
      <c r="P5" s="82"/>
      <c r="Q5" s="82">
        <v>0.45694444444444443</v>
      </c>
      <c r="R5" s="82"/>
      <c r="S5" s="82">
        <v>0.49861111111111112</v>
      </c>
      <c r="T5" s="82"/>
      <c r="U5" s="82">
        <v>0.54027777777777775</v>
      </c>
      <c r="V5" s="82"/>
      <c r="W5" s="82">
        <v>0.58194444444444449</v>
      </c>
      <c r="X5" s="82"/>
      <c r="Y5" s="82">
        <v>0.62361111111111112</v>
      </c>
      <c r="Z5" s="82"/>
      <c r="AA5" s="82">
        <v>0.66527777777777775</v>
      </c>
      <c r="AB5" s="82"/>
      <c r="AC5" s="82">
        <v>0.70694444444444449</v>
      </c>
      <c r="AD5" s="82"/>
      <c r="AE5" s="82">
        <v>0.74861111111111112</v>
      </c>
      <c r="AF5" s="82"/>
      <c r="AG5" s="82">
        <v>0.79027777777777775</v>
      </c>
      <c r="AH5" s="82">
        <v>0.83194444444444449</v>
      </c>
    </row>
    <row r="6" spans="1:37">
      <c r="A6" s="7" t="s">
        <v>183</v>
      </c>
      <c r="B6" s="7" t="s">
        <v>184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</row>
    <row r="7" spans="1:37">
      <c r="A7" s="7" t="s">
        <v>181</v>
      </c>
      <c r="B7" s="7" t="s">
        <v>182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</row>
    <row r="8" spans="1:37">
      <c r="A8" s="7" t="s">
        <v>10</v>
      </c>
      <c r="B8" s="7" t="s">
        <v>11</v>
      </c>
      <c r="C8" s="82">
        <v>0.1736111111111111</v>
      </c>
      <c r="D8" s="82">
        <v>0.17708333333333334</v>
      </c>
      <c r="E8" s="82">
        <v>0.21527777777777779</v>
      </c>
      <c r="F8" s="82">
        <v>0.21875</v>
      </c>
      <c r="G8" s="82">
        <v>0.25694444444444442</v>
      </c>
      <c r="H8" s="82">
        <v>0.26041666666666669</v>
      </c>
      <c r="I8" s="82">
        <v>0.2986111111111111</v>
      </c>
      <c r="J8" s="82">
        <v>0.30208333333333331</v>
      </c>
      <c r="K8" s="82">
        <v>0.34027777777777779</v>
      </c>
      <c r="L8" s="82">
        <v>0.34375</v>
      </c>
      <c r="M8" s="82">
        <v>0.38194444444444442</v>
      </c>
      <c r="N8" s="82">
        <v>0.38541666666666669</v>
      </c>
      <c r="O8" s="82">
        <v>0.4236111111111111</v>
      </c>
      <c r="P8" s="82">
        <v>0.42708333333333331</v>
      </c>
      <c r="Q8" s="82">
        <v>0.46527777777777779</v>
      </c>
      <c r="R8" s="82">
        <v>0.46875</v>
      </c>
      <c r="S8" s="82">
        <v>0.50694444444444442</v>
      </c>
      <c r="T8" s="82">
        <v>0.51041666666666663</v>
      </c>
      <c r="U8" s="82">
        <v>0.54861111111111116</v>
      </c>
      <c r="V8" s="82">
        <v>0.55208333333333337</v>
      </c>
      <c r="W8" s="82">
        <v>0.59027777777777779</v>
      </c>
      <c r="X8" s="82">
        <v>0.59375</v>
      </c>
      <c r="Y8" s="82">
        <v>0.63194444444444442</v>
      </c>
      <c r="Z8" s="82">
        <v>0.63541666666666663</v>
      </c>
      <c r="AA8" s="82">
        <v>0.67361111111111116</v>
      </c>
      <c r="AB8" s="82">
        <v>0.67708333333333337</v>
      </c>
      <c r="AC8" s="82">
        <v>0.71527777777777779</v>
      </c>
      <c r="AD8" s="82">
        <v>0.72222222222222221</v>
      </c>
      <c r="AE8" s="82">
        <v>0.75694444444444442</v>
      </c>
      <c r="AF8" s="82">
        <v>0.76041666666666663</v>
      </c>
      <c r="AG8" s="82">
        <v>0.79861111111111116</v>
      </c>
      <c r="AH8" s="82">
        <v>0.84027777777777779</v>
      </c>
    </row>
    <row r="9" spans="1:37">
      <c r="A9" s="130" t="s">
        <v>12</v>
      </c>
      <c r="B9" s="7" t="s">
        <v>13</v>
      </c>
      <c r="C9" s="82"/>
      <c r="D9" s="82">
        <v>0.18055555555555555</v>
      </c>
      <c r="E9" s="82"/>
      <c r="F9" s="82">
        <v>0.22222222222222221</v>
      </c>
      <c r="G9" s="82"/>
      <c r="H9" s="82">
        <v>0.2638888888888889</v>
      </c>
      <c r="I9" s="82"/>
      <c r="J9" s="82">
        <v>0.30555555555555558</v>
      </c>
      <c r="K9" s="82"/>
      <c r="L9" s="82">
        <v>0.34722222222222221</v>
      </c>
      <c r="M9" s="82"/>
      <c r="N9" s="82">
        <v>0.3888888888888889</v>
      </c>
      <c r="O9" s="82"/>
      <c r="P9" s="82">
        <v>0.43055555555555558</v>
      </c>
      <c r="Q9" s="82"/>
      <c r="R9" s="82">
        <v>0.47222222222222221</v>
      </c>
      <c r="S9" s="82"/>
      <c r="T9" s="82">
        <v>0.51388888888888884</v>
      </c>
      <c r="U9" s="82"/>
      <c r="V9" s="82">
        <v>0.55555555555555558</v>
      </c>
      <c r="W9" s="82"/>
      <c r="X9" s="82">
        <v>0.59722222222222221</v>
      </c>
      <c r="Y9" s="82"/>
      <c r="Z9" s="82">
        <v>0.63888888888888884</v>
      </c>
      <c r="AA9" s="82"/>
      <c r="AB9" s="82">
        <v>0.68055555555555558</v>
      </c>
      <c r="AC9" s="82"/>
      <c r="AD9" s="82">
        <v>0.72569444444444442</v>
      </c>
      <c r="AE9" s="82"/>
      <c r="AF9" s="82">
        <v>0.76388888888888884</v>
      </c>
      <c r="AG9" s="82"/>
      <c r="AH9" s="82"/>
    </row>
    <row r="10" spans="1:37">
      <c r="A10" s="130" t="s">
        <v>14</v>
      </c>
      <c r="B10" s="7" t="s">
        <v>15</v>
      </c>
      <c r="C10" s="82"/>
      <c r="D10" s="82">
        <v>0.18472222222222223</v>
      </c>
      <c r="E10" s="82"/>
      <c r="F10" s="82">
        <v>0.22638888888888889</v>
      </c>
      <c r="G10" s="82"/>
      <c r="H10" s="82">
        <v>0.26805555555555555</v>
      </c>
      <c r="I10" s="82"/>
      <c r="J10" s="82">
        <v>0.30972222222222223</v>
      </c>
      <c r="K10" s="82"/>
      <c r="L10" s="82">
        <v>0.35138888888888886</v>
      </c>
      <c r="M10" s="82"/>
      <c r="N10" s="82">
        <v>0.39305555555555555</v>
      </c>
      <c r="O10" s="82"/>
      <c r="P10" s="82">
        <v>0.43472222222222223</v>
      </c>
      <c r="Q10" s="82"/>
      <c r="R10" s="82">
        <v>0.47638888888888886</v>
      </c>
      <c r="S10" s="82"/>
      <c r="T10" s="82">
        <v>0.5180555555555556</v>
      </c>
      <c r="U10" s="82"/>
      <c r="V10" s="82">
        <v>0.55972222222222223</v>
      </c>
      <c r="W10" s="82"/>
      <c r="X10" s="82">
        <v>0.60138888888888886</v>
      </c>
      <c r="Y10" s="82"/>
      <c r="Z10" s="82">
        <v>0.6430555555555556</v>
      </c>
      <c r="AA10" s="82"/>
      <c r="AB10" s="82">
        <v>0.68472222222222223</v>
      </c>
      <c r="AC10" s="82"/>
      <c r="AD10" s="82">
        <v>0.72986111111111107</v>
      </c>
      <c r="AE10" s="82"/>
      <c r="AF10" s="82">
        <v>0.7680555555555556</v>
      </c>
      <c r="AG10" s="82"/>
      <c r="AH10" s="82"/>
    </row>
    <row r="11" spans="1:37">
      <c r="A11" s="6" t="s">
        <v>16</v>
      </c>
      <c r="B11" s="6" t="s">
        <v>17</v>
      </c>
      <c r="C11" s="82"/>
      <c r="D11" s="82">
        <v>0.1875</v>
      </c>
      <c r="E11" s="82"/>
      <c r="F11" s="82">
        <v>0.22916666666666666</v>
      </c>
      <c r="G11" s="82"/>
      <c r="H11" s="82">
        <v>0.27083333333333331</v>
      </c>
      <c r="I11" s="82"/>
      <c r="J11" s="82">
        <v>0.3125</v>
      </c>
      <c r="K11" s="82"/>
      <c r="L11" s="82">
        <v>0.35416666666666669</v>
      </c>
      <c r="M11" s="82"/>
      <c r="N11" s="82">
        <v>0.39583333333333331</v>
      </c>
      <c r="O11" s="82"/>
      <c r="P11" s="82">
        <v>0.4375</v>
      </c>
      <c r="Q11" s="82"/>
      <c r="R11" s="82">
        <v>0.47916666666666669</v>
      </c>
      <c r="S11" s="82"/>
      <c r="T11" s="82">
        <v>0.52083333333333337</v>
      </c>
      <c r="U11" s="82"/>
      <c r="V11" s="82">
        <v>0.5625</v>
      </c>
      <c r="W11" s="82"/>
      <c r="X11" s="82">
        <v>0.60416666666666663</v>
      </c>
      <c r="Y11" s="82"/>
      <c r="Z11" s="82">
        <v>0.64583333333333337</v>
      </c>
      <c r="AA11" s="82"/>
      <c r="AB11" s="82">
        <v>0.6875</v>
      </c>
      <c r="AC11" s="82"/>
      <c r="AD11" s="82">
        <v>0.73263888888888884</v>
      </c>
      <c r="AE11" s="82"/>
      <c r="AF11" s="82">
        <v>0.77083333333333337</v>
      </c>
      <c r="AG11" s="82"/>
      <c r="AH11" s="82"/>
    </row>
    <row r="12" spans="1:37">
      <c r="A12" s="71" t="s">
        <v>105</v>
      </c>
      <c r="B12" s="71" t="s">
        <v>106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</row>
    <row r="13" spans="1:37">
      <c r="A13" s="135" t="s">
        <v>18</v>
      </c>
      <c r="B13" s="71" t="s">
        <v>19</v>
      </c>
      <c r="C13" s="82"/>
      <c r="D13" s="82">
        <v>0.19236111111111112</v>
      </c>
      <c r="E13" s="82"/>
      <c r="F13" s="82">
        <v>0.23402777777777778</v>
      </c>
      <c r="G13" s="82"/>
      <c r="H13" s="82">
        <v>0.27569444444444446</v>
      </c>
      <c r="I13" s="82"/>
      <c r="J13" s="82">
        <v>0.31736111111111109</v>
      </c>
      <c r="K13" s="82"/>
      <c r="L13" s="82">
        <v>0.35902777777777778</v>
      </c>
      <c r="M13" s="82"/>
      <c r="N13" s="82">
        <v>0.40069444444444446</v>
      </c>
      <c r="O13" s="82"/>
      <c r="P13" s="82">
        <v>0.44236111111111109</v>
      </c>
      <c r="Q13" s="82"/>
      <c r="R13" s="82">
        <v>0.48402777777777778</v>
      </c>
      <c r="S13" s="82"/>
      <c r="T13" s="82">
        <v>0.52569444444444446</v>
      </c>
      <c r="U13" s="82"/>
      <c r="V13" s="82">
        <v>0.56736111111111109</v>
      </c>
      <c r="W13" s="82"/>
      <c r="X13" s="82">
        <v>0.60902777777777772</v>
      </c>
      <c r="Y13" s="82"/>
      <c r="Z13" s="82">
        <v>0.65069444444444446</v>
      </c>
      <c r="AA13" s="82"/>
      <c r="AB13" s="82">
        <v>0.69236111111111109</v>
      </c>
      <c r="AC13" s="82"/>
      <c r="AD13" s="82">
        <v>0.73750000000000004</v>
      </c>
      <c r="AE13" s="82"/>
      <c r="AF13" s="82">
        <v>0.77569444444444446</v>
      </c>
      <c r="AG13" s="82"/>
      <c r="AH13" s="82"/>
    </row>
    <row r="14" spans="1:37">
      <c r="A14" s="71" t="s">
        <v>103</v>
      </c>
      <c r="B14" s="71" t="s">
        <v>104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7">
      <c r="A15" s="1" t="s">
        <v>20</v>
      </c>
      <c r="B15" s="6" t="s">
        <v>21</v>
      </c>
      <c r="C15" s="82"/>
      <c r="D15" s="82">
        <v>0.19583333333333333</v>
      </c>
      <c r="E15" s="82"/>
      <c r="F15" s="82">
        <v>0.23749999999999999</v>
      </c>
      <c r="G15" s="82"/>
      <c r="H15" s="82">
        <v>0.27916666666666667</v>
      </c>
      <c r="I15" s="82"/>
      <c r="J15" s="82">
        <v>0.32083333333333336</v>
      </c>
      <c r="K15" s="82"/>
      <c r="L15" s="82">
        <v>0.36249999999999999</v>
      </c>
      <c r="M15" s="82"/>
      <c r="N15" s="82">
        <v>0.40416666666666667</v>
      </c>
      <c r="O15" s="82"/>
      <c r="P15" s="82">
        <v>0.44583333333333336</v>
      </c>
      <c r="Q15" s="82"/>
      <c r="R15" s="82">
        <v>0.48749999999999999</v>
      </c>
      <c r="S15" s="82"/>
      <c r="T15" s="82">
        <v>0.52916666666666667</v>
      </c>
      <c r="U15" s="82"/>
      <c r="V15" s="82">
        <v>0.5708333333333333</v>
      </c>
      <c r="W15" s="82"/>
      <c r="X15" s="82">
        <v>0.61250000000000004</v>
      </c>
      <c r="Y15" s="82"/>
      <c r="Z15" s="82">
        <v>0.65416666666666667</v>
      </c>
      <c r="AA15" s="82"/>
      <c r="AB15" s="82">
        <v>0.6958333333333333</v>
      </c>
      <c r="AC15" s="82"/>
      <c r="AD15" s="82">
        <v>0.74097222222222225</v>
      </c>
      <c r="AE15" s="82"/>
      <c r="AF15" s="82">
        <v>0.77916666666666667</v>
      </c>
      <c r="AG15" s="82"/>
      <c r="AH15" s="82"/>
    </row>
    <row r="16" spans="1:37">
      <c r="A16" s="1" t="s">
        <v>101</v>
      </c>
      <c r="B16" s="6" t="s">
        <v>102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 spans="1:34">
      <c r="A17" s="1" t="s">
        <v>99</v>
      </c>
      <c r="B17" s="6" t="s">
        <v>100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</row>
    <row r="18" spans="1:34">
      <c r="A18" s="135" t="s">
        <v>97</v>
      </c>
      <c r="B18" s="71" t="s">
        <v>98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4">
      <c r="A19" s="11" t="s">
        <v>95</v>
      </c>
      <c r="B19" s="11" t="s">
        <v>96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</row>
    <row r="20" spans="1:34">
      <c r="A20" s="10" t="s">
        <v>22</v>
      </c>
      <c r="B20" s="8" t="s">
        <v>23</v>
      </c>
      <c r="C20" s="82"/>
      <c r="D20" s="82">
        <v>0.20069444444444445</v>
      </c>
      <c r="E20" s="82"/>
      <c r="F20" s="82">
        <v>0.24236111111111111</v>
      </c>
      <c r="G20" s="82"/>
      <c r="H20" s="82">
        <v>0.28402777777777777</v>
      </c>
      <c r="I20" s="82"/>
      <c r="J20" s="82">
        <v>0.32569444444444445</v>
      </c>
      <c r="K20" s="82"/>
      <c r="L20" s="82">
        <v>0.36736111111111114</v>
      </c>
      <c r="M20" s="82"/>
      <c r="N20" s="82">
        <v>0.40902777777777777</v>
      </c>
      <c r="O20" s="82"/>
      <c r="P20" s="82">
        <v>0.45069444444444445</v>
      </c>
      <c r="Q20" s="82"/>
      <c r="R20" s="82">
        <v>0.49236111111111114</v>
      </c>
      <c r="S20" s="82"/>
      <c r="T20" s="82">
        <v>0.53402777777777777</v>
      </c>
      <c r="U20" s="82"/>
      <c r="V20" s="82">
        <v>0.5756944444444444</v>
      </c>
      <c r="W20" s="82"/>
      <c r="X20" s="82">
        <v>0.61736111111111114</v>
      </c>
      <c r="Y20" s="82"/>
      <c r="Z20" s="82">
        <v>0.65902777777777777</v>
      </c>
      <c r="AA20" s="82"/>
      <c r="AB20" s="82">
        <v>0.7006944444444444</v>
      </c>
      <c r="AC20" s="82"/>
      <c r="AD20" s="82">
        <v>0.74583333333333335</v>
      </c>
      <c r="AE20" s="82"/>
      <c r="AF20" s="82">
        <v>0.78402777777777777</v>
      </c>
      <c r="AG20" s="82"/>
      <c r="AH20" s="82"/>
    </row>
    <row r="21" spans="1:34">
      <c r="A21" s="10" t="s">
        <v>93</v>
      </c>
      <c r="B21" s="8" t="s">
        <v>94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</row>
    <row r="22" spans="1:34">
      <c r="A22" s="14" t="s">
        <v>91</v>
      </c>
      <c r="B22" s="11" t="s">
        <v>92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</row>
    <row r="23" spans="1:34">
      <c r="A23" s="10" t="s">
        <v>24</v>
      </c>
      <c r="B23" s="9" t="s">
        <v>25</v>
      </c>
      <c r="C23" s="82"/>
      <c r="D23" s="82">
        <v>0.2048611111111111</v>
      </c>
      <c r="E23" s="82"/>
      <c r="F23" s="82">
        <v>0.24652777777777779</v>
      </c>
      <c r="G23" s="82"/>
      <c r="H23" s="82">
        <v>0.28819444444444442</v>
      </c>
      <c r="I23" s="82"/>
      <c r="J23" s="82">
        <v>0.3298611111111111</v>
      </c>
      <c r="K23" s="82"/>
      <c r="L23" s="82">
        <v>0.37152777777777779</v>
      </c>
      <c r="M23" s="82"/>
      <c r="N23" s="82">
        <v>0.41319444444444442</v>
      </c>
      <c r="O23" s="82"/>
      <c r="P23" s="82">
        <v>0.4548611111111111</v>
      </c>
      <c r="Q23" s="82"/>
      <c r="R23" s="82">
        <v>0.49652777777777779</v>
      </c>
      <c r="S23" s="82"/>
      <c r="T23" s="82">
        <v>0.53819444444444442</v>
      </c>
      <c r="U23" s="82"/>
      <c r="V23" s="82">
        <v>0.57986111111111116</v>
      </c>
      <c r="W23" s="82"/>
      <c r="X23" s="82">
        <v>0.62152777777777779</v>
      </c>
      <c r="Y23" s="82"/>
      <c r="Z23" s="82">
        <v>0.66319444444444442</v>
      </c>
      <c r="AA23" s="82"/>
      <c r="AB23" s="82">
        <v>0.70486111111111116</v>
      </c>
      <c r="AC23" s="82"/>
      <c r="AD23" s="82">
        <v>0.75</v>
      </c>
      <c r="AE23" s="82"/>
      <c r="AF23" s="82">
        <v>0.78819444444444442</v>
      </c>
      <c r="AG23" s="82"/>
      <c r="AH23" s="82"/>
    </row>
    <row r="24" spans="1:34">
      <c r="A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34">
      <c r="A25" s="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3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9"/>
    </row>
    <row r="27" spans="1:3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9"/>
    </row>
    <row r="28" spans="1:3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9"/>
    </row>
    <row r="29" spans="1:3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9"/>
    </row>
    <row r="30" spans="1:3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9"/>
    </row>
    <row r="31" spans="1:3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9"/>
    </row>
    <row r="32" spans="1:3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9"/>
    </row>
    <row r="33" spans="1:2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9"/>
    </row>
    <row r="34" spans="1:2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9"/>
    </row>
    <row r="35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9"/>
    </row>
    <row r="36" spans="1:2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9"/>
    </row>
    <row r="37" spans="1:2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9"/>
    </row>
    <row r="38" spans="1:2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9"/>
    </row>
    <row r="39" spans="1:2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9"/>
    </row>
    <row r="40" spans="1:2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9"/>
    </row>
    <row r="41" spans="1:2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9"/>
    </row>
    <row r="42" spans="1:2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T42" s="9"/>
    </row>
    <row r="43" spans="1:2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  <c r="T43" s="9"/>
    </row>
    <row r="44" spans="1:2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  <c r="T44" s="9"/>
    </row>
    <row r="45" spans="1:2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  <c r="T45" s="9"/>
    </row>
    <row r="46" spans="1:2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9"/>
    </row>
    <row r="47" spans="1:2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9"/>
    </row>
    <row r="48" spans="1:2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9"/>
    </row>
    <row r="49" spans="1:2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9"/>
    </row>
    <row r="50" spans="1:2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9"/>
    </row>
    <row r="51" spans="1:2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9"/>
    </row>
    <row r="52" spans="1:22">
      <c r="D52" s="1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</row>
    <row r="53" spans="1:22">
      <c r="D53" s="11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</row>
    <row r="54" spans="1:22">
      <c r="D54" s="8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</row>
    <row r="55" spans="1:22">
      <c r="D55" s="11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</row>
    <row r="56" spans="1:22">
      <c r="E56" s="11"/>
      <c r="F56" s="11"/>
      <c r="G56" s="11"/>
      <c r="H56" s="11"/>
      <c r="I56" s="11"/>
      <c r="J56" s="11"/>
      <c r="K56" s="8"/>
      <c r="L56" s="8"/>
      <c r="M56" s="8"/>
      <c r="N56" s="8"/>
      <c r="O56" s="8"/>
      <c r="P56" s="8"/>
      <c r="Q56" s="8"/>
      <c r="R56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45345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4401</v>
      </c>
      <c r="D2" s="1">
        <v>4403</v>
      </c>
      <c r="E2" s="1">
        <v>4419</v>
      </c>
      <c r="F2" s="1">
        <v>4421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24</v>
      </c>
      <c r="B3" s="5" t="s">
        <v>25</v>
      </c>
      <c r="C3" s="5">
        <v>0.25694444444444442</v>
      </c>
      <c r="D3" s="5">
        <v>0.38194444444444442</v>
      </c>
      <c r="E3" s="5">
        <v>0.62847222222222221</v>
      </c>
      <c r="F3" s="5">
        <v>0.78472222222222221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7">
      <c r="A4" s="1" t="s">
        <v>91</v>
      </c>
      <c r="B4" s="6" t="s">
        <v>92</v>
      </c>
      <c r="C4" s="125"/>
      <c r="D4" s="125"/>
      <c r="E4" s="125"/>
      <c r="F4" s="12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7">
      <c r="A5" s="1" t="s">
        <v>93</v>
      </c>
      <c r="B5" s="6" t="s">
        <v>94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7">
      <c r="A6" s="6" t="s">
        <v>22</v>
      </c>
      <c r="B6" s="6" t="s">
        <v>23</v>
      </c>
      <c r="C6" s="7">
        <v>0.26111111111111107</v>
      </c>
      <c r="D6" s="7">
        <v>0.38611111111111107</v>
      </c>
      <c r="E6" s="7">
        <v>0.63263888888888886</v>
      </c>
      <c r="F6" s="7">
        <v>0.78888888888888886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7">
      <c r="A7" s="6" t="s">
        <v>95</v>
      </c>
      <c r="B7" s="6" t="s">
        <v>96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7">
      <c r="A8" s="6" t="s">
        <v>97</v>
      </c>
      <c r="B8" s="6" t="s">
        <v>98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7">
      <c r="A9" s="1" t="s">
        <v>99</v>
      </c>
      <c r="B9" s="6" t="s">
        <v>100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7">
      <c r="A10" s="1" t="s">
        <v>101</v>
      </c>
      <c r="B10" s="6" t="s">
        <v>102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7">
      <c r="A11" s="6" t="s">
        <v>20</v>
      </c>
      <c r="B11" s="6" t="s">
        <v>21</v>
      </c>
      <c r="C11" s="7">
        <v>0.26527777777777778</v>
      </c>
      <c r="D11" s="7">
        <v>0.39027777777777778</v>
      </c>
      <c r="E11" s="7">
        <v>0.63680555555555551</v>
      </c>
      <c r="F11" s="7">
        <v>0.79305555555555551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7">
      <c r="A12" s="6" t="s">
        <v>103</v>
      </c>
      <c r="B12" s="6" t="s">
        <v>104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7">
      <c r="A13" s="1" t="s">
        <v>18</v>
      </c>
      <c r="B13" s="6" t="s">
        <v>19</v>
      </c>
      <c r="C13" s="7">
        <v>0.26944444444444443</v>
      </c>
      <c r="D13" s="7">
        <v>0.39444444444444443</v>
      </c>
      <c r="E13" s="7">
        <v>0.64097222222222228</v>
      </c>
      <c r="F13" s="7">
        <v>0.79722222222222228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7">
      <c r="A14" s="6" t="s">
        <v>105</v>
      </c>
      <c r="B14" s="6" t="s">
        <v>106</v>
      </c>
      <c r="D14" s="1"/>
      <c r="E14" s="1"/>
      <c r="F14" s="1"/>
      <c r="G14" s="7"/>
      <c r="H14" s="7"/>
      <c r="I14" s="7"/>
      <c r="J14" s="7"/>
      <c r="K14" s="7"/>
    </row>
    <row r="15" spans="1:27">
      <c r="A15" s="6" t="s">
        <v>16</v>
      </c>
      <c r="B15" s="6" t="s">
        <v>17</v>
      </c>
      <c r="C15" s="82">
        <v>0.27361111111111114</v>
      </c>
      <c r="D15" s="7">
        <v>0.39861111111111114</v>
      </c>
      <c r="E15" s="7">
        <v>0.64513888888888893</v>
      </c>
      <c r="F15" s="7">
        <v>0.80138888888888893</v>
      </c>
      <c r="G15" s="7"/>
      <c r="H15" s="7"/>
      <c r="I15" s="7"/>
      <c r="J15" s="7"/>
      <c r="K15" s="7"/>
    </row>
    <row r="16" spans="1:27">
      <c r="A16" s="1" t="s">
        <v>14</v>
      </c>
      <c r="B16" s="6" t="s">
        <v>15</v>
      </c>
      <c r="C16" s="82">
        <v>0.27708333333333335</v>
      </c>
      <c r="D16" s="7">
        <v>0.40208333333333335</v>
      </c>
      <c r="E16" s="7">
        <v>0.64861111111111114</v>
      </c>
      <c r="F16" s="7">
        <v>0.80486111111111114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1">
      <c r="A17" s="1" t="s">
        <v>12</v>
      </c>
      <c r="B17" s="6" t="s">
        <v>13</v>
      </c>
      <c r="C17" s="82">
        <v>0.28125</v>
      </c>
      <c r="D17" s="7">
        <v>0.40625</v>
      </c>
      <c r="E17" s="7">
        <v>0.65277777777777779</v>
      </c>
      <c r="F17" s="7">
        <v>0.80902777777777779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1">
      <c r="A18" s="6" t="s">
        <v>10</v>
      </c>
      <c r="B18" s="6" t="s">
        <v>11</v>
      </c>
      <c r="C18" s="82">
        <v>0.28402777777777777</v>
      </c>
      <c r="D18" s="82">
        <v>0.40902777777777777</v>
      </c>
      <c r="E18" s="82">
        <v>0.65555555555555556</v>
      </c>
      <c r="F18" s="82">
        <v>0.81180555555555556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1">
      <c r="A19" s="6" t="s">
        <v>181</v>
      </c>
      <c r="B19" s="6" t="s">
        <v>182</v>
      </c>
      <c r="C19" s="125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1">
      <c r="A20" s="6" t="s">
        <v>183</v>
      </c>
      <c r="B20" s="6" t="s">
        <v>184</v>
      </c>
      <c r="C20" s="125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1">
      <c r="A21" s="1" t="s">
        <v>8</v>
      </c>
      <c r="B21" s="6" t="s">
        <v>9</v>
      </c>
      <c r="C21" s="82">
        <v>0.29236111111111113</v>
      </c>
      <c r="D21" s="7">
        <v>0.41736111111111113</v>
      </c>
      <c r="E21" s="7">
        <v>0.66388888888888886</v>
      </c>
      <c r="F21" s="7">
        <v>0.82013888888888886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1">
      <c r="A22" s="1" t="s">
        <v>6</v>
      </c>
      <c r="B22" s="6" t="s">
        <v>7</v>
      </c>
      <c r="C22" s="82">
        <v>0.2951388888888889</v>
      </c>
      <c r="D22" s="7">
        <v>0.4201388888888889</v>
      </c>
      <c r="E22" s="7">
        <v>0.66666666666666663</v>
      </c>
      <c r="F22" s="7">
        <v>0.82291666666666663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1">
      <c r="A23" s="6" t="s">
        <v>4</v>
      </c>
      <c r="B23" s="6" t="s">
        <v>5</v>
      </c>
      <c r="C23" s="82">
        <v>0.2986111111111111</v>
      </c>
      <c r="D23" s="7">
        <v>0.4236111111111111</v>
      </c>
      <c r="E23" s="7">
        <v>0.67013888888888884</v>
      </c>
      <c r="F23" s="7">
        <v>0.82638888888888884</v>
      </c>
      <c r="G23" s="7"/>
    </row>
    <row r="24" spans="1:21">
      <c r="C24" s="125"/>
      <c r="G24" s="7"/>
    </row>
    <row r="25" spans="1:21">
      <c r="A25" s="1"/>
      <c r="C25" s="82"/>
      <c r="D25" s="7"/>
      <c r="E25" s="7"/>
      <c r="F25" s="7"/>
      <c r="G25" s="7"/>
    </row>
    <row r="26" spans="1:21">
      <c r="G26" s="7"/>
    </row>
    <row r="27" spans="1:21">
      <c r="A27" s="8"/>
      <c r="C27" s="7"/>
      <c r="D27" s="7"/>
      <c r="E27" s="7"/>
      <c r="F27" s="7"/>
      <c r="G27" s="7"/>
    </row>
    <row r="28" spans="1:21">
      <c r="A28" s="10"/>
      <c r="C28" s="7"/>
      <c r="D28" s="7"/>
      <c r="E28" s="7"/>
      <c r="F28" s="7"/>
      <c r="G28" s="7"/>
    </row>
    <row r="29" spans="1:21">
      <c r="A29" s="10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8"/>
      <c r="B30" s="8"/>
      <c r="C30" s="9"/>
      <c r="D30" s="7"/>
      <c r="E30" s="7"/>
      <c r="F30" s="7"/>
      <c r="G30" s="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0"/>
      <c r="B31" s="8"/>
      <c r="C31" s="8"/>
      <c r="G31" s="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0"/>
      <c r="B32" s="8"/>
      <c r="C32" s="8"/>
      <c r="G32" s="7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0"/>
      <c r="B33" s="8"/>
      <c r="C33" s="9"/>
      <c r="D33" s="7"/>
      <c r="E33" s="7"/>
      <c r="F33" s="7"/>
      <c r="G33" s="7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0"/>
      <c r="B34" s="8"/>
      <c r="C34" s="9"/>
      <c r="D34" s="7"/>
      <c r="E34" s="7"/>
      <c r="F34" s="7"/>
      <c r="G34" s="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0"/>
      <c r="B35" s="8"/>
      <c r="C35" s="9"/>
      <c r="D35" s="7"/>
      <c r="E35" s="7"/>
      <c r="F35" s="7"/>
      <c r="G35" s="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B36" s="11"/>
      <c r="C36" s="11"/>
      <c r="D36" s="11"/>
      <c r="E36" s="11"/>
      <c r="F36" s="11"/>
      <c r="G36" s="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21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21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21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21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outlinePr summaryBelow="0" summaryRight="0"/>
  </sheetPr>
  <dimension ref="A1:AA46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45345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4400</v>
      </c>
      <c r="D2" s="1">
        <v>4402</v>
      </c>
      <c r="E2" s="1">
        <v>4420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34" t="s">
        <v>4</v>
      </c>
      <c r="B3" s="5" t="s">
        <v>5</v>
      </c>
      <c r="C3" s="5">
        <v>0.19444444444444445</v>
      </c>
      <c r="D3" s="5">
        <v>0.3125</v>
      </c>
      <c r="E3" s="5">
        <v>0.68402777777777779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30" t="s">
        <v>6</v>
      </c>
      <c r="B4" s="7" t="s">
        <v>7</v>
      </c>
      <c r="C4" s="7">
        <v>0.19791666666666666</v>
      </c>
      <c r="D4" s="7">
        <v>0.31597222222222221</v>
      </c>
      <c r="E4" s="7">
        <v>0.6875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30" t="s">
        <v>8</v>
      </c>
      <c r="B5" s="7" t="s">
        <v>9</v>
      </c>
      <c r="C5" s="7">
        <v>0.2</v>
      </c>
      <c r="D5" s="7">
        <v>0.31805555555555554</v>
      </c>
      <c r="E5" s="7">
        <v>0.68958333333333333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7" t="s">
        <v>183</v>
      </c>
      <c r="B6" s="7" t="s">
        <v>184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7" t="s">
        <v>181</v>
      </c>
      <c r="B7" s="7" t="s">
        <v>182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7" t="s">
        <v>10</v>
      </c>
      <c r="B8" s="7" t="s">
        <v>11</v>
      </c>
      <c r="C8" s="7">
        <v>0.20833333333333334</v>
      </c>
      <c r="D8" s="7">
        <v>0.3263888888888889</v>
      </c>
      <c r="E8" s="7">
        <v>0.69791666666666663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30" t="s">
        <v>12</v>
      </c>
      <c r="B9" s="7" t="s">
        <v>13</v>
      </c>
      <c r="C9" s="7">
        <v>0.21180555555555555</v>
      </c>
      <c r="D9" s="7">
        <v>0.3298611111111111</v>
      </c>
      <c r="E9" s="7">
        <v>0.70138888888888884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30" t="s">
        <v>14</v>
      </c>
      <c r="B10" s="7" t="s">
        <v>15</v>
      </c>
      <c r="C10" s="7">
        <v>0.21597222222222223</v>
      </c>
      <c r="D10" s="7">
        <v>0.33402777777777776</v>
      </c>
      <c r="E10" s="7">
        <v>0.7055555555555556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16</v>
      </c>
      <c r="B11" s="6" t="s">
        <v>17</v>
      </c>
      <c r="C11" s="7">
        <v>0.21875</v>
      </c>
      <c r="D11" s="7">
        <v>0.33680555555555558</v>
      </c>
      <c r="E11" s="7">
        <v>0.70833333333333337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71" t="s">
        <v>105</v>
      </c>
      <c r="B12" s="71" t="s">
        <v>106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35" t="s">
        <v>18</v>
      </c>
      <c r="B13" s="71" t="s">
        <v>19</v>
      </c>
      <c r="C13" s="7">
        <v>0.22361111111111112</v>
      </c>
      <c r="D13" s="7">
        <v>0.34166666666666667</v>
      </c>
      <c r="E13" s="7">
        <v>0.71319444444444446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71" t="s">
        <v>103</v>
      </c>
      <c r="B14" s="71" t="s">
        <v>104</v>
      </c>
      <c r="F14" s="7"/>
      <c r="G14" s="7"/>
      <c r="H14" s="7"/>
      <c r="I14" s="7"/>
      <c r="J14" s="7"/>
      <c r="K14" s="7"/>
    </row>
    <row r="15" spans="1:27">
      <c r="A15" s="1" t="s">
        <v>20</v>
      </c>
      <c r="B15" s="6" t="s">
        <v>21</v>
      </c>
      <c r="C15" s="7">
        <v>0.22708333333333333</v>
      </c>
      <c r="D15" s="7">
        <v>0.34513888888888888</v>
      </c>
      <c r="E15" s="7">
        <v>0.71666666666666667</v>
      </c>
      <c r="F15" s="7"/>
      <c r="G15" s="7"/>
      <c r="H15" s="7"/>
      <c r="I15" s="7"/>
      <c r="J15" s="7"/>
      <c r="K15" s="7"/>
    </row>
    <row r="16" spans="1:27">
      <c r="A16" s="1" t="s">
        <v>101</v>
      </c>
      <c r="B16" s="6" t="s">
        <v>102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1" t="s">
        <v>99</v>
      </c>
      <c r="B17" s="6" t="s">
        <v>100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135" t="s">
        <v>97</v>
      </c>
      <c r="B18" s="71" t="s">
        <v>98</v>
      </c>
      <c r="C18" s="6"/>
      <c r="D18" s="6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1" t="s">
        <v>95</v>
      </c>
      <c r="B19" s="71" t="s">
        <v>96</v>
      </c>
      <c r="C19" s="6"/>
      <c r="D19" s="6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6" t="s">
        <v>22</v>
      </c>
      <c r="B20" s="8" t="s">
        <v>23</v>
      </c>
      <c r="C20" s="9">
        <v>0.23194444444444445</v>
      </c>
      <c r="D20" s="9">
        <v>0.35</v>
      </c>
      <c r="E20" s="9">
        <v>0.72152777777777777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 t="s">
        <v>93</v>
      </c>
      <c r="B21" s="8" t="s">
        <v>94</v>
      </c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4" t="s">
        <v>91</v>
      </c>
      <c r="B22" s="11" t="s">
        <v>92</v>
      </c>
      <c r="C22" s="11"/>
      <c r="D22" s="11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 t="s">
        <v>24</v>
      </c>
      <c r="B23" s="9" t="s">
        <v>25</v>
      </c>
      <c r="C23" s="9">
        <v>0.2361111111111111</v>
      </c>
      <c r="D23" s="9">
        <v>0.35416666666666669</v>
      </c>
      <c r="E23" s="9">
        <v>0.72569444444444442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"/>
      <c r="B25" s="1"/>
      <c r="C25" s="1"/>
      <c r="D25" s="1"/>
      <c r="E25" s="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30"/>
      <c r="B27" s="7"/>
      <c r="C27" s="7"/>
      <c r="D27" s="7"/>
      <c r="E27" s="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30"/>
      <c r="B28" s="7"/>
      <c r="C28" s="7"/>
      <c r="D28" s="7"/>
      <c r="E28" s="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7"/>
      <c r="B29" s="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7"/>
      <c r="B30" s="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7"/>
      <c r="B31" s="7"/>
      <c r="C31" s="7"/>
      <c r="D31" s="7"/>
      <c r="E31" s="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30"/>
      <c r="B32" s="7"/>
      <c r="C32" s="7"/>
      <c r="D32" s="7"/>
      <c r="E32" s="7"/>
      <c r="G32" s="8"/>
      <c r="H32" s="8"/>
      <c r="I32" s="8"/>
      <c r="J32" s="8"/>
    </row>
    <row r="33" spans="1:10">
      <c r="A33" s="130"/>
      <c r="B33" s="7"/>
      <c r="C33" s="7"/>
      <c r="D33" s="7"/>
      <c r="E33" s="7"/>
      <c r="G33" s="11"/>
      <c r="H33" s="11"/>
      <c r="I33" s="11"/>
      <c r="J33" s="11"/>
    </row>
    <row r="34" spans="1:10">
      <c r="C34" s="7"/>
      <c r="D34" s="7"/>
      <c r="E34" s="7"/>
      <c r="G34" s="11"/>
      <c r="H34" s="11"/>
      <c r="I34" s="11"/>
      <c r="J34" s="11"/>
    </row>
    <row r="35" spans="1:10">
      <c r="A35" s="71"/>
      <c r="B35" s="71"/>
      <c r="G35" s="11"/>
      <c r="H35" s="11"/>
      <c r="I35" s="11"/>
      <c r="J35" s="11"/>
    </row>
    <row r="36" spans="1:10">
      <c r="A36" s="135"/>
      <c r="B36" s="71"/>
      <c r="C36" s="7"/>
      <c r="D36" s="7"/>
      <c r="E36" s="7"/>
      <c r="G36" s="8"/>
      <c r="H36" s="8"/>
      <c r="I36" s="8"/>
      <c r="J36" s="8"/>
    </row>
    <row r="37" spans="1:10">
      <c r="A37" s="71"/>
      <c r="B37" s="71"/>
      <c r="G37" s="8"/>
      <c r="H37" s="8"/>
      <c r="I37" s="8"/>
      <c r="J37" s="8"/>
    </row>
    <row r="38" spans="1:10">
      <c r="A38" s="1"/>
      <c r="C38" s="7"/>
      <c r="D38" s="7"/>
      <c r="E38" s="7"/>
      <c r="G38" s="8"/>
      <c r="H38" s="8"/>
      <c r="I38" s="8"/>
      <c r="J38" s="8"/>
    </row>
    <row r="39" spans="1:10">
      <c r="A39" s="1"/>
      <c r="G39" s="11"/>
      <c r="H39" s="11"/>
      <c r="I39" s="11"/>
      <c r="J39" s="11"/>
    </row>
    <row r="40" spans="1:10">
      <c r="A40" s="1"/>
      <c r="G40" s="11"/>
      <c r="H40" s="11"/>
      <c r="I40" s="11"/>
      <c r="J40" s="11"/>
    </row>
    <row r="41" spans="1:10">
      <c r="A41" s="135"/>
      <c r="B41" s="71"/>
      <c r="C41" s="8"/>
      <c r="D41" s="8"/>
      <c r="E41" s="8"/>
      <c r="G41" s="8"/>
      <c r="H41" s="8"/>
      <c r="I41" s="8"/>
      <c r="J41" s="8"/>
    </row>
    <row r="42" spans="1:10">
      <c r="A42" s="11"/>
      <c r="B42" s="11"/>
      <c r="C42" s="8"/>
      <c r="D42" s="8"/>
      <c r="E42" s="8"/>
      <c r="G42" s="8"/>
      <c r="H42" s="8"/>
      <c r="I42" s="8"/>
      <c r="J42" s="8"/>
    </row>
    <row r="43" spans="1:10">
      <c r="A43" s="10"/>
      <c r="B43" s="8"/>
      <c r="C43" s="7"/>
      <c r="D43" s="7"/>
      <c r="E43" s="7"/>
      <c r="G43" s="11"/>
      <c r="H43" s="11"/>
      <c r="I43" s="11"/>
      <c r="J43" s="11"/>
    </row>
    <row r="44" spans="1:10">
      <c r="A44" s="10"/>
      <c r="B44" s="8"/>
      <c r="G44" s="8"/>
      <c r="H44" s="8"/>
      <c r="I44" s="8"/>
      <c r="J44" s="8"/>
    </row>
    <row r="45" spans="1:10">
      <c r="A45" s="14"/>
      <c r="B45" s="11"/>
      <c r="C45" s="11"/>
      <c r="D45" s="11"/>
      <c r="E45" s="11"/>
      <c r="G45" s="11"/>
      <c r="H45" s="11"/>
      <c r="I45" s="11"/>
      <c r="J45" s="11"/>
    </row>
    <row r="46" spans="1:10">
      <c r="A46" s="10"/>
      <c r="B46" s="9"/>
      <c r="C46" s="7"/>
      <c r="D46" s="7"/>
      <c r="E46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600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45831</v>
      </c>
      <c r="C1" s="8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185</v>
      </c>
      <c r="D2" s="130" t="s">
        <v>186</v>
      </c>
      <c r="E2" s="130" t="s">
        <v>187</v>
      </c>
      <c r="F2" s="130" t="s">
        <v>188</v>
      </c>
      <c r="G2" s="130" t="s">
        <v>189</v>
      </c>
      <c r="H2" s="130" t="s">
        <v>190</v>
      </c>
      <c r="I2" s="130" t="s">
        <v>191</v>
      </c>
      <c r="J2" s="130" t="s">
        <v>192</v>
      </c>
      <c r="K2" s="130" t="s">
        <v>193</v>
      </c>
      <c r="L2" s="130" t="s">
        <v>194</v>
      </c>
      <c r="M2" s="130" t="s">
        <v>195</v>
      </c>
      <c r="N2" s="130" t="s">
        <v>196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24</v>
      </c>
      <c r="B3" s="5" t="s">
        <v>25</v>
      </c>
      <c r="C3" s="5">
        <v>0.22222222222222221</v>
      </c>
      <c r="D3" s="5">
        <v>0.27083333333333331</v>
      </c>
      <c r="E3" s="5">
        <v>0.31944444444444442</v>
      </c>
      <c r="F3" s="5">
        <v>0.37152777777777779</v>
      </c>
      <c r="G3" s="5">
        <v>0.4201388888888889</v>
      </c>
      <c r="H3" s="5">
        <v>0.46875</v>
      </c>
      <c r="I3" s="5">
        <v>0.51736111111111116</v>
      </c>
      <c r="J3" s="5">
        <v>0.56597222222222221</v>
      </c>
      <c r="K3" s="5">
        <v>0.61458333333333337</v>
      </c>
      <c r="L3" s="5">
        <v>0.66319444444444442</v>
      </c>
      <c r="M3" s="5">
        <v>0.71180555555555558</v>
      </c>
      <c r="N3" s="5">
        <v>0.76041666666666663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spans="1:27">
      <c r="A4" s="1" t="s">
        <v>29</v>
      </c>
      <c r="B4" s="6" t="s">
        <v>119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7">
      <c r="A5" s="1" t="s">
        <v>30</v>
      </c>
      <c r="B5" s="6" t="s">
        <v>120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7">
      <c r="A6" s="6" t="s">
        <v>31</v>
      </c>
      <c r="B6" s="6" t="s">
        <v>121</v>
      </c>
      <c r="C6" s="7">
        <v>0.23055555555555557</v>
      </c>
      <c r="D6" s="7">
        <v>0.27916666666666667</v>
      </c>
      <c r="E6" s="7">
        <v>0.32777777777777778</v>
      </c>
      <c r="F6" s="7">
        <v>0.37986111111111109</v>
      </c>
      <c r="G6" s="7">
        <v>0.4284722222222222</v>
      </c>
      <c r="H6" s="7">
        <v>0.47708333333333336</v>
      </c>
      <c r="I6" s="7">
        <v>0.52569444444444446</v>
      </c>
      <c r="J6" s="7">
        <v>0.57430555555555551</v>
      </c>
      <c r="K6" s="7">
        <v>0.62291666666666667</v>
      </c>
      <c r="L6" s="7">
        <v>0.67152777777777772</v>
      </c>
      <c r="M6" s="7">
        <v>0.72013888888888888</v>
      </c>
      <c r="N6" s="7">
        <v>0.76875000000000004</v>
      </c>
      <c r="O6" s="7"/>
      <c r="P6" s="7"/>
      <c r="Q6" s="7"/>
      <c r="R6" s="7"/>
      <c r="S6" s="7"/>
      <c r="T6" s="7"/>
      <c r="U6" s="7"/>
      <c r="V6" s="7"/>
      <c r="W6" s="7"/>
      <c r="X6" s="7"/>
    </row>
    <row r="7" spans="1:27">
      <c r="A7" s="6" t="s">
        <v>32</v>
      </c>
      <c r="B7" s="6" t="s">
        <v>122</v>
      </c>
      <c r="C7" s="7">
        <v>0.23333333333333334</v>
      </c>
      <c r="D7" s="7">
        <v>0.28194444444444444</v>
      </c>
      <c r="E7" s="7">
        <v>0.33055555555555555</v>
      </c>
      <c r="F7" s="7">
        <v>0.38263888888888886</v>
      </c>
      <c r="G7" s="7">
        <v>0.43125000000000002</v>
      </c>
      <c r="H7" s="7">
        <v>0.47986111111111113</v>
      </c>
      <c r="I7" s="7">
        <v>0.52847222222222223</v>
      </c>
      <c r="J7" s="7">
        <v>0.57708333333333328</v>
      </c>
      <c r="K7" s="7">
        <v>0.62569444444444444</v>
      </c>
      <c r="L7" s="7">
        <v>0.6743055555555556</v>
      </c>
      <c r="M7" s="7">
        <v>0.72291666666666665</v>
      </c>
      <c r="N7" s="7">
        <v>0.77152777777777781</v>
      </c>
      <c r="O7" s="7"/>
      <c r="P7" s="7"/>
      <c r="Q7" s="7"/>
      <c r="R7" s="7"/>
      <c r="S7" s="7"/>
      <c r="T7" s="7"/>
      <c r="U7" s="7"/>
      <c r="V7" s="7"/>
      <c r="W7" s="7"/>
      <c r="X7" s="7"/>
    </row>
    <row r="8" spans="1:27">
      <c r="A8" s="6" t="s">
        <v>33</v>
      </c>
      <c r="B8" s="6" t="s">
        <v>123</v>
      </c>
      <c r="C8" s="7">
        <v>0.23958333333333334</v>
      </c>
      <c r="D8" s="7">
        <v>0.28819444444444442</v>
      </c>
      <c r="E8" s="7">
        <v>0.33680555555555558</v>
      </c>
      <c r="F8" s="7">
        <v>0.3888888888888889</v>
      </c>
      <c r="G8" s="7">
        <v>0.4375</v>
      </c>
      <c r="H8" s="7">
        <v>0.4861111111111111</v>
      </c>
      <c r="I8" s="7">
        <v>0.53472222222222221</v>
      </c>
      <c r="J8" s="7">
        <v>0.58333333333333337</v>
      </c>
      <c r="K8" s="7">
        <v>0.63194444444444442</v>
      </c>
      <c r="L8" s="7">
        <v>0.68055555555555558</v>
      </c>
      <c r="M8" s="7">
        <v>0.72916666666666663</v>
      </c>
      <c r="N8" s="7">
        <v>0.77777777777777779</v>
      </c>
      <c r="O8" s="7"/>
      <c r="P8" s="7"/>
      <c r="Q8" s="7"/>
      <c r="R8" s="7"/>
      <c r="S8" s="7"/>
      <c r="T8" s="7"/>
      <c r="U8" s="7"/>
      <c r="V8" s="7"/>
      <c r="W8" s="7"/>
      <c r="X8" s="7"/>
    </row>
    <row r="9" spans="1:27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7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2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2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9" spans="1:2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B30" s="9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B31" s="9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B32" s="9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B33" s="9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B34" s="9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B35" s="9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21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21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21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21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60000"/>
    <outlinePr summaryBelow="0" summaryRight="0"/>
  </sheetPr>
  <dimension ref="A1:AA3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'PTA-to-IRENE_Weekday'!B1</f>
        <v>45831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197</v>
      </c>
      <c r="D2" s="1" t="s">
        <v>198</v>
      </c>
      <c r="E2" s="1" t="s">
        <v>199</v>
      </c>
      <c r="F2" s="1" t="s">
        <v>200</v>
      </c>
      <c r="G2" s="1" t="s">
        <v>201</v>
      </c>
      <c r="H2" s="1" t="s">
        <v>202</v>
      </c>
      <c r="I2" s="1" t="s">
        <v>203</v>
      </c>
      <c r="J2" s="1" t="s">
        <v>204</v>
      </c>
      <c r="K2" s="1" t="s">
        <v>205</v>
      </c>
      <c r="L2" s="1" t="s">
        <v>206</v>
      </c>
      <c r="M2" s="1" t="s">
        <v>207</v>
      </c>
      <c r="N2" s="1" t="s">
        <v>208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33</v>
      </c>
      <c r="B3" s="4" t="s">
        <v>123</v>
      </c>
      <c r="C3" s="5">
        <v>0.24652777777777779</v>
      </c>
      <c r="D3" s="5">
        <v>0.2951388888888889</v>
      </c>
      <c r="E3" s="5">
        <v>0.34375</v>
      </c>
      <c r="F3" s="5">
        <v>0.39583333333333331</v>
      </c>
      <c r="G3" s="5">
        <v>0.44444444444444442</v>
      </c>
      <c r="H3" s="5">
        <v>0.49305555555555558</v>
      </c>
      <c r="I3" s="5">
        <v>0.54166666666666663</v>
      </c>
      <c r="J3" s="5">
        <v>0.59027777777777779</v>
      </c>
      <c r="K3" s="5">
        <v>0.63888888888888884</v>
      </c>
      <c r="L3" s="5">
        <v>0.6875</v>
      </c>
      <c r="M3" s="5">
        <v>0.73611111111111116</v>
      </c>
      <c r="N3" s="5">
        <v>0.78472222222222221</v>
      </c>
      <c r="O3" s="5"/>
      <c r="P3" s="5"/>
      <c r="Q3" s="5"/>
      <c r="R3" s="5"/>
      <c r="S3" s="5"/>
      <c r="T3" s="5"/>
    </row>
    <row r="4" spans="1:27">
      <c r="A4" s="1" t="s">
        <v>32</v>
      </c>
      <c r="B4" s="6" t="s">
        <v>122</v>
      </c>
      <c r="C4" s="7">
        <v>0.25277777777777777</v>
      </c>
      <c r="D4" s="7">
        <v>0.30138888888888887</v>
      </c>
      <c r="E4" s="7">
        <v>0.35</v>
      </c>
      <c r="F4" s="7">
        <v>0.40208333333333335</v>
      </c>
      <c r="G4" s="7">
        <v>0.45069444444444445</v>
      </c>
      <c r="H4" s="7">
        <v>0.49930555555555556</v>
      </c>
      <c r="I4" s="7">
        <v>0.54791666666666672</v>
      </c>
      <c r="J4" s="7">
        <v>0.59652777777777777</v>
      </c>
      <c r="K4" s="7">
        <v>0.64513888888888893</v>
      </c>
      <c r="L4" s="7">
        <v>0.69374999999999998</v>
      </c>
      <c r="M4" s="7">
        <v>0.74236111111111114</v>
      </c>
      <c r="N4" s="7">
        <v>0.79097222222222219</v>
      </c>
      <c r="O4" s="7"/>
      <c r="P4" s="7"/>
      <c r="Q4" s="7"/>
      <c r="R4" s="7"/>
      <c r="S4" s="7"/>
      <c r="T4" s="7"/>
    </row>
    <row r="5" spans="1:27">
      <c r="A5" s="1" t="s">
        <v>31</v>
      </c>
      <c r="B5" s="7" t="s">
        <v>121</v>
      </c>
      <c r="C5" s="7">
        <v>0.25555555555555554</v>
      </c>
      <c r="D5" s="7">
        <v>0.30416666666666664</v>
      </c>
      <c r="E5" s="7">
        <v>0.3527777777777778</v>
      </c>
      <c r="F5" s="7">
        <v>0.40486111111111112</v>
      </c>
      <c r="G5" s="7">
        <v>0.45347222222222222</v>
      </c>
      <c r="H5" s="7">
        <v>0.50208333333333333</v>
      </c>
      <c r="I5" s="7">
        <v>0.55069444444444449</v>
      </c>
      <c r="J5" s="7">
        <v>0.59930555555555554</v>
      </c>
      <c r="K5" s="7">
        <v>0.6479166666666667</v>
      </c>
      <c r="L5" s="7">
        <v>0.69652777777777775</v>
      </c>
      <c r="M5" s="7">
        <v>0.74513888888888891</v>
      </c>
      <c r="N5" s="7">
        <v>0.79374999999999996</v>
      </c>
      <c r="O5" s="7"/>
      <c r="P5" s="7"/>
      <c r="Q5" s="7"/>
      <c r="R5" s="7"/>
      <c r="S5" s="7"/>
      <c r="T5" s="7"/>
    </row>
    <row r="6" spans="1:27">
      <c r="A6" s="6" t="s">
        <v>30</v>
      </c>
      <c r="B6" s="7" t="s">
        <v>120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29</v>
      </c>
      <c r="B7" s="7" t="s">
        <v>119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24</v>
      </c>
      <c r="B8" s="7" t="s">
        <v>25</v>
      </c>
      <c r="C8" s="7">
        <v>0.2638888888888889</v>
      </c>
      <c r="D8" s="7">
        <v>0.3125</v>
      </c>
      <c r="E8" s="7">
        <v>0.3611111111111111</v>
      </c>
      <c r="F8" s="7">
        <v>0.41319444444444442</v>
      </c>
      <c r="G8" s="7">
        <v>0.46180555555555558</v>
      </c>
      <c r="H8" s="7">
        <v>0.51041666666666663</v>
      </c>
      <c r="I8" s="7">
        <v>0.55902777777777779</v>
      </c>
      <c r="J8" s="7">
        <v>0.60763888888888884</v>
      </c>
      <c r="K8" s="7">
        <v>0.65625</v>
      </c>
      <c r="L8" s="7">
        <v>0.70486111111111116</v>
      </c>
      <c r="M8" s="7">
        <v>0.75347222222222221</v>
      </c>
      <c r="N8" s="7">
        <v>0.80208333333333337</v>
      </c>
      <c r="O8" s="7"/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D17" s="7"/>
      <c r="E17" s="7"/>
      <c r="F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8"/>
      <c r="Q20" s="8"/>
      <c r="R20" s="8"/>
      <c r="S20" s="8"/>
      <c r="T20" s="8"/>
    </row>
    <row r="21" spans="1:20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9"/>
      <c r="P21" s="9"/>
      <c r="Q21" s="9"/>
      <c r="R21" s="9"/>
      <c r="S21" s="9"/>
      <c r="T21" s="9"/>
    </row>
    <row r="22" spans="1:20">
      <c r="B22" s="11"/>
      <c r="C22" s="11"/>
      <c r="D22" s="9"/>
      <c r="E22" s="9"/>
      <c r="F22" s="9"/>
      <c r="G22" s="9"/>
      <c r="H22" s="9"/>
      <c r="I22" s="9"/>
      <c r="J22" s="9"/>
      <c r="K22" s="9"/>
      <c r="L22" s="9"/>
      <c r="M22" s="9"/>
      <c r="N22" s="7"/>
      <c r="O22" s="9"/>
      <c r="P22" s="9"/>
      <c r="Q22" s="9"/>
      <c r="R22" s="9"/>
      <c r="S22" s="9"/>
      <c r="T22" s="9"/>
    </row>
    <row r="23" spans="1:20"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3:10">
      <c r="C33" s="11"/>
      <c r="D33" s="11"/>
      <c r="E33" s="11"/>
      <c r="F33" s="11"/>
      <c r="G33" s="11"/>
      <c r="H33" s="11"/>
      <c r="I33" s="11"/>
      <c r="J33" s="11"/>
    </row>
    <row r="34" spans="3:10">
      <c r="C34" s="11"/>
      <c r="D34" s="11"/>
      <c r="E34" s="11"/>
      <c r="F34" s="11"/>
      <c r="G34" s="11"/>
      <c r="H34" s="11"/>
      <c r="I34" s="11"/>
      <c r="J34" s="11"/>
    </row>
    <row r="35" spans="3:10">
      <c r="C35" s="11"/>
      <c r="D35" s="11"/>
      <c r="E35" s="11"/>
      <c r="F35" s="11"/>
      <c r="G35" s="11"/>
      <c r="H35" s="11"/>
      <c r="I35" s="11"/>
      <c r="J35" s="1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600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129" t="s">
        <v>135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185</v>
      </c>
      <c r="D2" s="136" t="s">
        <v>186</v>
      </c>
      <c r="E2" s="136" t="s">
        <v>187</v>
      </c>
      <c r="F2" s="136" t="s">
        <v>193</v>
      </c>
      <c r="G2" s="136" t="s">
        <v>194</v>
      </c>
      <c r="H2" s="136" t="s">
        <v>195</v>
      </c>
      <c r="I2" s="136" t="s">
        <v>196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24</v>
      </c>
      <c r="B3" s="5" t="s">
        <v>25</v>
      </c>
      <c r="C3" s="5">
        <v>0.25</v>
      </c>
      <c r="D3" s="5">
        <v>0.2986111111111111</v>
      </c>
      <c r="E3" s="5">
        <v>0.35069444444444442</v>
      </c>
      <c r="F3" s="5">
        <v>0.62847222222222221</v>
      </c>
      <c r="G3" s="5">
        <v>0.67708333333333337</v>
      </c>
      <c r="H3" s="5">
        <v>0.72569444444444442</v>
      </c>
      <c r="I3" s="5">
        <v>0.77430555555555558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7">
      <c r="A4" s="1" t="s">
        <v>29</v>
      </c>
      <c r="B4" s="6" t="s">
        <v>119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7">
      <c r="A5" s="1" t="s">
        <v>30</v>
      </c>
      <c r="B5" s="6" t="s">
        <v>120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7">
      <c r="A6" s="6" t="s">
        <v>31</v>
      </c>
      <c r="B6" s="6" t="s">
        <v>121</v>
      </c>
      <c r="C6" s="7">
        <v>0.25833333333333336</v>
      </c>
      <c r="D6" s="7">
        <v>0.30694444444444446</v>
      </c>
      <c r="E6" s="7">
        <v>0.35902777777777778</v>
      </c>
      <c r="F6" s="7">
        <v>0.63680555555555562</v>
      </c>
      <c r="G6" s="7">
        <v>0.68541666666666679</v>
      </c>
      <c r="H6" s="7">
        <v>0.73402777777777772</v>
      </c>
      <c r="I6" s="7">
        <v>0.78263888888888888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7">
      <c r="A7" s="6" t="s">
        <v>32</v>
      </c>
      <c r="B7" s="6" t="s">
        <v>122</v>
      </c>
      <c r="C7" s="7">
        <v>0.26111111111111113</v>
      </c>
      <c r="D7" s="7">
        <v>0.30972222222222223</v>
      </c>
      <c r="E7" s="7">
        <v>0.36180555555555555</v>
      </c>
      <c r="F7" s="7">
        <v>0.63958333333333339</v>
      </c>
      <c r="G7" s="7">
        <v>0.68819444444444455</v>
      </c>
      <c r="H7" s="7">
        <v>0.73680555555555549</v>
      </c>
      <c r="I7" s="7">
        <v>0.78541666666666665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7">
      <c r="A8" s="6" t="s">
        <v>33</v>
      </c>
      <c r="B8" s="6" t="s">
        <v>123</v>
      </c>
      <c r="C8" s="7">
        <v>0.26736111111111116</v>
      </c>
      <c r="D8" s="7">
        <v>0.31597222222222227</v>
      </c>
      <c r="E8" s="7">
        <v>0.36805555555555558</v>
      </c>
      <c r="F8" s="7">
        <v>0.64583333333333348</v>
      </c>
      <c r="G8" s="7">
        <v>0.69444444444444464</v>
      </c>
      <c r="H8" s="7">
        <v>0.74305555555555558</v>
      </c>
      <c r="I8" s="7">
        <v>0.79166666666666674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7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7">
      <c r="A13" s="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8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10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1">
      <c r="A17" s="8"/>
      <c r="B17" s="3"/>
      <c r="C17" s="7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1">
      <c r="A18" s="10"/>
      <c r="B18" s="1"/>
      <c r="C18" s="7"/>
      <c r="D18" s="9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1">
      <c r="A19" s="10"/>
      <c r="B19" s="1"/>
      <c r="C19" s="7"/>
      <c r="D19" s="9"/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1">
      <c r="A20" s="10"/>
      <c r="C20" s="7"/>
      <c r="D20" s="11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1">
      <c r="A21" s="10"/>
      <c r="C21" s="7"/>
      <c r="D21" s="9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1">
      <c r="A22" s="10"/>
      <c r="C22" s="7"/>
      <c r="D22" s="9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1">
      <c r="A23" s="10"/>
      <c r="B23" s="9"/>
      <c r="C23" s="11"/>
      <c r="D23" s="11"/>
      <c r="E23" s="11"/>
    </row>
    <row r="24" spans="1:21">
      <c r="A24" s="10"/>
      <c r="B24" s="9"/>
      <c r="C24" s="11"/>
      <c r="D24" s="11"/>
      <c r="E24" s="11"/>
    </row>
    <row r="25" spans="1:21">
      <c r="A25" s="10"/>
      <c r="B25" s="9"/>
      <c r="C25" s="11"/>
      <c r="D25" s="11"/>
      <c r="E25" s="11"/>
    </row>
    <row r="26" spans="1:21">
      <c r="A26" s="10"/>
      <c r="B26" s="9"/>
      <c r="C26" s="11"/>
      <c r="D26" s="11"/>
      <c r="E26" s="11"/>
    </row>
    <row r="27" spans="1:21">
      <c r="A27" s="10"/>
      <c r="B27" s="9"/>
      <c r="C27" s="11"/>
      <c r="D27" s="11"/>
      <c r="E27" s="11"/>
    </row>
    <row r="28" spans="1:21">
      <c r="A28" s="7"/>
      <c r="B28" s="7"/>
    </row>
    <row r="29" spans="1:21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B30" s="9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B31" s="9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B32" s="9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B33" s="9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B34" s="9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B35" s="9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21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21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21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21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6000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'PTA-to-IRENE_Sat'!B1</f>
        <v>Unspecified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197</v>
      </c>
      <c r="D2" s="136" t="s">
        <v>198</v>
      </c>
      <c r="E2" s="1" t="s">
        <v>199</v>
      </c>
      <c r="F2" s="136" t="s">
        <v>205</v>
      </c>
      <c r="G2" s="136" t="s">
        <v>206</v>
      </c>
      <c r="H2" s="1" t="s">
        <v>207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33</v>
      </c>
      <c r="B3" s="4" t="s">
        <v>123</v>
      </c>
      <c r="C3" s="5">
        <v>0.27430555555555558</v>
      </c>
      <c r="D3" s="5">
        <v>0.32291666666666669</v>
      </c>
      <c r="E3" s="5">
        <v>0.375</v>
      </c>
      <c r="F3" s="5">
        <v>0.65277777777777779</v>
      </c>
      <c r="G3" s="5">
        <v>0.70138888888888884</v>
      </c>
      <c r="H3" s="5">
        <v>0.75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32</v>
      </c>
      <c r="B4" s="6" t="s">
        <v>122</v>
      </c>
      <c r="C4" s="7">
        <v>0.28055555555555556</v>
      </c>
      <c r="D4" s="7">
        <v>0.32916666666666666</v>
      </c>
      <c r="E4" s="7">
        <v>0.38124999999999998</v>
      </c>
      <c r="F4" s="7">
        <v>0.65902777777777777</v>
      </c>
      <c r="G4" s="7">
        <v>0.70763888888888882</v>
      </c>
      <c r="H4" s="7">
        <v>0.75624999999999998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31</v>
      </c>
      <c r="B5" s="7" t="s">
        <v>121</v>
      </c>
      <c r="C5" s="7">
        <v>0.28333333333333333</v>
      </c>
      <c r="D5" s="7">
        <v>0.33194444444444443</v>
      </c>
      <c r="E5" s="7">
        <v>0.38402777777777775</v>
      </c>
      <c r="F5" s="7">
        <v>0.66180555555555554</v>
      </c>
      <c r="G5" s="7">
        <v>0.71041666666666659</v>
      </c>
      <c r="H5" s="7">
        <v>0.75902777777777775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30</v>
      </c>
      <c r="B6" s="7" t="s">
        <v>120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29</v>
      </c>
      <c r="B7" s="7" t="s">
        <v>119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24</v>
      </c>
      <c r="B8" s="7" t="s">
        <v>25</v>
      </c>
      <c r="C8" s="7">
        <v>0.29166666666666669</v>
      </c>
      <c r="D8" s="7">
        <v>0.34027777777777779</v>
      </c>
      <c r="E8" s="7">
        <v>0.3923611111111111</v>
      </c>
      <c r="F8" s="7">
        <v>0.67013888888888884</v>
      </c>
      <c r="G8" s="7">
        <v>0.71875</v>
      </c>
      <c r="H8" s="7">
        <v>0.76736111111111116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4"/>
      <c r="B17" s="71"/>
      <c r="C17" s="7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B18" s="1"/>
      <c r="C18" s="7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B19" s="1"/>
      <c r="C19" s="7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C22" s="7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4A853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45974</v>
      </c>
      <c r="C1" s="8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6503</v>
      </c>
      <c r="D2" s="1">
        <v>6505</v>
      </c>
      <c r="E2" s="1">
        <v>6509</v>
      </c>
      <c r="F2" s="1">
        <v>6513</v>
      </c>
      <c r="G2" s="1">
        <v>6515</v>
      </c>
      <c r="H2" s="1">
        <v>6517</v>
      </c>
      <c r="I2" s="1">
        <v>6525</v>
      </c>
      <c r="J2" s="1">
        <v>6531</v>
      </c>
      <c r="K2" s="1">
        <v>6535</v>
      </c>
      <c r="L2" s="1">
        <v>6539</v>
      </c>
      <c r="M2" s="1">
        <v>6545</v>
      </c>
      <c r="N2" s="1">
        <v>6543</v>
      </c>
      <c r="O2" s="1">
        <v>6549</v>
      </c>
      <c r="P2" s="1">
        <v>6547</v>
      </c>
      <c r="Q2" s="1">
        <v>6553</v>
      </c>
      <c r="R2" s="1">
        <v>6555</v>
      </c>
      <c r="S2" s="1">
        <v>6557</v>
      </c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210</v>
      </c>
      <c r="C3" s="5">
        <v>0.20833333333333334</v>
      </c>
      <c r="D3" s="5">
        <v>0.2361111111111111</v>
      </c>
      <c r="E3" s="5">
        <v>0.2638888888888889</v>
      </c>
      <c r="F3" s="5">
        <v>0.2951388888888889</v>
      </c>
      <c r="G3" s="5">
        <v>0.31944444444444442</v>
      </c>
      <c r="H3" s="5">
        <v>0.35069444444444442</v>
      </c>
      <c r="I3" s="5">
        <v>0.40555555555555556</v>
      </c>
      <c r="J3" s="5">
        <v>0.46041666666666664</v>
      </c>
      <c r="K3" s="5">
        <v>0.51527777777777772</v>
      </c>
      <c r="L3" s="5">
        <v>0.57013888888888886</v>
      </c>
      <c r="M3" s="5">
        <v>0.625</v>
      </c>
      <c r="N3" s="5">
        <v>0.65277777777777779</v>
      </c>
      <c r="O3" s="5">
        <v>0.68055555555555558</v>
      </c>
      <c r="P3" s="5">
        <v>0.70833333333333337</v>
      </c>
      <c r="Q3" s="5">
        <v>0.73611111111111116</v>
      </c>
      <c r="R3" s="5">
        <v>0.77430555555555558</v>
      </c>
      <c r="S3" s="5">
        <v>0.79166666666666663</v>
      </c>
      <c r="T3" s="5"/>
    </row>
    <row r="4" spans="1:27">
      <c r="A4" s="1" t="s">
        <v>211</v>
      </c>
      <c r="B4" s="6" t="s">
        <v>212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213</v>
      </c>
      <c r="B5" s="6" t="s">
        <v>214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215</v>
      </c>
      <c r="B6" s="6" t="s">
        <v>216</v>
      </c>
      <c r="C6" s="7">
        <v>0.21319444444444444</v>
      </c>
      <c r="D6" s="7">
        <v>0.24097222222222223</v>
      </c>
      <c r="E6" s="7">
        <v>0.26874999999999999</v>
      </c>
      <c r="F6" s="7">
        <v>0.3</v>
      </c>
      <c r="G6" s="7">
        <v>0.32430555555555557</v>
      </c>
      <c r="H6" s="7">
        <v>0.35555555555555557</v>
      </c>
      <c r="I6" s="7">
        <v>0.41041666666666665</v>
      </c>
      <c r="J6" s="7">
        <v>0.46527777777777779</v>
      </c>
      <c r="K6" s="7">
        <v>0.52013888888888893</v>
      </c>
      <c r="L6" s="7">
        <v>0.57499999999999996</v>
      </c>
      <c r="M6" s="7">
        <v>0.62986111111111109</v>
      </c>
      <c r="N6" s="7">
        <v>0.65763888888888888</v>
      </c>
      <c r="O6" s="7">
        <v>0.68541666666666667</v>
      </c>
      <c r="P6" s="7">
        <v>0.71319444444444446</v>
      </c>
      <c r="Q6" s="7">
        <v>0.74097222222222225</v>
      </c>
      <c r="R6" s="7">
        <v>0.77916666666666667</v>
      </c>
      <c r="S6" s="7">
        <v>0.79652777777777772</v>
      </c>
      <c r="T6" s="7"/>
    </row>
    <row r="7" spans="1:27">
      <c r="A7" s="6" t="s">
        <v>217</v>
      </c>
      <c r="B7" s="6" t="s">
        <v>218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219</v>
      </c>
      <c r="B8" s="6" t="s">
        <v>220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221</v>
      </c>
      <c r="B9" s="6" t="s">
        <v>222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223</v>
      </c>
      <c r="B10" s="6" t="s">
        <v>224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225</v>
      </c>
      <c r="B11" s="6" t="s">
        <v>226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227</v>
      </c>
      <c r="B12" s="6" t="s">
        <v>228</v>
      </c>
      <c r="C12" s="7">
        <v>0.22500000000000001</v>
      </c>
      <c r="D12" s="7">
        <v>0.25277777777777777</v>
      </c>
      <c r="E12" s="7">
        <v>0.28055555555555556</v>
      </c>
      <c r="F12" s="7">
        <v>0.31180555555555556</v>
      </c>
      <c r="G12" s="7">
        <v>0.33611111111111114</v>
      </c>
      <c r="H12" s="7">
        <v>0.36666666666666664</v>
      </c>
      <c r="I12" s="7">
        <v>0.42152777777777778</v>
      </c>
      <c r="J12" s="7">
        <v>0.47638888888888886</v>
      </c>
      <c r="K12" s="7">
        <v>0.53125</v>
      </c>
      <c r="L12" s="7">
        <v>0.58611111111111114</v>
      </c>
      <c r="M12" s="7">
        <v>0.64097222222222228</v>
      </c>
      <c r="N12" s="7">
        <v>0.6694444444444444</v>
      </c>
      <c r="O12" s="7">
        <v>0.69722222222222219</v>
      </c>
      <c r="P12" s="7">
        <v>0.72499999999999998</v>
      </c>
      <c r="Q12" s="7">
        <v>0.75277777777777777</v>
      </c>
      <c r="R12" s="7">
        <v>0.79097222222222219</v>
      </c>
      <c r="S12" s="7">
        <v>0.80833333333333335</v>
      </c>
      <c r="T12" s="7"/>
    </row>
    <row r="13" spans="1:27">
      <c r="A13" s="1" t="s">
        <v>229</v>
      </c>
      <c r="B13" s="6" t="s">
        <v>230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49</v>
      </c>
      <c r="B14" s="6" t="s">
        <v>152</v>
      </c>
      <c r="C14" s="7">
        <v>0.23055555555555557</v>
      </c>
      <c r="D14" s="7">
        <v>0.25833333333333336</v>
      </c>
      <c r="E14" s="7">
        <v>0.28611111111111109</v>
      </c>
      <c r="F14" s="7">
        <v>0.31736111111111109</v>
      </c>
      <c r="G14" s="7">
        <v>0.34166666666666667</v>
      </c>
      <c r="H14" s="7">
        <v>0.37222222222222223</v>
      </c>
      <c r="I14" s="7">
        <v>0.42708333333333331</v>
      </c>
      <c r="J14" s="7">
        <v>0.48194444444444445</v>
      </c>
      <c r="K14" s="7">
        <v>0.53680555555555554</v>
      </c>
      <c r="L14" s="7">
        <v>0.59166666666666667</v>
      </c>
      <c r="M14" s="7">
        <v>0.64652777777777781</v>
      </c>
      <c r="N14" s="7">
        <v>0.67500000000000004</v>
      </c>
      <c r="O14" s="7">
        <v>0.70277777777777772</v>
      </c>
      <c r="P14" s="7">
        <v>0.73055555555555551</v>
      </c>
      <c r="Q14" s="7">
        <v>0.7583333333333333</v>
      </c>
      <c r="R14" s="7">
        <v>0.79652777777777772</v>
      </c>
      <c r="S14" s="7">
        <v>0.81388888888888888</v>
      </c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7"/>
      <c r="U16" s="7"/>
    </row>
    <row r="17" spans="1:21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7"/>
      <c r="U17" s="7"/>
    </row>
    <row r="18" spans="1:21">
      <c r="A18" s="10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7"/>
      <c r="U18" s="7"/>
    </row>
    <row r="19" spans="1:21">
      <c r="A19" s="10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7"/>
      <c r="U19" s="7"/>
    </row>
    <row r="20" spans="1:21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8"/>
      <c r="U20" s="8"/>
    </row>
    <row r="21" spans="1:21">
      <c r="A21" s="10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>
      <c r="A22" s="10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>
      <c r="A23" s="10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>
      <c r="A24" s="10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>
      <c r="A25" s="10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>
      <c r="A26" s="10"/>
      <c r="B26" s="11"/>
      <c r="C26" s="11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>
      <c r="A27" s="10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>
      <c r="A28" s="10"/>
      <c r="B28" s="11"/>
      <c r="C28" s="11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>
      <c r="A29" s="10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1">
      <c r="A30" s="10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1">
      <c r="A31" s="10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1">
      <c r="A32" s="10"/>
      <c r="B32" s="10"/>
      <c r="C32" s="9"/>
      <c r="D32" s="9"/>
      <c r="E32" s="9"/>
      <c r="F32" s="9"/>
      <c r="G32" s="9"/>
      <c r="H32" s="9"/>
      <c r="I32" s="9"/>
      <c r="J32" s="9"/>
      <c r="K32" s="9"/>
    </row>
    <row r="33" spans="1:10">
      <c r="A33" s="4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4A853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'JHB-to-GERM_Weekday'!B1</f>
        <v>45974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6500</v>
      </c>
      <c r="D2" s="1">
        <v>6504</v>
      </c>
      <c r="E2" s="1">
        <v>6506</v>
      </c>
      <c r="F2" s="1">
        <v>6508</v>
      </c>
      <c r="G2" s="1">
        <v>6512</v>
      </c>
      <c r="H2" s="1">
        <v>6514</v>
      </c>
      <c r="I2" s="1">
        <v>6518</v>
      </c>
      <c r="J2" s="1">
        <v>6522</v>
      </c>
      <c r="K2" s="1">
        <v>6528</v>
      </c>
      <c r="L2" s="1">
        <v>6532</v>
      </c>
      <c r="M2" s="1">
        <v>6536</v>
      </c>
      <c r="N2" s="1">
        <v>6542</v>
      </c>
      <c r="O2" s="1">
        <v>6544</v>
      </c>
      <c r="P2" s="1">
        <v>6546</v>
      </c>
      <c r="Q2" s="1">
        <v>6548</v>
      </c>
      <c r="R2" s="1">
        <v>6550</v>
      </c>
      <c r="S2" s="1">
        <v>6552</v>
      </c>
      <c r="T2" s="1">
        <v>6554</v>
      </c>
      <c r="U2" s="1"/>
      <c r="V2" s="1"/>
      <c r="W2" s="1"/>
      <c r="X2" s="1"/>
      <c r="Y2" s="1"/>
      <c r="Z2" s="1"/>
      <c r="AA2" s="1"/>
    </row>
    <row r="3" spans="1:27">
      <c r="A3" s="3" t="s">
        <v>49</v>
      </c>
      <c r="B3" s="4" t="s">
        <v>152</v>
      </c>
      <c r="C3" s="5">
        <v>0.20833333333333334</v>
      </c>
      <c r="D3" s="5">
        <v>0.2361111111111111</v>
      </c>
      <c r="E3" s="5">
        <v>0.2673611111111111</v>
      </c>
      <c r="F3" s="5">
        <v>0.29166666666666669</v>
      </c>
      <c r="G3" s="5">
        <v>0.32291666666666669</v>
      </c>
      <c r="H3" s="5">
        <v>0.34722222222222221</v>
      </c>
      <c r="I3" s="5">
        <v>0.37777777777777777</v>
      </c>
      <c r="J3" s="5">
        <v>0.43263888888888891</v>
      </c>
      <c r="K3" s="5">
        <v>0.48749999999999999</v>
      </c>
      <c r="L3" s="5">
        <v>0.54236111111111107</v>
      </c>
      <c r="M3" s="5">
        <v>0.59722222222222221</v>
      </c>
      <c r="N3" s="5">
        <v>0.65277777777777779</v>
      </c>
      <c r="O3" s="5">
        <v>0.68055555555555558</v>
      </c>
      <c r="P3" s="5">
        <v>0.70833333333333337</v>
      </c>
      <c r="Q3" s="5">
        <v>0.74652777777777779</v>
      </c>
      <c r="R3" s="5">
        <v>0.76388888888888884</v>
      </c>
      <c r="S3" s="5">
        <v>0.80208333333333337</v>
      </c>
      <c r="T3" s="5">
        <v>0.82291666666666663</v>
      </c>
    </row>
    <row r="4" spans="1:27">
      <c r="A4" s="1" t="s">
        <v>229</v>
      </c>
      <c r="B4" s="6" t="s">
        <v>230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227</v>
      </c>
      <c r="B5" s="6" t="s">
        <v>228</v>
      </c>
      <c r="C5" s="7">
        <v>0.21319444444444444</v>
      </c>
      <c r="D5" s="7">
        <v>0.24097222222222223</v>
      </c>
      <c r="E5" s="7">
        <v>0.2722222222222222</v>
      </c>
      <c r="F5" s="7">
        <v>0.29652777777777778</v>
      </c>
      <c r="G5" s="7">
        <v>0.32777777777777778</v>
      </c>
      <c r="H5" s="7">
        <v>0.35208333333333336</v>
      </c>
      <c r="I5" s="7">
        <v>0.38263888888888886</v>
      </c>
      <c r="J5" s="7">
        <v>0.4375</v>
      </c>
      <c r="K5" s="7">
        <v>0.49236111111111114</v>
      </c>
      <c r="L5" s="7">
        <v>0.54722222222222228</v>
      </c>
      <c r="M5" s="7">
        <v>0.6020833333333333</v>
      </c>
      <c r="N5" s="7">
        <v>0.65763888888888888</v>
      </c>
      <c r="O5" s="7">
        <v>0.68541666666666667</v>
      </c>
      <c r="P5" s="7">
        <v>0.71319444444444446</v>
      </c>
      <c r="Q5" s="7">
        <v>0.75138888888888888</v>
      </c>
      <c r="R5" s="7">
        <v>0.76875000000000004</v>
      </c>
      <c r="S5" s="7">
        <v>0.80694444444444446</v>
      </c>
      <c r="T5" s="7">
        <v>0.82777777777777772</v>
      </c>
    </row>
    <row r="6" spans="1:27">
      <c r="A6" s="6" t="s">
        <v>225</v>
      </c>
      <c r="B6" s="6" t="s">
        <v>226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7">
      <c r="A7" s="6" t="s">
        <v>223</v>
      </c>
      <c r="B7" s="6" t="s">
        <v>224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221</v>
      </c>
      <c r="B8" s="6" t="s">
        <v>222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219</v>
      </c>
      <c r="B9" s="6" t="s">
        <v>220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217</v>
      </c>
      <c r="B10" s="6" t="s">
        <v>218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215</v>
      </c>
      <c r="B11" s="6" t="s">
        <v>216</v>
      </c>
      <c r="C11" s="7">
        <v>0.22430555555555556</v>
      </c>
      <c r="D11" s="7">
        <v>0.25208333333333333</v>
      </c>
      <c r="E11" s="7">
        <v>0.28333333333333333</v>
      </c>
      <c r="F11" s="7">
        <v>0.30694444444444446</v>
      </c>
      <c r="G11" s="7">
        <v>0.33888888888888891</v>
      </c>
      <c r="H11" s="7">
        <v>0.36319444444444443</v>
      </c>
      <c r="I11" s="7">
        <v>0.39374999999999999</v>
      </c>
      <c r="J11" s="7">
        <v>0.44861111111111113</v>
      </c>
      <c r="K11" s="7">
        <v>0.50347222222222221</v>
      </c>
      <c r="L11" s="7">
        <v>0.55833333333333335</v>
      </c>
      <c r="M11" s="7">
        <v>0.61319444444444449</v>
      </c>
      <c r="N11" s="7">
        <v>0.66874999999999996</v>
      </c>
      <c r="O11" s="7">
        <v>0.69652777777777775</v>
      </c>
      <c r="P11" s="7">
        <v>0.72430555555555554</v>
      </c>
      <c r="Q11" s="7">
        <v>0.76249999999999996</v>
      </c>
      <c r="R11" s="7">
        <v>0.77986111111111112</v>
      </c>
      <c r="S11" s="7">
        <v>0.81805555555555554</v>
      </c>
      <c r="T11" s="7">
        <v>0.83888888888888891</v>
      </c>
    </row>
    <row r="12" spans="1:27">
      <c r="A12" s="6" t="s">
        <v>213</v>
      </c>
      <c r="B12" s="6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211</v>
      </c>
      <c r="B13" s="6" t="s">
        <v>212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209</v>
      </c>
      <c r="B14" s="6" t="s">
        <v>210</v>
      </c>
      <c r="C14" s="7">
        <v>0.23055555555555557</v>
      </c>
      <c r="D14" s="7">
        <v>0.25833333333333336</v>
      </c>
      <c r="E14" s="7">
        <v>0.28958333333333336</v>
      </c>
      <c r="F14" s="7">
        <v>0.31319444444444444</v>
      </c>
      <c r="G14" s="7">
        <v>0.34513888888888888</v>
      </c>
      <c r="H14" s="7">
        <v>0.36944444444444446</v>
      </c>
      <c r="I14" s="7">
        <v>0.4</v>
      </c>
      <c r="J14" s="7">
        <v>0.4548611111111111</v>
      </c>
      <c r="K14" s="7">
        <v>0.50972222222222219</v>
      </c>
      <c r="L14" s="7">
        <v>0.56458333333333333</v>
      </c>
      <c r="M14" s="7">
        <v>0.61944444444444446</v>
      </c>
      <c r="N14" s="7">
        <v>0.67500000000000004</v>
      </c>
      <c r="O14" s="7">
        <v>0.70277777777777772</v>
      </c>
      <c r="P14" s="7">
        <v>0.73055555555555551</v>
      </c>
      <c r="Q14" s="7">
        <v>0.76875000000000004</v>
      </c>
      <c r="R14" s="7">
        <v>0.78611111111111109</v>
      </c>
      <c r="S14" s="7">
        <v>0.82430555555555551</v>
      </c>
      <c r="T14" s="7">
        <v>0.84513888888888888</v>
      </c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7"/>
    </row>
    <row r="17" spans="1:20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7"/>
    </row>
    <row r="18" spans="1:20">
      <c r="A18" s="10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7"/>
    </row>
    <row r="19" spans="1:20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9"/>
      <c r="L19" s="9"/>
      <c r="M19" s="9"/>
      <c r="N19" s="9"/>
      <c r="O19" s="9"/>
      <c r="P19" s="9"/>
      <c r="Q19" s="9"/>
      <c r="R19" s="9"/>
      <c r="S19" s="9"/>
      <c r="T19" s="7"/>
    </row>
    <row r="20" spans="1:20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10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8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8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34A853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129" t="s">
        <v>135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6505</v>
      </c>
      <c r="D2" s="1">
        <v>6513</v>
      </c>
      <c r="E2" s="1">
        <v>6517</v>
      </c>
      <c r="F2" s="1">
        <v>6519</v>
      </c>
      <c r="G2" s="1">
        <v>6547</v>
      </c>
      <c r="H2" s="1">
        <v>6551</v>
      </c>
      <c r="I2" s="1">
        <v>6555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210</v>
      </c>
      <c r="C3" s="5">
        <v>0.2361111111111111</v>
      </c>
      <c r="D3" s="5">
        <v>0.29166666666666669</v>
      </c>
      <c r="E3" s="5">
        <v>0.34722222222222221</v>
      </c>
      <c r="F3" s="5">
        <v>0.43402777777777779</v>
      </c>
      <c r="G3" s="5">
        <v>0.65277777777777779</v>
      </c>
      <c r="H3" s="5">
        <v>0.70833333333333337</v>
      </c>
      <c r="I3" s="5">
        <v>0.79166666666666663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211</v>
      </c>
      <c r="B4" s="6" t="s">
        <v>212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213</v>
      </c>
      <c r="B5" s="6" t="s">
        <v>214</v>
      </c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215</v>
      </c>
      <c r="B6" s="6" t="s">
        <v>216</v>
      </c>
      <c r="C6" s="137">
        <f t="shared" ref="C6:I6" si="0">C3+TIME(0,7,0)</f>
        <v>0.24097222222222223</v>
      </c>
      <c r="D6" s="137">
        <f t="shared" si="0"/>
        <v>0.29652777777777778</v>
      </c>
      <c r="E6" s="137">
        <f t="shared" si="0"/>
        <v>0.3520833333333333</v>
      </c>
      <c r="F6" s="137">
        <f t="shared" si="0"/>
        <v>0.43888888888888888</v>
      </c>
      <c r="G6" s="137">
        <f t="shared" si="0"/>
        <v>0.65763888888888888</v>
      </c>
      <c r="H6" s="137">
        <f t="shared" si="0"/>
        <v>0.71319444444444446</v>
      </c>
      <c r="I6" s="137">
        <f t="shared" si="0"/>
        <v>0.79652777777777772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217</v>
      </c>
      <c r="B7" s="6" t="s">
        <v>218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219</v>
      </c>
      <c r="B8" s="6" t="s">
        <v>220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221</v>
      </c>
      <c r="B9" s="6" t="s">
        <v>222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223</v>
      </c>
      <c r="B10" s="6" t="s">
        <v>224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225</v>
      </c>
      <c r="B11" s="6" t="s">
        <v>226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227</v>
      </c>
      <c r="B12" s="6" t="s">
        <v>228</v>
      </c>
      <c r="C12" s="7">
        <v>0.25208333333333333</v>
      </c>
      <c r="D12" s="7">
        <v>0.30763888888888891</v>
      </c>
      <c r="E12" s="7">
        <v>0.36319444444444443</v>
      </c>
      <c r="F12" s="7">
        <v>0.45</v>
      </c>
      <c r="G12" s="7">
        <v>0.66874999999999996</v>
      </c>
      <c r="H12" s="7">
        <v>0.72430555555555554</v>
      </c>
      <c r="I12" s="7">
        <v>0.80763888888888891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229</v>
      </c>
      <c r="B13" s="6" t="s">
        <v>230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49</v>
      </c>
      <c r="B14" s="6" t="s">
        <v>152</v>
      </c>
      <c r="C14" s="7">
        <v>0.25833333333333336</v>
      </c>
      <c r="D14" s="7">
        <v>0.31388888888888888</v>
      </c>
      <c r="E14" s="7">
        <v>0.36944444444444446</v>
      </c>
      <c r="F14" s="7">
        <v>0.45624999999999999</v>
      </c>
      <c r="G14" s="7">
        <v>0.67500000000000004</v>
      </c>
      <c r="H14" s="7">
        <v>0.73055555555555551</v>
      </c>
      <c r="I14" s="7">
        <v>0.81388888888888888</v>
      </c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8"/>
      <c r="B17" s="8"/>
      <c r="C17" s="8"/>
      <c r="D17" s="8"/>
      <c r="E17" s="8"/>
      <c r="F17" s="8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8"/>
      <c r="B18" s="11"/>
      <c r="C18" s="9"/>
      <c r="D18" s="9"/>
      <c r="E18" s="9"/>
      <c r="F18" s="9"/>
      <c r="G18" s="9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8"/>
      <c r="C19" s="9"/>
      <c r="D19" s="9"/>
      <c r="E19" s="9"/>
      <c r="F19" s="9"/>
      <c r="G19" s="9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8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4A853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6500</v>
      </c>
      <c r="D2" s="1">
        <v>6506</v>
      </c>
      <c r="E2" s="1">
        <v>6512</v>
      </c>
      <c r="F2" s="1">
        <v>6514</v>
      </c>
      <c r="G2" s="1">
        <v>6540</v>
      </c>
      <c r="H2" s="1">
        <v>6544</v>
      </c>
      <c r="I2" s="1">
        <v>6548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49</v>
      </c>
      <c r="B3" s="4" t="s">
        <v>152</v>
      </c>
      <c r="C3" s="5">
        <v>0.20833333333333334</v>
      </c>
      <c r="D3" s="5">
        <v>0.2638888888888889</v>
      </c>
      <c r="E3" s="5">
        <v>0.31944444444444442</v>
      </c>
      <c r="F3" s="5">
        <v>0.40277777777777779</v>
      </c>
      <c r="G3" s="5">
        <v>0.625</v>
      </c>
      <c r="H3" s="5">
        <v>0.68055555555555558</v>
      </c>
      <c r="I3" s="5">
        <v>0.76388888888888884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229</v>
      </c>
      <c r="B4" s="6" t="s">
        <v>230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227</v>
      </c>
      <c r="B5" s="6" t="s">
        <v>228</v>
      </c>
      <c r="C5" s="7">
        <v>0.21319444444444444</v>
      </c>
      <c r="D5" s="7">
        <v>0.26874999999999999</v>
      </c>
      <c r="E5" s="7">
        <v>0.32430555555555557</v>
      </c>
      <c r="F5" s="7">
        <v>0.40763888888888888</v>
      </c>
      <c r="G5" s="7">
        <v>0.62986111111111109</v>
      </c>
      <c r="H5" s="7">
        <v>0.68541666666666667</v>
      </c>
      <c r="I5" s="7">
        <v>0.76875000000000004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225</v>
      </c>
      <c r="B6" s="6" t="s">
        <v>226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223</v>
      </c>
      <c r="B7" s="6" t="s">
        <v>224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221</v>
      </c>
      <c r="B8" s="6" t="s">
        <v>222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219</v>
      </c>
      <c r="B9" s="6" t="s">
        <v>220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217</v>
      </c>
      <c r="B10" s="6" t="s">
        <v>218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215</v>
      </c>
      <c r="B11" s="6" t="s">
        <v>216</v>
      </c>
      <c r="C11" s="137">
        <f t="shared" ref="C11:I11" si="0">C14-TIME(0,7,0)</f>
        <v>0.22569444444444445</v>
      </c>
      <c r="D11" s="137">
        <f t="shared" si="0"/>
        <v>0.28125</v>
      </c>
      <c r="E11" s="137">
        <f t="shared" si="0"/>
        <v>0.33680555555555558</v>
      </c>
      <c r="F11" s="137">
        <f t="shared" si="0"/>
        <v>0.4201388888888889</v>
      </c>
      <c r="G11" s="137">
        <f t="shared" si="0"/>
        <v>0.64236111111111116</v>
      </c>
      <c r="H11" s="137">
        <f t="shared" si="0"/>
        <v>0.69791666666666663</v>
      </c>
      <c r="I11" s="137">
        <f t="shared" si="0"/>
        <v>0.78125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213</v>
      </c>
      <c r="B12" s="6" t="s">
        <v>214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211</v>
      </c>
      <c r="B13" s="6" t="s">
        <v>212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209</v>
      </c>
      <c r="B14" s="6" t="s">
        <v>210</v>
      </c>
      <c r="C14" s="7">
        <v>0.23055555555555557</v>
      </c>
      <c r="D14" s="7">
        <v>0.28611111111111109</v>
      </c>
      <c r="E14" s="7">
        <v>0.34166666666666667</v>
      </c>
      <c r="F14" s="7">
        <v>0.42499999999999999</v>
      </c>
      <c r="G14" s="7">
        <v>0.64722222222222225</v>
      </c>
      <c r="H14" s="7">
        <v>0.70277777777777772</v>
      </c>
      <c r="I14" s="7">
        <v>0.78611111111111109</v>
      </c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8"/>
      <c r="F16" s="8"/>
      <c r="G16" s="8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8"/>
      <c r="B17" s="9"/>
      <c r="C17" s="9"/>
      <c r="D17" s="9"/>
      <c r="E17" s="9"/>
      <c r="F17" s="9"/>
      <c r="G17" s="9"/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8"/>
      <c r="B18" s="8"/>
      <c r="C18" s="9"/>
      <c r="D18" s="9"/>
      <c r="E18" s="9"/>
      <c r="F18" s="9"/>
      <c r="G18" s="9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1"/>
      <c r="C19" s="9"/>
      <c r="D19" s="9"/>
      <c r="E19" s="9"/>
      <c r="F19" s="9"/>
      <c r="G19" s="9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6260D2"/>
    <outlinePr summaryBelow="0" summaryRight="0"/>
  </sheetPr>
  <dimension ref="A1:AN46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40">
      <c r="A1" s="1" t="s">
        <v>0</v>
      </c>
      <c r="B1" s="2">
        <v>45922</v>
      </c>
      <c r="C1" s="83" t="s">
        <v>231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 t="s">
        <v>2</v>
      </c>
      <c r="B2" s="1" t="s">
        <v>3</v>
      </c>
      <c r="C2" s="136" t="s">
        <v>232</v>
      </c>
      <c r="D2" s="1" t="s">
        <v>233</v>
      </c>
      <c r="E2" s="1" t="s">
        <v>234</v>
      </c>
      <c r="F2" s="1" t="s">
        <v>235</v>
      </c>
      <c r="G2" s="1" t="s">
        <v>236</v>
      </c>
      <c r="H2" s="1" t="s">
        <v>237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3" t="s">
        <v>24</v>
      </c>
      <c r="B3" s="5" t="s">
        <v>25</v>
      </c>
      <c r="C3" s="5">
        <v>0.2361111111111111</v>
      </c>
      <c r="D3" s="5">
        <v>0.34722222222222221</v>
      </c>
      <c r="E3" s="5">
        <v>0.4548611111111111</v>
      </c>
      <c r="F3" s="5">
        <v>0.60069444444444442</v>
      </c>
      <c r="G3" s="69">
        <v>0.70138888888888884</v>
      </c>
      <c r="H3" s="69">
        <v>0.80555555555555558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40">
      <c r="A4" s="1" t="s">
        <v>29</v>
      </c>
      <c r="B4" s="6" t="s">
        <v>238</v>
      </c>
      <c r="C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40">
      <c r="A5" s="1" t="s">
        <v>30</v>
      </c>
      <c r="B5" s="7" t="s">
        <v>120</v>
      </c>
      <c r="C5" s="7"/>
      <c r="D5" s="7"/>
      <c r="E5" s="7"/>
      <c r="F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40">
      <c r="A6" s="6" t="s">
        <v>31</v>
      </c>
      <c r="B6" s="7" t="s">
        <v>121</v>
      </c>
      <c r="C6" s="7">
        <v>0.24374999999999997</v>
      </c>
      <c r="D6" s="7">
        <v>0.35486111111111107</v>
      </c>
      <c r="E6" s="7">
        <v>0.46249999999999997</v>
      </c>
      <c r="F6" s="7">
        <v>0.60833333333333328</v>
      </c>
      <c r="G6" s="7">
        <v>0.7090277777777777</v>
      </c>
      <c r="H6" s="7">
        <v>0.81319444444444444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40">
      <c r="A7" s="6" t="s">
        <v>32</v>
      </c>
      <c r="B7" s="6" t="s">
        <v>122</v>
      </c>
      <c r="C7" s="7">
        <v>0.24652777777777773</v>
      </c>
      <c r="D7" s="7">
        <v>0.35763888888888884</v>
      </c>
      <c r="E7" s="7">
        <v>0.46527777777777773</v>
      </c>
      <c r="F7" s="7">
        <v>0.61111111111111105</v>
      </c>
      <c r="G7" s="7">
        <v>0.71180555555555547</v>
      </c>
      <c r="H7" s="7">
        <v>0.81597222222222221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40">
      <c r="A8" s="6" t="s">
        <v>33</v>
      </c>
      <c r="B8" s="6" t="s">
        <v>123</v>
      </c>
      <c r="C8" s="7">
        <v>0.25208333333333327</v>
      </c>
      <c r="D8" s="7">
        <v>0.36319444444444438</v>
      </c>
      <c r="E8" s="7">
        <v>0.47083333333333327</v>
      </c>
      <c r="F8" s="7">
        <v>0.61666666666666659</v>
      </c>
      <c r="G8" s="7">
        <v>0.71736111111111101</v>
      </c>
      <c r="H8" s="7">
        <v>0.82152777777777775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40">
      <c r="A9" s="1" t="s">
        <v>34</v>
      </c>
      <c r="B9" s="6" t="s">
        <v>239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40">
      <c r="A10" s="1" t="s">
        <v>35</v>
      </c>
      <c r="B10" s="6" t="s">
        <v>240</v>
      </c>
      <c r="C10" s="7">
        <v>0.26111111111111107</v>
      </c>
      <c r="D10" s="7">
        <v>0.37222222222222218</v>
      </c>
      <c r="E10" s="7">
        <v>0.47986111111111107</v>
      </c>
      <c r="F10" s="7">
        <v>0.62569444444444433</v>
      </c>
      <c r="G10" s="7">
        <v>0.72638888888888875</v>
      </c>
      <c r="H10" s="7">
        <v>0.83055555555555549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40">
      <c r="A11" s="6" t="s">
        <v>36</v>
      </c>
      <c r="B11" s="6" t="s">
        <v>241</v>
      </c>
      <c r="C11" s="7">
        <v>0.26666666666666661</v>
      </c>
      <c r="D11" s="7">
        <v>0.37777777777777771</v>
      </c>
      <c r="E11" s="7">
        <v>0.48541666666666661</v>
      </c>
      <c r="F11" s="7">
        <v>0.63124999999999987</v>
      </c>
      <c r="G11" s="7">
        <v>0.73194444444444429</v>
      </c>
      <c r="H11" s="7">
        <v>0.83611111111111103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40">
      <c r="A12" s="6" t="s">
        <v>40</v>
      </c>
      <c r="B12" s="6" t="s">
        <v>161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40">
      <c r="A13" s="1" t="s">
        <v>41</v>
      </c>
      <c r="B13" s="6" t="s">
        <v>160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40">
      <c r="A14" s="6" t="s">
        <v>42</v>
      </c>
      <c r="B14" s="6" t="s">
        <v>159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40">
      <c r="A15" s="1" t="s">
        <v>43</v>
      </c>
      <c r="B15" s="6" t="s">
        <v>158</v>
      </c>
      <c r="C15" s="7">
        <v>0.27777777777777773</v>
      </c>
      <c r="D15" s="7">
        <v>0.38888888888888884</v>
      </c>
      <c r="E15" s="7">
        <v>0.49652777777777773</v>
      </c>
      <c r="F15" s="7">
        <v>0.64236111111111094</v>
      </c>
      <c r="G15" s="7">
        <v>0.74305555555555536</v>
      </c>
      <c r="H15" s="7">
        <v>0.8472222222222221</v>
      </c>
      <c r="I15" s="7"/>
      <c r="J15" s="7"/>
      <c r="K15" s="7"/>
      <c r="L15" s="7"/>
      <c r="M15" s="7"/>
    </row>
    <row r="16" spans="1:40">
      <c r="A16" s="6" t="s">
        <v>44</v>
      </c>
      <c r="B16" s="6" t="s">
        <v>242</v>
      </c>
      <c r="C16" s="7"/>
      <c r="D16" s="7"/>
      <c r="E16" s="7"/>
      <c r="F16" s="7"/>
      <c r="G16" s="7"/>
      <c r="H16" s="7">
        <v>0.85486111111111107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46</v>
      </c>
      <c r="B17" s="6" t="s">
        <v>243</v>
      </c>
      <c r="C17" s="7"/>
      <c r="D17" s="7"/>
      <c r="E17" s="7"/>
      <c r="F17" s="7"/>
      <c r="G17" s="7"/>
      <c r="H17" s="7">
        <v>0.85902777777777772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5" spans="1:20">
      <c r="A25" s="1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spans="1:10">
      <c r="A45" s="10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10"/>
      <c r="B46" s="11"/>
      <c r="C46" s="11"/>
      <c r="D46" s="11"/>
      <c r="E46" s="11"/>
      <c r="F46" s="11"/>
      <c r="G46" s="11"/>
      <c r="H46" s="11"/>
      <c r="I46" s="11"/>
      <c r="J46" s="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6260D2"/>
    <outlinePr summaryBelow="0" summaryRight="0"/>
  </sheetPr>
  <dimension ref="A1:AA47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244</v>
      </c>
      <c r="D2" s="1" t="s">
        <v>245</v>
      </c>
      <c r="E2" s="1" t="s">
        <v>246</v>
      </c>
      <c r="F2" s="1" t="s">
        <v>247</v>
      </c>
      <c r="G2" s="1" t="s">
        <v>248</v>
      </c>
      <c r="H2" s="1" t="s">
        <v>249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46</v>
      </c>
      <c r="B3" s="4" t="s">
        <v>243</v>
      </c>
      <c r="C3" s="5">
        <v>0.1736111111111111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38" t="s">
        <v>44</v>
      </c>
      <c r="B4" s="115" t="s">
        <v>242</v>
      </c>
      <c r="C4" s="139">
        <v>0.17847222222222223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15"/>
      <c r="V4" s="115"/>
      <c r="W4" s="115"/>
      <c r="X4" s="115"/>
      <c r="Y4" s="115"/>
      <c r="Z4" s="115"/>
      <c r="AA4" s="115"/>
    </row>
    <row r="5" spans="1:27">
      <c r="A5" s="138" t="s">
        <v>43</v>
      </c>
      <c r="B5" s="115" t="s">
        <v>158</v>
      </c>
      <c r="C5" s="139">
        <v>0.18124999999999999</v>
      </c>
      <c r="D5" s="139">
        <v>0.2986111111111111</v>
      </c>
      <c r="E5" s="139">
        <v>0.40625</v>
      </c>
      <c r="F5" s="139">
        <v>0.52777777777777779</v>
      </c>
      <c r="G5" s="139">
        <v>0.64930555555555558</v>
      </c>
      <c r="H5" s="139">
        <v>0.75347222222222221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15"/>
      <c r="V5" s="115"/>
      <c r="W5" s="115"/>
      <c r="X5" s="115"/>
      <c r="Y5" s="115"/>
      <c r="Z5" s="115"/>
      <c r="AA5" s="115"/>
    </row>
    <row r="6" spans="1:27">
      <c r="A6" s="1" t="s">
        <v>42</v>
      </c>
      <c r="B6" s="6" t="s">
        <v>159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1" t="s">
        <v>41</v>
      </c>
      <c r="B7" s="6" t="s">
        <v>160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40</v>
      </c>
      <c r="B8" s="6" t="s">
        <v>161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6" t="s">
        <v>36</v>
      </c>
      <c r="B9" s="6" t="s">
        <v>241</v>
      </c>
      <c r="C9" s="7">
        <v>0.19305555555555556</v>
      </c>
      <c r="D9" s="7">
        <v>0.31041666666666667</v>
      </c>
      <c r="E9" s="7">
        <v>0.41805555555555557</v>
      </c>
      <c r="F9" s="7">
        <v>0.5395833333333333</v>
      </c>
      <c r="G9" s="7">
        <v>0.6611111111111112</v>
      </c>
      <c r="H9" s="7">
        <v>0.76527777777777772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6" t="s">
        <v>35</v>
      </c>
      <c r="B10" s="7" t="s">
        <v>240</v>
      </c>
      <c r="C10" s="7">
        <v>0.1986111111111111</v>
      </c>
      <c r="D10" s="7">
        <v>0.31597222222222221</v>
      </c>
      <c r="E10" s="7">
        <v>0.4236111111111111</v>
      </c>
      <c r="F10" s="7">
        <v>0.54513888888888884</v>
      </c>
      <c r="G10" s="7">
        <v>0.66666666666666674</v>
      </c>
      <c r="H10" s="7">
        <v>0.77083333333333326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1" t="s">
        <v>34</v>
      </c>
      <c r="B11" s="6" t="s">
        <v>239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1" t="s">
        <v>33</v>
      </c>
      <c r="B12" s="7" t="s">
        <v>123</v>
      </c>
      <c r="C12" s="7">
        <v>0.20694444444444446</v>
      </c>
      <c r="D12" s="7">
        <v>0.32430555555555557</v>
      </c>
      <c r="E12" s="7">
        <v>0.43194444444444446</v>
      </c>
      <c r="F12" s="7">
        <v>0.55347222222222214</v>
      </c>
      <c r="G12" s="7">
        <v>0.67500000000000004</v>
      </c>
      <c r="H12" s="7">
        <v>0.77916666666666656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6" t="s">
        <v>32</v>
      </c>
      <c r="B13" s="6" t="s">
        <v>122</v>
      </c>
      <c r="C13" s="7">
        <v>0.21319444444444444</v>
      </c>
      <c r="D13" s="7">
        <v>0.33055555555555555</v>
      </c>
      <c r="E13" s="7">
        <v>0.43819444444444444</v>
      </c>
      <c r="F13" s="7">
        <v>0.55972222222222212</v>
      </c>
      <c r="G13" s="7">
        <v>0.68125000000000002</v>
      </c>
      <c r="H13" s="7">
        <v>0.78541666666666654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31</v>
      </c>
      <c r="B14" s="7" t="s">
        <v>121</v>
      </c>
      <c r="C14" s="7">
        <v>0.21527777777777776</v>
      </c>
      <c r="D14" s="7">
        <v>0.33263888888888887</v>
      </c>
      <c r="E14" s="7">
        <v>0.44027777777777777</v>
      </c>
      <c r="F14" s="7">
        <v>0.56180555555555545</v>
      </c>
      <c r="G14" s="7">
        <v>0.68333333333333335</v>
      </c>
      <c r="H14" s="7">
        <v>0.78749999999999987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7">
      <c r="A15" s="1" t="s">
        <v>30</v>
      </c>
      <c r="B15" s="7" t="s">
        <v>120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7">
      <c r="A16" s="6" t="s">
        <v>29</v>
      </c>
      <c r="B16" s="6" t="s">
        <v>238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20">
      <c r="A17" s="6" t="s">
        <v>24</v>
      </c>
      <c r="B17" s="7" t="s">
        <v>25</v>
      </c>
      <c r="C17" s="7">
        <v>0.22291666666666668</v>
      </c>
      <c r="D17" s="7">
        <v>0.34027777777777779</v>
      </c>
      <c r="E17" s="7">
        <v>0.44791666666666669</v>
      </c>
      <c r="F17" s="7">
        <v>0.56944444444444442</v>
      </c>
      <c r="G17" s="7">
        <v>0.69097222222222232</v>
      </c>
      <c r="H17" s="7">
        <v>0.79513888888888884</v>
      </c>
      <c r="J17" s="7"/>
    </row>
    <row r="23" spans="1:20">
      <c r="A23" s="8"/>
      <c r="B23" s="8"/>
      <c r="C23" s="10"/>
    </row>
    <row r="24" spans="1:20">
      <c r="O24" s="7"/>
      <c r="P24" s="7"/>
      <c r="Q24" s="7"/>
      <c r="R24" s="7"/>
      <c r="S24" s="7"/>
      <c r="T24" s="7"/>
    </row>
    <row r="25" spans="1:20">
      <c r="O25" s="7"/>
      <c r="P25" s="7"/>
      <c r="Q25" s="7"/>
      <c r="R25" s="7"/>
      <c r="S25" s="7"/>
      <c r="T25" s="7"/>
    </row>
    <row r="26" spans="1:20">
      <c r="A26" s="41"/>
      <c r="C26" s="42"/>
      <c r="D26" s="42"/>
      <c r="E26" s="42"/>
      <c r="F26" s="42"/>
      <c r="G26" s="42"/>
      <c r="O26" s="7"/>
      <c r="P26" s="7"/>
      <c r="Q26" s="7"/>
      <c r="R26" s="7"/>
      <c r="S26" s="7"/>
      <c r="T26" s="7"/>
    </row>
    <row r="27" spans="1:20">
      <c r="A27" s="43"/>
      <c r="C27" s="44"/>
      <c r="D27" s="44"/>
      <c r="E27" s="44"/>
      <c r="F27" s="44"/>
      <c r="G27" s="44"/>
      <c r="O27" s="7"/>
      <c r="P27" s="7"/>
      <c r="Q27" s="7"/>
      <c r="R27" s="7"/>
      <c r="S27" s="7"/>
      <c r="T27" s="7"/>
    </row>
    <row r="28" spans="1:20">
      <c r="A28" s="41"/>
      <c r="C28" s="40"/>
      <c r="D28" s="40"/>
      <c r="E28" s="40"/>
      <c r="F28" s="40"/>
      <c r="G28" s="40"/>
      <c r="O28" s="8"/>
      <c r="P28" s="8"/>
      <c r="Q28" s="8"/>
      <c r="R28" s="8"/>
      <c r="S28" s="8"/>
      <c r="T28" s="8"/>
    </row>
    <row r="29" spans="1:20">
      <c r="A29" s="41"/>
      <c r="C29" s="40"/>
      <c r="D29" s="40"/>
      <c r="E29" s="40"/>
      <c r="F29" s="40"/>
      <c r="G29" s="40"/>
      <c r="O29" s="9"/>
      <c r="P29" s="9"/>
      <c r="Q29" s="9"/>
      <c r="R29" s="9"/>
      <c r="S29" s="9"/>
      <c r="T29" s="9"/>
    </row>
    <row r="30" spans="1:20">
      <c r="A30" s="41"/>
      <c r="C30" s="40"/>
      <c r="D30" s="40"/>
      <c r="E30" s="40"/>
      <c r="F30" s="40"/>
      <c r="G30" s="40"/>
      <c r="O30" s="9"/>
      <c r="P30" s="9"/>
      <c r="Q30" s="9"/>
      <c r="R30" s="9"/>
      <c r="S30" s="9"/>
      <c r="T30" s="9"/>
    </row>
    <row r="31" spans="1:20">
      <c r="A31" s="41"/>
      <c r="C31" s="45"/>
      <c r="D31" s="45"/>
      <c r="E31" s="45"/>
      <c r="F31" s="45"/>
      <c r="G31" s="45"/>
      <c r="O31" s="9"/>
      <c r="P31" s="9"/>
      <c r="Q31" s="9"/>
      <c r="R31" s="9"/>
      <c r="S31" s="9"/>
      <c r="T31" s="9"/>
    </row>
    <row r="32" spans="1:20">
      <c r="A32" s="41"/>
      <c r="C32" s="45"/>
      <c r="D32" s="45"/>
      <c r="E32" s="45"/>
      <c r="F32" s="45"/>
      <c r="G32" s="45"/>
      <c r="O32" s="9"/>
      <c r="P32" s="9"/>
      <c r="Q32" s="9"/>
      <c r="R32" s="9"/>
      <c r="S32" s="9"/>
      <c r="T32" s="9"/>
    </row>
    <row r="33" spans="1:20">
      <c r="A33" s="41"/>
      <c r="C33" s="40"/>
      <c r="D33" s="40"/>
      <c r="E33" s="40"/>
      <c r="F33" s="40"/>
      <c r="G33" s="40"/>
      <c r="O33" s="9"/>
      <c r="P33" s="9"/>
      <c r="Q33" s="9"/>
      <c r="R33" s="9"/>
      <c r="S33" s="9"/>
      <c r="T33" s="9"/>
    </row>
    <row r="34" spans="1:20">
      <c r="A34" s="41"/>
      <c r="C34" s="45"/>
      <c r="D34" s="45"/>
      <c r="E34" s="45"/>
      <c r="F34" s="45"/>
      <c r="G34" s="45"/>
      <c r="O34" s="9"/>
      <c r="P34" s="9"/>
      <c r="Q34" s="9"/>
      <c r="R34" s="9"/>
      <c r="S34" s="9"/>
      <c r="T34" s="9"/>
    </row>
    <row r="35" spans="1:20">
      <c r="A35" s="41"/>
      <c r="C35" s="45"/>
      <c r="D35" s="45"/>
      <c r="E35" s="45"/>
      <c r="F35" s="45"/>
      <c r="G35" s="45"/>
      <c r="O35" s="9"/>
      <c r="P35" s="9"/>
      <c r="Q35" s="9"/>
      <c r="R35" s="9"/>
      <c r="S35" s="9"/>
      <c r="T35" s="9"/>
    </row>
    <row r="36" spans="1:20">
      <c r="A36" s="41"/>
      <c r="C36" s="45"/>
      <c r="D36" s="45"/>
      <c r="E36" s="45"/>
      <c r="F36" s="45"/>
      <c r="G36" s="45"/>
      <c r="O36" s="9"/>
      <c r="P36" s="9"/>
      <c r="Q36" s="9"/>
      <c r="R36" s="9"/>
      <c r="S36" s="9"/>
      <c r="T36" s="9"/>
    </row>
    <row r="37" spans="1:20">
      <c r="A37" s="41"/>
      <c r="C37" s="40"/>
      <c r="D37" s="40"/>
      <c r="E37" s="40"/>
      <c r="F37" s="40"/>
      <c r="G37" s="40"/>
      <c r="O37" s="9"/>
      <c r="P37" s="9"/>
      <c r="Q37" s="9"/>
      <c r="R37" s="9"/>
      <c r="S37" s="9"/>
      <c r="T37" s="9"/>
    </row>
    <row r="38" spans="1:20">
      <c r="A38" s="41"/>
      <c r="C38" s="40"/>
      <c r="D38" s="40"/>
      <c r="E38" s="40"/>
      <c r="F38" s="40"/>
      <c r="G38" s="40"/>
      <c r="O38" s="9"/>
      <c r="P38" s="9"/>
      <c r="Q38" s="9"/>
      <c r="R38" s="9"/>
      <c r="S38" s="9"/>
      <c r="T38" s="9"/>
    </row>
    <row r="39" spans="1:20">
      <c r="A39" s="41"/>
      <c r="C39" s="45"/>
      <c r="D39" s="45"/>
      <c r="E39" s="45"/>
      <c r="F39" s="45"/>
      <c r="G39" s="45"/>
      <c r="O39" s="9"/>
      <c r="P39" s="9"/>
      <c r="Q39" s="9"/>
      <c r="R39" s="9"/>
      <c r="S39" s="9"/>
      <c r="T39" s="9"/>
    </row>
    <row r="40" spans="1:20">
      <c r="A40" s="41"/>
      <c r="B40" s="11"/>
      <c r="C40" s="11"/>
      <c r="D40" s="11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20">
      <c r="A41" s="4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20">
      <c r="A42" s="41"/>
      <c r="B42" s="11"/>
      <c r="C42" s="11"/>
      <c r="D42" s="11"/>
      <c r="E42" s="11"/>
      <c r="F42" s="11"/>
      <c r="G42" s="11"/>
      <c r="H42" s="11"/>
      <c r="I42" s="11"/>
      <c r="J42" s="11"/>
    </row>
    <row r="43" spans="1:20">
      <c r="A43" s="41"/>
      <c r="B43" s="8"/>
      <c r="C43" s="8"/>
      <c r="D43" s="8"/>
      <c r="E43" s="8"/>
      <c r="F43" s="8"/>
      <c r="G43" s="8"/>
      <c r="H43" s="8"/>
      <c r="I43" s="8"/>
      <c r="J43" s="8"/>
    </row>
    <row r="44" spans="1:20">
      <c r="A44" s="41"/>
      <c r="B44" s="8"/>
      <c r="C44" s="8"/>
      <c r="D44" s="8"/>
      <c r="E44" s="8"/>
      <c r="F44" s="8"/>
      <c r="G44" s="8"/>
      <c r="H44" s="8"/>
      <c r="I44" s="8"/>
      <c r="J44" s="8"/>
    </row>
    <row r="45" spans="1:20">
      <c r="A45" s="41"/>
      <c r="B45" s="11"/>
      <c r="C45" s="11"/>
      <c r="D45" s="11"/>
      <c r="E45" s="11"/>
      <c r="F45" s="11"/>
      <c r="G45" s="11"/>
      <c r="H45" s="11"/>
      <c r="I45" s="11"/>
      <c r="J45" s="11"/>
    </row>
    <row r="46" spans="1:20">
      <c r="A46" s="41"/>
      <c r="B46" s="8"/>
      <c r="C46" s="8"/>
      <c r="D46" s="8"/>
      <c r="E46" s="8"/>
      <c r="F46" s="8"/>
      <c r="G46" s="8"/>
      <c r="H46" s="8"/>
      <c r="I46" s="8"/>
      <c r="J46" s="8"/>
    </row>
    <row r="47" spans="1:20">
      <c r="A47" s="10"/>
      <c r="B47" s="11"/>
      <c r="C47" s="11"/>
      <c r="D47" s="11"/>
      <c r="E47" s="11"/>
      <c r="F47" s="11"/>
      <c r="G47" s="11"/>
      <c r="H47" s="11"/>
      <c r="I47" s="11"/>
      <c r="J47" s="1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6260D2"/>
    <outlinePr summaryBelow="0" summaryRight="0"/>
  </sheetPr>
  <dimension ref="A1:AA5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45913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232</v>
      </c>
      <c r="D2" s="136" t="s">
        <v>250</v>
      </c>
      <c r="E2" s="136" t="s">
        <v>251</v>
      </c>
      <c r="F2" s="136" t="s">
        <v>252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24</v>
      </c>
      <c r="B3" s="5" t="s">
        <v>25</v>
      </c>
      <c r="C3" s="5">
        <v>0.24652777777777779</v>
      </c>
      <c r="D3" s="5">
        <v>0.34722222222222221</v>
      </c>
      <c r="E3" s="5">
        <v>0.59722222222222221</v>
      </c>
      <c r="F3" s="5">
        <v>0.75694444444444442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29</v>
      </c>
      <c r="B4" s="6" t="s">
        <v>238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30</v>
      </c>
      <c r="B5" s="7" t="s">
        <v>120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31</v>
      </c>
      <c r="B6" s="7" t="s">
        <v>121</v>
      </c>
      <c r="C6" s="7">
        <v>0.25416666666666665</v>
      </c>
      <c r="D6" s="7">
        <v>0.35486111111111107</v>
      </c>
      <c r="E6" s="7">
        <v>0.60486111111111107</v>
      </c>
      <c r="F6" s="7">
        <v>0.76458333333333328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32</v>
      </c>
      <c r="B7" s="6" t="s">
        <v>122</v>
      </c>
      <c r="C7" s="7">
        <v>0.25694444444444442</v>
      </c>
      <c r="D7" s="7">
        <v>0.35763888888888884</v>
      </c>
      <c r="E7" s="7">
        <v>0.60763888888888884</v>
      </c>
      <c r="F7" s="7">
        <v>0.76736111111111105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33</v>
      </c>
      <c r="B8" s="6" t="s">
        <v>123</v>
      </c>
      <c r="C8" s="7">
        <v>0.26249999999999996</v>
      </c>
      <c r="D8" s="7">
        <v>0.36319444444444438</v>
      </c>
      <c r="E8" s="7">
        <v>0.61319444444444438</v>
      </c>
      <c r="F8" s="7">
        <v>0.77291666666666659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34</v>
      </c>
      <c r="B9" s="6" t="s">
        <v>239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35</v>
      </c>
      <c r="B10" s="6" t="s">
        <v>240</v>
      </c>
      <c r="C10" s="7">
        <v>0.27152777777777776</v>
      </c>
      <c r="D10" s="7">
        <v>0.37222222222222218</v>
      </c>
      <c r="E10" s="7">
        <v>0.62222222222222223</v>
      </c>
      <c r="F10" s="7">
        <v>0.78194444444444433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36</v>
      </c>
      <c r="B11" s="6" t="s">
        <v>241</v>
      </c>
      <c r="C11" s="7">
        <v>0.27708333333333329</v>
      </c>
      <c r="D11" s="7">
        <v>0.37777777777777771</v>
      </c>
      <c r="E11" s="7">
        <v>0.62777777777777777</v>
      </c>
      <c r="F11" s="7">
        <v>0.78749999999999987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40</v>
      </c>
      <c r="B12" s="6" t="s">
        <v>161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41</v>
      </c>
      <c r="B13" s="6" t="s">
        <v>160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42</v>
      </c>
      <c r="B14" s="6" t="s">
        <v>159</v>
      </c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1" t="s">
        <v>43</v>
      </c>
      <c r="B15" s="6" t="s">
        <v>158</v>
      </c>
      <c r="C15" s="7">
        <v>0.28819444444444442</v>
      </c>
      <c r="D15" s="7">
        <v>0.38888888888888884</v>
      </c>
      <c r="E15" s="7">
        <v>0.63888888888888884</v>
      </c>
      <c r="F15" s="7">
        <v>0.79861111111111094</v>
      </c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10"/>
      <c r="B18" s="140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4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14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143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4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4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4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4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4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4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14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8"/>
      <c r="B29" s="14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8"/>
      <c r="B30" s="143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8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8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8"/>
      <c r="C33" s="11"/>
      <c r="D33" s="11"/>
      <c r="E33" s="11"/>
      <c r="F33" s="11"/>
      <c r="G33" s="11"/>
      <c r="H33" s="11"/>
      <c r="I33" s="11"/>
      <c r="J33" s="11"/>
    </row>
    <row r="34" spans="1:10">
      <c r="A34" s="8"/>
      <c r="C34" s="11"/>
      <c r="D34" s="11"/>
      <c r="E34" s="11"/>
      <c r="F34" s="11"/>
      <c r="G34" s="11"/>
      <c r="H34" s="11"/>
      <c r="I34" s="11"/>
      <c r="J34" s="11"/>
    </row>
    <row r="35" spans="1:10">
      <c r="A35" s="8"/>
      <c r="C35" s="11"/>
      <c r="D35" s="11"/>
      <c r="E35" s="11"/>
      <c r="F35" s="11"/>
      <c r="G35" s="11"/>
      <c r="H35" s="11"/>
      <c r="I35" s="11"/>
      <c r="J35" s="11"/>
    </row>
    <row r="36" spans="1:10">
      <c r="A36" s="8"/>
      <c r="C36" s="11"/>
      <c r="D36" s="11"/>
      <c r="E36" s="11"/>
      <c r="F36" s="11"/>
      <c r="G36" s="11"/>
      <c r="H36" s="11"/>
      <c r="I36" s="11"/>
      <c r="J36" s="11"/>
    </row>
    <row r="37" spans="1:10">
      <c r="A37" s="8"/>
      <c r="C37" s="11"/>
      <c r="D37" s="11"/>
      <c r="E37" s="11"/>
      <c r="F37" s="11"/>
      <c r="G37" s="11"/>
      <c r="H37" s="11"/>
      <c r="I37" s="11"/>
      <c r="J37" s="11"/>
    </row>
    <row r="38" spans="1:10">
      <c r="C38" s="11"/>
      <c r="D38" s="11"/>
      <c r="E38" s="11"/>
      <c r="F38" s="11"/>
      <c r="G38" s="11"/>
      <c r="H38" s="11"/>
      <c r="I38" s="11"/>
      <c r="J38" s="11"/>
    </row>
    <row r="39" spans="1:10">
      <c r="C39" s="11"/>
      <c r="D39" s="11"/>
      <c r="E39" s="11"/>
      <c r="F39" s="11"/>
      <c r="G39" s="11"/>
      <c r="H39" s="11"/>
      <c r="I39" s="11"/>
      <c r="J39" s="11"/>
    </row>
    <row r="40" spans="1:10">
      <c r="C40" s="11"/>
      <c r="D40" s="11"/>
      <c r="E40" s="11"/>
      <c r="F40" s="11"/>
      <c r="G40" s="11"/>
      <c r="H40" s="11"/>
      <c r="I40" s="11"/>
      <c r="J40" s="11"/>
    </row>
    <row r="41" spans="1:10">
      <c r="C41" s="11"/>
      <c r="D41" s="11"/>
      <c r="E41" s="11"/>
      <c r="F41" s="11"/>
      <c r="G41" s="11"/>
      <c r="H41" s="11"/>
      <c r="I41" s="11"/>
      <c r="J41" s="11"/>
    </row>
    <row r="42" spans="1:10">
      <c r="C42" s="11"/>
      <c r="D42" s="11"/>
      <c r="E42" s="11"/>
      <c r="F42" s="11"/>
      <c r="G42" s="11"/>
      <c r="H42" s="11"/>
      <c r="I42" s="11"/>
      <c r="J42" s="11"/>
    </row>
    <row r="43" spans="1:10">
      <c r="C43" s="11"/>
      <c r="D43" s="11"/>
      <c r="E43" s="11"/>
      <c r="F43" s="11"/>
      <c r="G43" s="11"/>
      <c r="H43" s="11"/>
      <c r="I43" s="11"/>
      <c r="J43" s="11"/>
    </row>
    <row r="44" spans="1:10">
      <c r="C44" s="11"/>
      <c r="D44" s="11"/>
      <c r="E44" s="11"/>
      <c r="F44" s="11"/>
      <c r="G44" s="11"/>
      <c r="H44" s="11"/>
      <c r="I44" s="11"/>
      <c r="J44" s="11"/>
    </row>
    <row r="45" spans="1:10">
      <c r="C45" s="11"/>
      <c r="D45" s="11"/>
      <c r="E45" s="11"/>
      <c r="F45" s="11"/>
      <c r="G45" s="11"/>
      <c r="H45" s="11"/>
      <c r="I45" s="11"/>
      <c r="J45" s="11"/>
    </row>
    <row r="46" spans="1:10">
      <c r="C46" s="11"/>
      <c r="D46" s="11"/>
      <c r="E46" s="11"/>
      <c r="F46" s="11"/>
      <c r="G46" s="11"/>
      <c r="H46" s="11"/>
      <c r="I46" s="11"/>
      <c r="J46" s="11"/>
    </row>
    <row r="47" spans="1:10">
      <c r="C47" s="11"/>
      <c r="D47" s="11"/>
      <c r="E47" s="11"/>
      <c r="F47" s="11"/>
      <c r="G47" s="11"/>
      <c r="H47" s="11"/>
      <c r="I47" s="11"/>
      <c r="J47" s="11"/>
    </row>
    <row r="48" spans="1:10">
      <c r="C48" s="11"/>
      <c r="D48" s="11"/>
      <c r="E48" s="11"/>
      <c r="F48" s="11"/>
      <c r="G48" s="11"/>
      <c r="H48" s="11"/>
      <c r="I48" s="11"/>
      <c r="J48" s="11"/>
    </row>
    <row r="49" spans="3:10">
      <c r="C49" s="11"/>
      <c r="D49" s="11"/>
      <c r="E49" s="11"/>
      <c r="F49" s="11"/>
      <c r="G49" s="11"/>
      <c r="H49" s="11"/>
      <c r="I49" s="11"/>
      <c r="J49" s="11"/>
    </row>
    <row r="50" spans="3:10"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6260D2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'PTA-to-KEMP_Sat'!B1</f>
        <v>45913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6" t="s">
        <v>244</v>
      </c>
      <c r="D2" s="136" t="s">
        <v>253</v>
      </c>
      <c r="E2" s="136" t="s">
        <v>254</v>
      </c>
      <c r="F2" s="136" t="s">
        <v>255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43</v>
      </c>
      <c r="B3" s="4" t="s">
        <v>158</v>
      </c>
      <c r="C3" s="5">
        <v>0.18819444444444444</v>
      </c>
      <c r="D3" s="5">
        <v>0.2986111111111111</v>
      </c>
      <c r="E3" s="5">
        <v>0.43402777777777779</v>
      </c>
      <c r="F3" s="5">
        <v>0.70833333333333337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42</v>
      </c>
      <c r="B4" s="6" t="s">
        <v>159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41</v>
      </c>
      <c r="B5" s="6" t="s">
        <v>160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40</v>
      </c>
      <c r="B6" s="6" t="s">
        <v>161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36</v>
      </c>
      <c r="B7" s="6" t="s">
        <v>241</v>
      </c>
      <c r="C7" s="7">
        <v>0.2</v>
      </c>
      <c r="D7" s="7">
        <v>0.31041666666666667</v>
      </c>
      <c r="E7" s="7">
        <v>0.44583333333333336</v>
      </c>
      <c r="F7" s="7">
        <v>0.72013888888888888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35</v>
      </c>
      <c r="B8" s="7" t="s">
        <v>240</v>
      </c>
      <c r="C8" s="7">
        <v>0.20555555555555555</v>
      </c>
      <c r="D8" s="7">
        <v>0.31597222222222221</v>
      </c>
      <c r="E8" s="7">
        <v>0.4513888888888889</v>
      </c>
      <c r="F8" s="7">
        <v>0.72569444444444442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34</v>
      </c>
      <c r="B9" s="6" t="s">
        <v>239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33</v>
      </c>
      <c r="B10" s="7" t="s">
        <v>123</v>
      </c>
      <c r="C10" s="7">
        <v>0.21388888888888891</v>
      </c>
      <c r="D10" s="7">
        <v>0.32430555555555557</v>
      </c>
      <c r="E10" s="7">
        <v>0.45972222222222225</v>
      </c>
      <c r="F10" s="7">
        <v>0.73402777777777772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32</v>
      </c>
      <c r="B11" s="6" t="s">
        <v>122</v>
      </c>
      <c r="C11" s="7">
        <v>0.22013888888888888</v>
      </c>
      <c r="D11" s="7">
        <v>0.33055555555555555</v>
      </c>
      <c r="E11" s="7">
        <v>0.46597222222222223</v>
      </c>
      <c r="F11" s="7">
        <v>0.7402777777777777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31</v>
      </c>
      <c r="B12" s="7" t="s">
        <v>121</v>
      </c>
      <c r="C12" s="7">
        <v>0.22222222222222221</v>
      </c>
      <c r="D12" s="7">
        <v>0.33263888888888887</v>
      </c>
      <c r="E12" s="7">
        <v>0.46805555555555556</v>
      </c>
      <c r="F12" s="7">
        <v>0.74236111111111103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30</v>
      </c>
      <c r="B13" s="7" t="s">
        <v>120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29</v>
      </c>
      <c r="B14" s="6" t="s">
        <v>238</v>
      </c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1" t="s">
        <v>24</v>
      </c>
      <c r="B15" s="7" t="s">
        <v>25</v>
      </c>
      <c r="C15" s="7">
        <v>0.22986111111111113</v>
      </c>
      <c r="D15" s="7">
        <v>0.34027777777777779</v>
      </c>
      <c r="E15" s="7">
        <v>0.47569444444444448</v>
      </c>
      <c r="F15" s="7">
        <v>0.75</v>
      </c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B18" s="7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2142C4"/>
    <outlinePr summaryBelow="0" summaryRight="0"/>
  </sheetPr>
  <dimension ref="A1:AT4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46">
      <c r="A1" s="1" t="s">
        <v>0</v>
      </c>
      <c r="B1" s="2">
        <v>46051</v>
      </c>
      <c r="C1" s="8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1" t="s">
        <v>2</v>
      </c>
      <c r="B2" s="1" t="s">
        <v>3</v>
      </c>
      <c r="C2" s="130" t="s">
        <v>256</v>
      </c>
      <c r="D2" s="130" t="s">
        <v>257</v>
      </c>
      <c r="E2" s="130" t="s">
        <v>258</v>
      </c>
      <c r="F2" s="130" t="s">
        <v>259</v>
      </c>
      <c r="G2" s="130" t="s">
        <v>260</v>
      </c>
      <c r="H2" s="130" t="s">
        <v>261</v>
      </c>
      <c r="I2" s="130" t="s">
        <v>262</v>
      </c>
      <c r="J2" s="130" t="s">
        <v>263</v>
      </c>
      <c r="K2" s="130" t="s">
        <v>264</v>
      </c>
      <c r="L2" s="130" t="s">
        <v>265</v>
      </c>
      <c r="M2" s="130" t="s">
        <v>266</v>
      </c>
      <c r="N2" s="130" t="s">
        <v>267</v>
      </c>
      <c r="O2" s="130" t="s">
        <v>268</v>
      </c>
      <c r="P2" s="130" t="s">
        <v>269</v>
      </c>
      <c r="Q2" s="130" t="s">
        <v>270</v>
      </c>
      <c r="R2" s="130" t="s">
        <v>271</v>
      </c>
      <c r="S2" s="130" t="s">
        <v>272</v>
      </c>
      <c r="T2" s="130" t="s">
        <v>273</v>
      </c>
      <c r="U2" s="130" t="s">
        <v>274</v>
      </c>
      <c r="V2" s="130" t="s">
        <v>275</v>
      </c>
      <c r="W2" s="130" t="s">
        <v>276</v>
      </c>
      <c r="X2" s="130" t="s">
        <v>277</v>
      </c>
      <c r="Y2" s="130" t="s">
        <v>278</v>
      </c>
      <c r="Z2" s="130" t="s">
        <v>279</v>
      </c>
      <c r="AA2" s="130" t="s">
        <v>280</v>
      </c>
      <c r="AB2" s="130" t="s">
        <v>281</v>
      </c>
      <c r="AC2" s="130" t="s">
        <v>282</v>
      </c>
      <c r="AD2" s="130" t="s">
        <v>283</v>
      </c>
      <c r="AE2" s="130" t="s">
        <v>284</v>
      </c>
      <c r="AF2" s="130" t="s">
        <v>285</v>
      </c>
      <c r="AG2" s="130" t="s">
        <v>286</v>
      </c>
      <c r="AH2" s="130" t="s">
        <v>287</v>
      </c>
      <c r="AI2" s="130" t="s">
        <v>288</v>
      </c>
      <c r="AJ2" s="130" t="s">
        <v>289</v>
      </c>
      <c r="AK2" s="144" t="s">
        <v>290</v>
      </c>
      <c r="AL2" s="130" t="s">
        <v>291</v>
      </c>
      <c r="AM2" s="130" t="s">
        <v>292</v>
      </c>
      <c r="AN2" s="130" t="s">
        <v>293</v>
      </c>
      <c r="AO2" s="130" t="s">
        <v>294</v>
      </c>
      <c r="AP2" s="130" t="s">
        <v>295</v>
      </c>
      <c r="AQ2" s="130" t="s">
        <v>296</v>
      </c>
      <c r="AR2" s="130" t="s">
        <v>297</v>
      </c>
      <c r="AS2" s="130" t="s">
        <v>298</v>
      </c>
      <c r="AT2" s="130" t="s">
        <v>299</v>
      </c>
    </row>
    <row r="3" spans="1:46">
      <c r="A3" s="3" t="s">
        <v>24</v>
      </c>
      <c r="B3" s="5" t="s">
        <v>25</v>
      </c>
      <c r="C3" s="5">
        <v>0.21875</v>
      </c>
      <c r="D3" s="5">
        <v>0.22847222222222222</v>
      </c>
      <c r="E3" s="5">
        <v>0.23749999999999999</v>
      </c>
      <c r="F3" s="5">
        <v>0.24791666666666667</v>
      </c>
      <c r="G3" s="5">
        <v>0.25833333333333336</v>
      </c>
      <c r="H3" s="5">
        <v>0.2673611111111111</v>
      </c>
      <c r="I3" s="5">
        <v>0.27708333333333335</v>
      </c>
      <c r="J3" s="5">
        <v>0.28611111111111109</v>
      </c>
      <c r="K3" s="5">
        <v>0.29652777777777778</v>
      </c>
      <c r="L3" s="5">
        <v>0.30694444444444446</v>
      </c>
      <c r="M3" s="5">
        <v>0.31597222222222221</v>
      </c>
      <c r="N3" s="5">
        <v>0.32569444444444445</v>
      </c>
      <c r="O3" s="5">
        <v>0.3347222222222222</v>
      </c>
      <c r="P3" s="5">
        <v>0.34513888888888888</v>
      </c>
      <c r="Q3" s="5">
        <v>0.35555555555555557</v>
      </c>
      <c r="R3" s="5">
        <v>0.38333333333333336</v>
      </c>
      <c r="S3" s="5">
        <v>0.40833333333333333</v>
      </c>
      <c r="T3" s="5">
        <v>0.43194444444444446</v>
      </c>
      <c r="U3" s="5">
        <v>0.45694444444444443</v>
      </c>
      <c r="V3" s="5">
        <v>0.48055555555555557</v>
      </c>
      <c r="W3" s="5">
        <v>0.50555555555555554</v>
      </c>
      <c r="X3" s="5">
        <v>0.52916666666666667</v>
      </c>
      <c r="Y3" s="5">
        <v>0.5541666666666667</v>
      </c>
      <c r="Z3" s="5">
        <v>0.57777777777777772</v>
      </c>
      <c r="AA3" s="5">
        <v>0.60277777777777775</v>
      </c>
      <c r="AB3" s="5">
        <v>0.62638888888888888</v>
      </c>
      <c r="AC3" s="5">
        <v>0.63680555555555551</v>
      </c>
      <c r="AD3" s="5">
        <v>0.64722222222222225</v>
      </c>
      <c r="AE3" s="5">
        <v>0.65625</v>
      </c>
      <c r="AF3" s="5">
        <v>0.66597222222222219</v>
      </c>
      <c r="AG3" s="5">
        <v>0.67500000000000004</v>
      </c>
      <c r="AH3" s="5">
        <v>0.68541666666666667</v>
      </c>
      <c r="AI3" s="5">
        <v>0.6958333333333333</v>
      </c>
      <c r="AJ3" s="5">
        <v>0.70486111111111116</v>
      </c>
      <c r="AK3" s="5">
        <v>0.71458333333333335</v>
      </c>
      <c r="AL3" s="5">
        <v>0.72361111111111109</v>
      </c>
      <c r="AM3" s="5">
        <v>0.73402777777777772</v>
      </c>
      <c r="AN3" s="5">
        <v>0.74444444444444446</v>
      </c>
      <c r="AO3" s="5">
        <v>0.75347222222222221</v>
      </c>
      <c r="AP3" s="5">
        <v>0.7631944444444444</v>
      </c>
      <c r="AQ3" s="5">
        <v>0.77222222222222225</v>
      </c>
      <c r="AR3" s="5">
        <v>0.78263888888888888</v>
      </c>
      <c r="AS3" s="5">
        <v>0.79236111111111107</v>
      </c>
      <c r="AT3" s="5">
        <v>0.80902777777777779</v>
      </c>
    </row>
    <row r="4" spans="1:46">
      <c r="A4" s="1" t="s">
        <v>91</v>
      </c>
      <c r="B4" s="6" t="s">
        <v>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>
      <c r="A5" s="1" t="s">
        <v>93</v>
      </c>
      <c r="B5" s="6" t="s">
        <v>94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>
      <c r="A6" s="6" t="s">
        <v>22</v>
      </c>
      <c r="B6" s="6" t="s">
        <v>23</v>
      </c>
      <c r="C6" s="7">
        <v>0.22222222222222221</v>
      </c>
      <c r="D6" s="7">
        <v>0.23194444444444445</v>
      </c>
      <c r="E6" s="7">
        <v>0.24097222222222223</v>
      </c>
      <c r="F6" s="7">
        <v>0.25138888888888888</v>
      </c>
      <c r="G6" s="7">
        <v>0.26180555555555557</v>
      </c>
      <c r="H6" s="7">
        <v>0.27083333333333331</v>
      </c>
      <c r="I6" s="7">
        <v>0.28055555555555556</v>
      </c>
      <c r="J6" s="7">
        <v>0.28958333333333336</v>
      </c>
      <c r="K6" s="7">
        <v>0.3</v>
      </c>
      <c r="L6" s="7">
        <v>0.31041666666666667</v>
      </c>
      <c r="M6" s="7">
        <v>0.31944444444444442</v>
      </c>
      <c r="N6" s="7">
        <v>0.32916666666666666</v>
      </c>
      <c r="O6" s="7">
        <v>0.33819444444444446</v>
      </c>
      <c r="P6" s="7">
        <v>0.34861111111111109</v>
      </c>
      <c r="Q6" s="7">
        <v>0.35902777777777778</v>
      </c>
      <c r="R6" s="7">
        <v>0.38680555555555557</v>
      </c>
      <c r="S6" s="7">
        <v>0.41180555555555554</v>
      </c>
      <c r="T6" s="7">
        <v>0.43541666666666667</v>
      </c>
      <c r="U6" s="7">
        <v>0.46041666666666664</v>
      </c>
      <c r="V6" s="7">
        <v>0.48402777777777778</v>
      </c>
      <c r="W6" s="7">
        <v>0.50902777777777775</v>
      </c>
      <c r="X6" s="7">
        <v>0.53263888888888888</v>
      </c>
      <c r="Y6" s="7">
        <v>0.55763888888888891</v>
      </c>
      <c r="Z6" s="7">
        <v>0.58125000000000004</v>
      </c>
      <c r="AA6" s="7">
        <v>0.60624999999999996</v>
      </c>
      <c r="AB6" s="7">
        <v>0.62986111111111109</v>
      </c>
      <c r="AC6" s="7">
        <v>0.64027777777777772</v>
      </c>
      <c r="AD6" s="7">
        <v>0.65069444444444446</v>
      </c>
      <c r="AE6" s="7">
        <v>0.65972222222222221</v>
      </c>
      <c r="AF6" s="7">
        <v>0.6694444444444444</v>
      </c>
      <c r="AG6" s="7">
        <v>0.67847222222222225</v>
      </c>
      <c r="AH6" s="7">
        <v>0.68888888888888888</v>
      </c>
      <c r="AI6" s="7">
        <v>0.69930555555555551</v>
      </c>
      <c r="AJ6" s="7">
        <v>0.70833333333333337</v>
      </c>
      <c r="AK6" s="7">
        <v>0.71805555555555556</v>
      </c>
      <c r="AL6" s="7">
        <v>0.7270833333333333</v>
      </c>
      <c r="AM6" s="7">
        <v>0.73750000000000004</v>
      </c>
      <c r="AN6" s="7">
        <v>0.74791666666666667</v>
      </c>
      <c r="AO6" s="7">
        <v>0.75694444444444442</v>
      </c>
      <c r="AP6" s="7">
        <v>0.76666666666666672</v>
      </c>
      <c r="AQ6" s="7">
        <v>0.77569444444444446</v>
      </c>
      <c r="AR6" s="7">
        <v>0.78611111111111109</v>
      </c>
      <c r="AS6" s="7">
        <v>0.79583333333333328</v>
      </c>
      <c r="AT6" s="7">
        <v>0.8125</v>
      </c>
    </row>
    <row r="7" spans="1:46">
      <c r="A7" s="6" t="s">
        <v>95</v>
      </c>
      <c r="B7" s="6" t="s">
        <v>96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>
      <c r="A8" s="6" t="s">
        <v>300</v>
      </c>
      <c r="B8" s="6" t="s">
        <v>301</v>
      </c>
      <c r="C8" s="7">
        <v>0.22500000000000001</v>
      </c>
      <c r="D8" s="7">
        <v>0.23472222222222222</v>
      </c>
      <c r="E8" s="7">
        <v>0.24374999999999999</v>
      </c>
      <c r="F8" s="7">
        <v>0.25416666666666665</v>
      </c>
      <c r="G8" s="7">
        <v>0.26458333333333334</v>
      </c>
      <c r="H8" s="7">
        <v>0.27361111111111114</v>
      </c>
      <c r="I8" s="7">
        <v>0.28333333333333333</v>
      </c>
      <c r="J8" s="7">
        <v>0.29236111111111113</v>
      </c>
      <c r="K8" s="7">
        <v>0.30277777777777776</v>
      </c>
      <c r="L8" s="7">
        <v>0.31319444444444444</v>
      </c>
      <c r="M8" s="7">
        <v>0.32222222222222224</v>
      </c>
      <c r="N8" s="7">
        <v>0.33194444444444443</v>
      </c>
      <c r="O8" s="7">
        <v>0.34097222222222223</v>
      </c>
      <c r="P8" s="7">
        <v>0.35138888888888886</v>
      </c>
      <c r="Q8" s="7">
        <v>0.36180555555555555</v>
      </c>
      <c r="R8" s="7">
        <v>0.38958333333333334</v>
      </c>
      <c r="S8" s="7">
        <v>0.41458333333333336</v>
      </c>
      <c r="T8" s="7">
        <v>0.43819444444444444</v>
      </c>
      <c r="U8" s="7">
        <v>0.46319444444444446</v>
      </c>
      <c r="V8" s="7">
        <v>0.48680555555555555</v>
      </c>
      <c r="W8" s="7">
        <v>0.51180555555555551</v>
      </c>
      <c r="X8" s="7">
        <v>0.53541666666666665</v>
      </c>
      <c r="Y8" s="7">
        <v>0.56041666666666667</v>
      </c>
      <c r="Z8" s="7">
        <v>0.58402777777777781</v>
      </c>
      <c r="AA8" s="7">
        <v>0.60902777777777772</v>
      </c>
      <c r="AB8" s="7">
        <v>0.63263888888888886</v>
      </c>
      <c r="AC8" s="7">
        <v>0.6430555555555556</v>
      </c>
      <c r="AD8" s="7">
        <v>0.65347222222222223</v>
      </c>
      <c r="AE8" s="7">
        <v>0.66249999999999998</v>
      </c>
      <c r="AF8" s="7">
        <v>0.67222222222222228</v>
      </c>
      <c r="AG8" s="7">
        <v>0.68125000000000002</v>
      </c>
      <c r="AH8" s="7">
        <v>0.69166666666666665</v>
      </c>
      <c r="AI8" s="7">
        <v>0.70208333333333328</v>
      </c>
      <c r="AJ8" s="7">
        <v>0.71111111111111114</v>
      </c>
      <c r="AK8" s="7">
        <v>0.72083333333333333</v>
      </c>
      <c r="AL8" s="7">
        <v>0.72986111111111107</v>
      </c>
      <c r="AM8" s="7">
        <v>0.74027777777777781</v>
      </c>
      <c r="AN8" s="7">
        <v>0.75069444444444444</v>
      </c>
      <c r="AO8" s="7">
        <v>0.75972222222222219</v>
      </c>
      <c r="AP8" s="7">
        <v>0.76944444444444449</v>
      </c>
      <c r="AQ8" s="7">
        <v>0.77847222222222223</v>
      </c>
      <c r="AR8" s="7">
        <v>0.78888888888888886</v>
      </c>
      <c r="AS8" s="7">
        <v>0.79861111111111116</v>
      </c>
      <c r="AT8" s="7">
        <v>0.81527777777777777</v>
      </c>
    </row>
    <row r="9" spans="1:46">
      <c r="A9" s="1" t="s">
        <v>302</v>
      </c>
      <c r="B9" s="6" t="s">
        <v>303</v>
      </c>
      <c r="C9" s="7">
        <v>0.22638888888888889</v>
      </c>
      <c r="D9" s="7">
        <v>0.2361111111111111</v>
      </c>
      <c r="E9" s="7">
        <v>0.24513888888888888</v>
      </c>
      <c r="F9" s="7">
        <v>0.25555555555555554</v>
      </c>
      <c r="G9" s="7">
        <v>0.26597222222222222</v>
      </c>
      <c r="H9" s="7">
        <v>0.27500000000000002</v>
      </c>
      <c r="I9" s="7">
        <v>0.28472222222222221</v>
      </c>
      <c r="J9" s="7">
        <v>0.29375000000000001</v>
      </c>
      <c r="K9" s="7">
        <v>0.30416666666666664</v>
      </c>
      <c r="L9" s="7">
        <v>0.31458333333333333</v>
      </c>
      <c r="M9" s="7">
        <v>0.32361111111111113</v>
      </c>
      <c r="N9" s="7">
        <v>0.33333333333333331</v>
      </c>
      <c r="O9" s="7">
        <v>0.34236111111111112</v>
      </c>
      <c r="P9" s="7">
        <v>0.3527777777777778</v>
      </c>
      <c r="Q9" s="7">
        <v>0.36319444444444443</v>
      </c>
      <c r="R9" s="7">
        <v>0.39097222222222222</v>
      </c>
      <c r="S9" s="7">
        <v>0.41597222222222224</v>
      </c>
      <c r="T9" s="7">
        <v>0.43958333333333333</v>
      </c>
      <c r="U9" s="7">
        <v>0.46458333333333335</v>
      </c>
      <c r="V9" s="7">
        <v>0.48819444444444443</v>
      </c>
      <c r="W9" s="7">
        <v>0.5131944444444444</v>
      </c>
      <c r="X9" s="7">
        <v>0.53680555555555554</v>
      </c>
      <c r="Y9" s="7">
        <v>0.56180555555555556</v>
      </c>
      <c r="Z9" s="7">
        <v>0.5854166666666667</v>
      </c>
      <c r="AA9" s="7">
        <v>0.61041666666666672</v>
      </c>
      <c r="AB9" s="7">
        <v>0.63402777777777775</v>
      </c>
      <c r="AC9" s="7">
        <v>0.64444444444444449</v>
      </c>
      <c r="AD9" s="7">
        <v>0.65486111111111112</v>
      </c>
      <c r="AE9" s="7">
        <v>0.66388888888888886</v>
      </c>
      <c r="AF9" s="7">
        <v>0.67361111111111116</v>
      </c>
      <c r="AG9" s="7">
        <v>0.68263888888888891</v>
      </c>
      <c r="AH9" s="7">
        <v>0.69305555555555554</v>
      </c>
      <c r="AI9" s="7">
        <v>0.70347222222222228</v>
      </c>
      <c r="AJ9" s="7">
        <v>0.71250000000000002</v>
      </c>
      <c r="AK9" s="7">
        <v>0.72222222222222221</v>
      </c>
      <c r="AL9" s="7">
        <v>0.73124999999999996</v>
      </c>
      <c r="AM9" s="7">
        <v>0.7416666666666667</v>
      </c>
      <c r="AN9" s="7">
        <v>0.75208333333333333</v>
      </c>
      <c r="AO9" s="7">
        <v>0.76111111111111107</v>
      </c>
      <c r="AP9" s="7">
        <v>0.77083333333333337</v>
      </c>
      <c r="AQ9" s="7">
        <v>0.77986111111111112</v>
      </c>
      <c r="AR9" s="7">
        <v>0.79027777777777775</v>
      </c>
      <c r="AS9" s="7">
        <v>0.8</v>
      </c>
      <c r="AT9" s="7">
        <v>0.81666666666666665</v>
      </c>
    </row>
    <row r="10" spans="1:46">
      <c r="A10" s="1" t="s">
        <v>304</v>
      </c>
      <c r="B10" s="6" t="s">
        <v>305</v>
      </c>
      <c r="C10" s="7">
        <v>0.22847222222222222</v>
      </c>
      <c r="D10" s="7">
        <v>0.23819444444444443</v>
      </c>
      <c r="E10" s="7">
        <v>0.24722222222222223</v>
      </c>
      <c r="F10" s="7">
        <v>0.25763888888888886</v>
      </c>
      <c r="G10" s="7">
        <v>0.26805555555555555</v>
      </c>
      <c r="H10" s="7">
        <v>0.27708333333333335</v>
      </c>
      <c r="I10" s="7">
        <v>0.28680555555555554</v>
      </c>
      <c r="J10" s="7">
        <v>0.29583333333333334</v>
      </c>
      <c r="K10" s="7">
        <v>0.30625000000000002</v>
      </c>
      <c r="L10" s="7">
        <v>0.31666666666666665</v>
      </c>
      <c r="M10" s="7">
        <v>0.32569444444444445</v>
      </c>
      <c r="N10" s="7">
        <v>0.33541666666666664</v>
      </c>
      <c r="O10" s="7">
        <v>0.34444444444444444</v>
      </c>
      <c r="P10" s="7">
        <v>0.35486111111111113</v>
      </c>
      <c r="Q10" s="7">
        <v>0.36527777777777776</v>
      </c>
      <c r="R10" s="7">
        <v>0.39305555555555555</v>
      </c>
      <c r="S10" s="7">
        <v>0.41805555555555557</v>
      </c>
      <c r="T10" s="7">
        <v>0.44166666666666665</v>
      </c>
      <c r="U10" s="7">
        <v>0.46666666666666667</v>
      </c>
      <c r="V10" s="7">
        <v>0.49027777777777776</v>
      </c>
      <c r="W10" s="7">
        <v>0.51527777777777772</v>
      </c>
      <c r="X10" s="7">
        <v>0.53888888888888886</v>
      </c>
      <c r="Y10" s="7">
        <v>0.56388888888888888</v>
      </c>
      <c r="Z10" s="7">
        <v>0.58750000000000002</v>
      </c>
      <c r="AA10" s="7">
        <v>0.61250000000000004</v>
      </c>
      <c r="AB10" s="7">
        <v>0.63611111111111107</v>
      </c>
      <c r="AC10" s="7">
        <v>0.64652777777777781</v>
      </c>
      <c r="AD10" s="7">
        <v>0.65694444444444444</v>
      </c>
      <c r="AE10" s="7">
        <v>0.66597222222222219</v>
      </c>
      <c r="AF10" s="7">
        <v>0.67569444444444449</v>
      </c>
      <c r="AG10" s="7">
        <v>0.68472222222222223</v>
      </c>
      <c r="AH10" s="7">
        <v>0.69513888888888886</v>
      </c>
      <c r="AI10" s="7">
        <v>0.7055555555555556</v>
      </c>
      <c r="AJ10" s="7">
        <v>0.71458333333333335</v>
      </c>
      <c r="AK10" s="7">
        <v>0.72430555555555554</v>
      </c>
      <c r="AL10" s="7">
        <v>0.73333333333333328</v>
      </c>
      <c r="AM10" s="7">
        <v>0.74375000000000002</v>
      </c>
      <c r="AN10" s="7">
        <v>0.75416666666666665</v>
      </c>
      <c r="AO10" s="7">
        <v>0.7631944444444444</v>
      </c>
      <c r="AP10" s="7">
        <v>0.7729166666666667</v>
      </c>
      <c r="AQ10" s="7">
        <v>0.78194444444444444</v>
      </c>
      <c r="AR10" s="7">
        <v>0.79236111111111107</v>
      </c>
      <c r="AS10" s="7">
        <v>0.80208333333333337</v>
      </c>
      <c r="AT10" s="7">
        <v>0.81874999999999998</v>
      </c>
    </row>
    <row r="11" spans="1:46">
      <c r="A11" s="6" t="s">
        <v>306</v>
      </c>
      <c r="B11" s="6" t="s">
        <v>307</v>
      </c>
      <c r="C11" s="7">
        <v>0.2326388888888889</v>
      </c>
      <c r="D11" s="7">
        <v>0.24236111111111111</v>
      </c>
      <c r="E11" s="7">
        <v>0.25138888888888888</v>
      </c>
      <c r="F11" s="7">
        <v>0.26180555555555557</v>
      </c>
      <c r="G11" s="7">
        <v>0.2722222222222222</v>
      </c>
      <c r="H11" s="7">
        <v>0.28125</v>
      </c>
      <c r="I11" s="7">
        <v>0.29097222222222224</v>
      </c>
      <c r="J11" s="7">
        <v>0.3</v>
      </c>
      <c r="K11" s="7">
        <v>0.31041666666666667</v>
      </c>
      <c r="L11" s="7">
        <v>0.32083333333333336</v>
      </c>
      <c r="M11" s="7">
        <v>0.3298611111111111</v>
      </c>
      <c r="N11" s="7">
        <v>0.33958333333333335</v>
      </c>
      <c r="O11" s="7">
        <v>0.34861111111111109</v>
      </c>
      <c r="P11" s="7">
        <v>0.35902777777777778</v>
      </c>
      <c r="Q11" s="7">
        <v>0.36944444444444446</v>
      </c>
      <c r="R11" s="7">
        <v>0.3972222222222222</v>
      </c>
      <c r="S11" s="7">
        <v>0.42222222222222222</v>
      </c>
      <c r="T11" s="7">
        <v>0.44583333333333336</v>
      </c>
      <c r="U11" s="7">
        <v>0.47083333333333333</v>
      </c>
      <c r="V11" s="7">
        <v>0.49444444444444446</v>
      </c>
      <c r="W11" s="7">
        <v>0.51944444444444449</v>
      </c>
      <c r="X11" s="7">
        <v>0.54305555555555551</v>
      </c>
      <c r="Y11" s="7">
        <v>0.56805555555555554</v>
      </c>
      <c r="Z11" s="7">
        <v>0.59166666666666667</v>
      </c>
      <c r="AA11" s="7">
        <v>0.6166666666666667</v>
      </c>
      <c r="AB11" s="7">
        <v>0.64027777777777772</v>
      </c>
      <c r="AC11" s="7">
        <v>0.65069444444444446</v>
      </c>
      <c r="AD11" s="7">
        <v>0.66111111111111109</v>
      </c>
      <c r="AE11" s="7">
        <v>0.67013888888888884</v>
      </c>
      <c r="AF11" s="7">
        <v>0.67986111111111114</v>
      </c>
      <c r="AG11" s="7">
        <v>0.68888888888888888</v>
      </c>
      <c r="AH11" s="7">
        <v>0.69930555555555551</v>
      </c>
      <c r="AI11" s="7">
        <v>0.70972222222222225</v>
      </c>
      <c r="AJ11" s="7">
        <v>0.71875</v>
      </c>
      <c r="AK11" s="7">
        <v>0.72847222222222219</v>
      </c>
      <c r="AL11" s="7">
        <v>0.73750000000000004</v>
      </c>
      <c r="AM11" s="7">
        <v>0.74791666666666667</v>
      </c>
      <c r="AN11" s="7">
        <v>0.7583333333333333</v>
      </c>
      <c r="AO11" s="7">
        <v>0.76736111111111116</v>
      </c>
      <c r="AP11" s="7">
        <v>0.77708333333333335</v>
      </c>
      <c r="AQ11" s="7">
        <v>0.78611111111111109</v>
      </c>
      <c r="AR11" s="7">
        <v>0.79652777777777772</v>
      </c>
      <c r="AS11" s="7">
        <v>0.80625000000000002</v>
      </c>
      <c r="AT11" s="7">
        <v>0.82291666666666663</v>
      </c>
    </row>
    <row r="12" spans="1:46">
      <c r="A12" s="6" t="s">
        <v>308</v>
      </c>
      <c r="B12" s="6" t="s">
        <v>309</v>
      </c>
      <c r="C12" s="7">
        <v>0.23402777777777778</v>
      </c>
      <c r="D12" s="7">
        <v>0.24374999999999999</v>
      </c>
      <c r="E12" s="7">
        <v>0.25277777777777777</v>
      </c>
      <c r="F12" s="7">
        <v>0.26319444444444445</v>
      </c>
      <c r="G12" s="7">
        <v>0.27361111111111114</v>
      </c>
      <c r="H12" s="7">
        <v>0.28263888888888888</v>
      </c>
      <c r="I12" s="7">
        <v>0.29236111111111113</v>
      </c>
      <c r="J12" s="7">
        <v>0.30138888888888887</v>
      </c>
      <c r="K12" s="7">
        <v>0.31180555555555556</v>
      </c>
      <c r="L12" s="7">
        <v>0.32222222222222224</v>
      </c>
      <c r="M12" s="7">
        <v>0.33124999999999999</v>
      </c>
      <c r="N12" s="7">
        <v>0.34097222222222223</v>
      </c>
      <c r="O12" s="7">
        <v>0.35</v>
      </c>
      <c r="P12" s="7">
        <v>0.36041666666666666</v>
      </c>
      <c r="Q12" s="7">
        <v>0.37083333333333335</v>
      </c>
      <c r="R12" s="7">
        <v>0.39861111111111114</v>
      </c>
      <c r="S12" s="7">
        <v>0.4236111111111111</v>
      </c>
      <c r="T12" s="7">
        <v>0.44722222222222224</v>
      </c>
      <c r="U12" s="7">
        <v>0.47222222222222221</v>
      </c>
      <c r="V12" s="7">
        <v>0.49583333333333335</v>
      </c>
      <c r="W12" s="7">
        <v>0.52083333333333337</v>
      </c>
      <c r="X12" s="7">
        <v>0.5444444444444444</v>
      </c>
      <c r="Y12" s="7">
        <v>0.56944444444444442</v>
      </c>
      <c r="Z12" s="7">
        <v>0.59305555555555556</v>
      </c>
      <c r="AA12" s="7">
        <v>0.61805555555555558</v>
      </c>
      <c r="AB12" s="7">
        <v>0.64166666666666672</v>
      </c>
      <c r="AC12" s="7">
        <v>0.65208333333333335</v>
      </c>
      <c r="AD12" s="7">
        <v>0.66249999999999998</v>
      </c>
      <c r="AE12" s="7">
        <v>0.67152777777777772</v>
      </c>
      <c r="AF12" s="7">
        <v>0.68125000000000002</v>
      </c>
      <c r="AG12" s="7">
        <v>0.69027777777777777</v>
      </c>
      <c r="AH12" s="7">
        <v>0.7006944444444444</v>
      </c>
      <c r="AI12" s="7">
        <v>0.71111111111111114</v>
      </c>
      <c r="AJ12" s="7">
        <v>0.72013888888888888</v>
      </c>
      <c r="AK12" s="7">
        <v>0.72986111111111107</v>
      </c>
      <c r="AL12" s="7">
        <v>0.73888888888888893</v>
      </c>
      <c r="AM12" s="7">
        <v>0.74930555555555556</v>
      </c>
      <c r="AN12" s="7">
        <v>0.75972222222222219</v>
      </c>
      <c r="AO12" s="7">
        <v>0.76875000000000004</v>
      </c>
      <c r="AP12" s="7">
        <v>0.77847222222222223</v>
      </c>
      <c r="AQ12" s="7">
        <v>0.78749999999999998</v>
      </c>
      <c r="AR12" s="7">
        <v>0.79791666666666672</v>
      </c>
      <c r="AS12" s="7">
        <v>0.80763888888888891</v>
      </c>
      <c r="AT12" s="7">
        <v>0.82430555555555551</v>
      </c>
    </row>
    <row r="13" spans="1:46">
      <c r="A13" s="1" t="s">
        <v>310</v>
      </c>
      <c r="B13" s="6" t="s">
        <v>311</v>
      </c>
      <c r="C13" s="7">
        <v>0.2361111111111111</v>
      </c>
      <c r="D13" s="7">
        <v>0.24583333333333332</v>
      </c>
      <c r="E13" s="7">
        <v>0.25486111111111109</v>
      </c>
      <c r="F13" s="7">
        <v>0.26527777777777778</v>
      </c>
      <c r="G13" s="7">
        <v>0.27569444444444446</v>
      </c>
      <c r="H13" s="7">
        <v>0.28472222222222221</v>
      </c>
      <c r="I13" s="7">
        <v>0.29444444444444445</v>
      </c>
      <c r="J13" s="7">
        <v>0.3034722222222222</v>
      </c>
      <c r="K13" s="7">
        <v>0.31388888888888888</v>
      </c>
      <c r="L13" s="7">
        <v>0.32430555555555557</v>
      </c>
      <c r="M13" s="7">
        <v>0.33333333333333331</v>
      </c>
      <c r="N13" s="7">
        <v>0.34305555555555556</v>
      </c>
      <c r="O13" s="7">
        <v>0.35208333333333336</v>
      </c>
      <c r="P13" s="7">
        <v>0.36249999999999999</v>
      </c>
      <c r="Q13" s="7">
        <v>0.37291666666666667</v>
      </c>
      <c r="R13" s="7">
        <v>0.40069444444444446</v>
      </c>
      <c r="S13" s="7">
        <v>0.42569444444444443</v>
      </c>
      <c r="T13" s="7">
        <v>0.44930555555555557</v>
      </c>
      <c r="U13" s="7">
        <v>0.47430555555555554</v>
      </c>
      <c r="V13" s="7">
        <v>0.49791666666666667</v>
      </c>
      <c r="W13" s="7">
        <v>0.5229166666666667</v>
      </c>
      <c r="X13" s="7">
        <v>0.54652777777777772</v>
      </c>
      <c r="Y13" s="7">
        <v>0.57152777777777775</v>
      </c>
      <c r="Z13" s="7">
        <v>0.59513888888888888</v>
      </c>
      <c r="AA13" s="7">
        <v>0.62013888888888891</v>
      </c>
      <c r="AB13" s="7">
        <v>0.64375000000000004</v>
      </c>
      <c r="AC13" s="7">
        <v>0.65416666666666667</v>
      </c>
      <c r="AD13" s="7">
        <v>0.6645833333333333</v>
      </c>
      <c r="AE13" s="7">
        <v>0.67361111111111116</v>
      </c>
      <c r="AF13" s="7">
        <v>0.68333333333333335</v>
      </c>
      <c r="AG13" s="7">
        <v>0.69236111111111109</v>
      </c>
      <c r="AH13" s="7">
        <v>0.70277777777777772</v>
      </c>
      <c r="AI13" s="7">
        <v>0.71319444444444446</v>
      </c>
      <c r="AJ13" s="7">
        <v>0.72222222222222221</v>
      </c>
      <c r="AK13" s="7">
        <v>0.7319444444444444</v>
      </c>
      <c r="AL13" s="7">
        <v>0.74097222222222225</v>
      </c>
      <c r="AM13" s="7">
        <v>0.75138888888888888</v>
      </c>
      <c r="AN13" s="7">
        <v>0.76180555555555551</v>
      </c>
      <c r="AO13" s="7">
        <v>0.77083333333333337</v>
      </c>
      <c r="AP13" s="7">
        <v>0.78055555555555556</v>
      </c>
      <c r="AQ13" s="7">
        <v>0.7895833333333333</v>
      </c>
      <c r="AR13" s="7">
        <v>0.8</v>
      </c>
      <c r="AS13" s="7">
        <v>0.80972222222222223</v>
      </c>
      <c r="AT13" s="7">
        <v>0.82638888888888884</v>
      </c>
    </row>
    <row r="14" spans="1:46">
      <c r="C14" s="7"/>
      <c r="D14" s="7"/>
      <c r="E14" s="7"/>
      <c r="F14" s="7"/>
      <c r="G14" s="7"/>
      <c r="H14" s="7"/>
      <c r="I14" s="7"/>
      <c r="J14" s="7"/>
      <c r="K14" s="7"/>
    </row>
    <row r="15" spans="1:46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4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1:46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1:46">
      <c r="A19" s="10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1:46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6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spans="1:46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6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spans="1:46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 spans="1:46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46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1:46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 spans="1:46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</row>
    <row r="32" spans="1:46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</row>
    <row r="33" spans="1:46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1:46">
      <c r="A36" s="11"/>
      <c r="B36" s="11"/>
      <c r="C36" s="11"/>
      <c r="D36" s="11"/>
      <c r="E36" s="8"/>
      <c r="F36" s="8"/>
      <c r="G36" s="8"/>
      <c r="H36" s="8"/>
      <c r="I36" s="8"/>
      <c r="J36" s="8"/>
    </row>
    <row r="37" spans="1:46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46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46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46">
      <c r="B40" s="7"/>
      <c r="C40" s="8"/>
      <c r="D40" s="8"/>
      <c r="E40" s="8"/>
      <c r="F40" s="8"/>
      <c r="G40" s="8"/>
      <c r="H40" s="8"/>
      <c r="I40" s="8"/>
      <c r="J40" s="8"/>
    </row>
    <row r="41" spans="1:46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46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46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46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spans="1:46">
      <c r="A45" s="10"/>
      <c r="B45" s="8"/>
      <c r="C45" s="8"/>
      <c r="D45" s="8"/>
      <c r="E45" s="8"/>
      <c r="F45" s="8"/>
      <c r="G45" s="8"/>
      <c r="H45" s="8"/>
      <c r="I45" s="8"/>
      <c r="J45" s="8"/>
    </row>
    <row r="46" spans="1:46">
      <c r="A46" s="10"/>
      <c r="B46" s="8"/>
      <c r="C46" s="8"/>
      <c r="D46" s="8"/>
      <c r="E46" s="8"/>
      <c r="F46" s="8"/>
      <c r="G46" s="8"/>
      <c r="H46" s="8"/>
      <c r="I46" s="8"/>
      <c r="J46" s="8"/>
    </row>
    <row r="47" spans="1:46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spans="1:46">
      <c r="A48" s="10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10"/>
      <c r="B49" s="11"/>
      <c r="C49" s="11"/>
      <c r="D49" s="11"/>
      <c r="E49" s="11"/>
      <c r="F49" s="11"/>
      <c r="G49" s="11"/>
      <c r="H49" s="11"/>
      <c r="I49" s="11"/>
      <c r="J49" s="1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142C4"/>
    <outlinePr summaryBelow="0" summaryRight="0"/>
  </sheetPr>
  <dimension ref="A1:AU4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47">
      <c r="A1" s="1" t="s">
        <v>0</v>
      </c>
      <c r="B1" s="2">
        <f>'PTA-to-SAUL_Weekday'!B1</f>
        <v>46051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1" t="s">
        <v>2</v>
      </c>
      <c r="B2" s="1" t="s">
        <v>3</v>
      </c>
      <c r="C2" s="135" t="s">
        <v>312</v>
      </c>
      <c r="D2" s="135" t="s">
        <v>313</v>
      </c>
      <c r="E2" s="135" t="s">
        <v>314</v>
      </c>
      <c r="F2" s="135" t="s">
        <v>315</v>
      </c>
      <c r="G2" s="135" t="s">
        <v>316</v>
      </c>
      <c r="H2" s="135" t="s">
        <v>317</v>
      </c>
      <c r="I2" s="135" t="s">
        <v>318</v>
      </c>
      <c r="J2" s="135" t="s">
        <v>319</v>
      </c>
      <c r="K2" s="135" t="s">
        <v>320</v>
      </c>
      <c r="L2" s="135" t="s">
        <v>321</v>
      </c>
      <c r="M2" s="135" t="s">
        <v>322</v>
      </c>
      <c r="N2" s="135" t="s">
        <v>323</v>
      </c>
      <c r="O2" s="135" t="s">
        <v>324</v>
      </c>
      <c r="P2" s="135" t="s">
        <v>325</v>
      </c>
      <c r="Q2" s="135" t="s">
        <v>326</v>
      </c>
      <c r="R2" s="135" t="s">
        <v>327</v>
      </c>
      <c r="S2" s="135" t="s">
        <v>328</v>
      </c>
      <c r="T2" s="135" t="s">
        <v>329</v>
      </c>
      <c r="U2" s="135" t="s">
        <v>330</v>
      </c>
      <c r="V2" s="135" t="s">
        <v>331</v>
      </c>
      <c r="W2" s="135" t="s">
        <v>332</v>
      </c>
      <c r="X2" s="135" t="s">
        <v>333</v>
      </c>
      <c r="Y2" s="135" t="s">
        <v>334</v>
      </c>
      <c r="Z2" s="135" t="s">
        <v>335</v>
      </c>
      <c r="AA2" s="135" t="s">
        <v>336</v>
      </c>
      <c r="AB2" s="135" t="s">
        <v>337</v>
      </c>
      <c r="AC2" s="135" t="s">
        <v>338</v>
      </c>
      <c r="AD2" s="135" t="s">
        <v>339</v>
      </c>
      <c r="AE2" s="135" t="s">
        <v>340</v>
      </c>
      <c r="AF2" s="135" t="s">
        <v>341</v>
      </c>
      <c r="AG2" s="135" t="s">
        <v>342</v>
      </c>
      <c r="AH2" s="135" t="s">
        <v>343</v>
      </c>
      <c r="AI2" s="135" t="s">
        <v>344</v>
      </c>
      <c r="AJ2" s="135" t="s">
        <v>345</v>
      </c>
      <c r="AK2" s="135" t="s">
        <v>346</v>
      </c>
      <c r="AL2" s="135" t="s">
        <v>347</v>
      </c>
      <c r="AM2" s="135" t="s">
        <v>348</v>
      </c>
      <c r="AN2" s="135" t="s">
        <v>349</v>
      </c>
      <c r="AO2" s="135" t="s">
        <v>350</v>
      </c>
      <c r="AP2" s="135" t="s">
        <v>351</v>
      </c>
      <c r="AQ2" s="135" t="s">
        <v>352</v>
      </c>
      <c r="AR2" s="135" t="s">
        <v>353</v>
      </c>
      <c r="AS2" s="135" t="s">
        <v>354</v>
      </c>
      <c r="AT2" s="135" t="s">
        <v>355</v>
      </c>
      <c r="AU2" s="1"/>
    </row>
    <row r="3" spans="1:47">
      <c r="A3" s="3" t="s">
        <v>310</v>
      </c>
      <c r="B3" s="4" t="s">
        <v>311</v>
      </c>
      <c r="C3" s="5">
        <v>0.19444444444444445</v>
      </c>
      <c r="D3" s="5">
        <v>0.20416666666666666</v>
      </c>
      <c r="E3" s="5">
        <v>0.21319444444444444</v>
      </c>
      <c r="F3" s="5">
        <v>0.22361111111111112</v>
      </c>
      <c r="G3" s="5">
        <v>0.23402777777777778</v>
      </c>
      <c r="H3" s="5">
        <v>0.24305555555555555</v>
      </c>
      <c r="I3" s="5">
        <v>0.25277777777777777</v>
      </c>
      <c r="J3" s="5">
        <v>0.26180555555555557</v>
      </c>
      <c r="K3" s="5">
        <v>0.2722222222222222</v>
      </c>
      <c r="L3" s="5">
        <v>0.28263888888888888</v>
      </c>
      <c r="M3" s="5">
        <v>0.29166666666666669</v>
      </c>
      <c r="N3" s="5">
        <v>0.30138888888888887</v>
      </c>
      <c r="O3" s="5">
        <v>0.31041666666666667</v>
      </c>
      <c r="P3" s="5">
        <v>0.32083333333333336</v>
      </c>
      <c r="Q3" s="5">
        <v>0.33124999999999999</v>
      </c>
      <c r="R3" s="5">
        <v>0.34027777777777779</v>
      </c>
      <c r="S3" s="5">
        <v>0.35</v>
      </c>
      <c r="T3" s="5">
        <v>0.35902777777777778</v>
      </c>
      <c r="U3" s="5">
        <v>0.36944444444444446</v>
      </c>
      <c r="V3" s="5">
        <v>0.37986111111111109</v>
      </c>
      <c r="W3" s="5">
        <v>0.40763888888888888</v>
      </c>
      <c r="X3" s="5">
        <v>0.43263888888888891</v>
      </c>
      <c r="Y3" s="5">
        <v>0.45624999999999999</v>
      </c>
      <c r="Z3" s="5">
        <v>0.48125000000000001</v>
      </c>
      <c r="AA3" s="5">
        <v>0.50486111111111109</v>
      </c>
      <c r="AB3" s="5">
        <v>0.52986111111111112</v>
      </c>
      <c r="AC3" s="5">
        <v>0.55347222222222225</v>
      </c>
      <c r="AD3" s="5">
        <v>0.57847222222222228</v>
      </c>
      <c r="AE3" s="5">
        <v>0.6020833333333333</v>
      </c>
      <c r="AF3" s="5">
        <v>0.63194444444444442</v>
      </c>
      <c r="AG3" s="5">
        <v>0.65069444444444446</v>
      </c>
      <c r="AH3" s="5">
        <v>0.66111111111111109</v>
      </c>
      <c r="AI3" s="5">
        <v>0.67152777777777772</v>
      </c>
      <c r="AJ3" s="5">
        <v>0.68055555555555558</v>
      </c>
      <c r="AK3" s="5">
        <v>0.69027777777777777</v>
      </c>
      <c r="AL3" s="5">
        <v>0.69930555555555551</v>
      </c>
      <c r="AM3" s="5">
        <v>0.70972222222222225</v>
      </c>
      <c r="AN3" s="5">
        <v>0.72013888888888888</v>
      </c>
      <c r="AO3" s="5">
        <v>0.72916666666666663</v>
      </c>
      <c r="AP3" s="5">
        <v>0.73888888888888893</v>
      </c>
      <c r="AQ3" s="5">
        <v>0.74791666666666667</v>
      </c>
      <c r="AR3" s="5">
        <v>0.7583333333333333</v>
      </c>
      <c r="AS3" s="5">
        <v>0.76875000000000004</v>
      </c>
      <c r="AT3" s="5">
        <v>0.77777777777777779</v>
      </c>
    </row>
    <row r="4" spans="1:47">
      <c r="A4" s="1" t="s">
        <v>308</v>
      </c>
      <c r="B4" s="7" t="s">
        <v>309</v>
      </c>
      <c r="C4" s="7">
        <v>0.19652777777777777</v>
      </c>
      <c r="D4" s="7">
        <v>0.20624999999999999</v>
      </c>
      <c r="E4" s="7">
        <v>0.21527777777777779</v>
      </c>
      <c r="F4" s="7">
        <v>0.22569444444444445</v>
      </c>
      <c r="G4" s="7">
        <v>0.2361111111111111</v>
      </c>
      <c r="H4" s="7">
        <v>0.24513888888888888</v>
      </c>
      <c r="I4" s="7">
        <v>0.25486111111111109</v>
      </c>
      <c r="J4" s="7">
        <v>0.2638888888888889</v>
      </c>
      <c r="K4" s="7">
        <v>0.27430555555555558</v>
      </c>
      <c r="L4" s="7">
        <v>0.28472222222222221</v>
      </c>
      <c r="M4" s="7">
        <v>0.29375000000000001</v>
      </c>
      <c r="N4" s="7">
        <v>0.3034722222222222</v>
      </c>
      <c r="O4" s="7">
        <v>0.3125</v>
      </c>
      <c r="P4" s="7">
        <v>0.32291666666666669</v>
      </c>
      <c r="Q4" s="7">
        <v>0.33333333333333331</v>
      </c>
      <c r="R4" s="7">
        <v>0.34236111111111112</v>
      </c>
      <c r="S4" s="7">
        <v>0.35208333333333336</v>
      </c>
      <c r="T4" s="7">
        <v>0.3611111111111111</v>
      </c>
      <c r="U4" s="7">
        <v>0.37152777777777779</v>
      </c>
      <c r="V4" s="7">
        <v>0.38194444444444442</v>
      </c>
      <c r="W4" s="7">
        <v>0.40972222222222221</v>
      </c>
      <c r="X4" s="7">
        <v>0.43472222222222223</v>
      </c>
      <c r="Y4" s="7">
        <v>0.45833333333333331</v>
      </c>
      <c r="Z4" s="7">
        <v>0.48333333333333334</v>
      </c>
      <c r="AA4" s="7">
        <v>0.50694444444444442</v>
      </c>
      <c r="AB4" s="7">
        <v>0.53194444444444444</v>
      </c>
      <c r="AC4" s="7">
        <v>0.55555555555555558</v>
      </c>
      <c r="AD4" s="7">
        <v>0.5805555555555556</v>
      </c>
      <c r="AE4" s="7">
        <v>0.60416666666666663</v>
      </c>
      <c r="AF4" s="7">
        <v>0.63402777777777775</v>
      </c>
      <c r="AG4" s="7">
        <v>0.65277777777777779</v>
      </c>
      <c r="AH4" s="7">
        <v>0.66319444444444442</v>
      </c>
      <c r="AI4" s="7">
        <v>0.67361111111111116</v>
      </c>
      <c r="AJ4" s="7">
        <v>0.68263888888888891</v>
      </c>
      <c r="AK4" s="7">
        <v>0.69236111111111109</v>
      </c>
      <c r="AL4" s="7">
        <v>0.70138888888888884</v>
      </c>
      <c r="AM4" s="7">
        <v>0.71180555555555558</v>
      </c>
      <c r="AN4" s="7">
        <v>0.72222222222222221</v>
      </c>
      <c r="AO4" s="7">
        <v>0.73124999999999996</v>
      </c>
      <c r="AP4" s="7">
        <v>0.74097222222222225</v>
      </c>
      <c r="AQ4" s="7">
        <v>0.75</v>
      </c>
      <c r="AR4" s="7">
        <v>0.76041666666666663</v>
      </c>
      <c r="AS4" s="7">
        <v>0.77083333333333337</v>
      </c>
      <c r="AT4" s="7">
        <v>0.77986111111111112</v>
      </c>
    </row>
    <row r="5" spans="1:47">
      <c r="A5" s="1" t="s">
        <v>306</v>
      </c>
      <c r="B5" s="7" t="s">
        <v>307</v>
      </c>
      <c r="C5" s="7">
        <v>0.19791666666666666</v>
      </c>
      <c r="D5" s="7">
        <v>0.2076388888888889</v>
      </c>
      <c r="E5" s="7">
        <v>0.21666666666666667</v>
      </c>
      <c r="F5" s="7">
        <v>0.22708333333333333</v>
      </c>
      <c r="G5" s="7">
        <v>0.23749999999999999</v>
      </c>
      <c r="H5" s="7">
        <v>0.24652777777777779</v>
      </c>
      <c r="I5" s="7">
        <v>0.25624999999999998</v>
      </c>
      <c r="J5" s="7">
        <v>0.26527777777777778</v>
      </c>
      <c r="K5" s="7">
        <v>0.27569444444444446</v>
      </c>
      <c r="L5" s="7">
        <v>0.28611111111111109</v>
      </c>
      <c r="M5" s="7">
        <v>0.2951388888888889</v>
      </c>
      <c r="N5" s="7">
        <v>0.30486111111111114</v>
      </c>
      <c r="O5" s="7">
        <v>0.31388888888888888</v>
      </c>
      <c r="P5" s="7">
        <v>0.32430555555555557</v>
      </c>
      <c r="Q5" s="7">
        <v>0.3347222222222222</v>
      </c>
      <c r="R5" s="7">
        <v>0.34375</v>
      </c>
      <c r="S5" s="7">
        <v>0.35347222222222224</v>
      </c>
      <c r="T5" s="7">
        <v>0.36249999999999999</v>
      </c>
      <c r="U5" s="7">
        <v>0.37291666666666667</v>
      </c>
      <c r="V5" s="7">
        <v>0.38333333333333336</v>
      </c>
      <c r="W5" s="7">
        <v>0.41111111111111109</v>
      </c>
      <c r="X5" s="7">
        <v>0.43611111111111112</v>
      </c>
      <c r="Y5" s="7">
        <v>0.4597222222222222</v>
      </c>
      <c r="Z5" s="7">
        <v>0.48472222222222222</v>
      </c>
      <c r="AA5" s="7">
        <v>0.5083333333333333</v>
      </c>
      <c r="AB5" s="7">
        <v>0.53333333333333333</v>
      </c>
      <c r="AC5" s="7">
        <v>0.55694444444444446</v>
      </c>
      <c r="AD5" s="7">
        <v>0.58194444444444449</v>
      </c>
      <c r="AE5" s="7">
        <v>0.60555555555555551</v>
      </c>
      <c r="AF5" s="7">
        <v>0.63541666666666663</v>
      </c>
      <c r="AG5" s="7">
        <v>0.65416666666666667</v>
      </c>
      <c r="AH5" s="7">
        <v>0.6645833333333333</v>
      </c>
      <c r="AI5" s="7">
        <v>0.67500000000000004</v>
      </c>
      <c r="AJ5" s="7">
        <v>0.68402777777777779</v>
      </c>
      <c r="AK5" s="7">
        <v>0.69374999999999998</v>
      </c>
      <c r="AL5" s="7">
        <v>0.70277777777777772</v>
      </c>
      <c r="AM5" s="7">
        <v>0.71319444444444446</v>
      </c>
      <c r="AN5" s="7">
        <v>0.72361111111111109</v>
      </c>
      <c r="AO5" s="7">
        <v>0.73263888888888884</v>
      </c>
      <c r="AP5" s="7">
        <v>0.74236111111111114</v>
      </c>
      <c r="AQ5" s="7">
        <v>0.75138888888888888</v>
      </c>
      <c r="AR5" s="7">
        <v>0.76180555555555551</v>
      </c>
      <c r="AS5" s="7">
        <v>0.77222222222222225</v>
      </c>
      <c r="AT5" s="7">
        <v>0.78125</v>
      </c>
    </row>
    <row r="6" spans="1:47">
      <c r="A6" s="6" t="s">
        <v>304</v>
      </c>
      <c r="B6" s="7" t="s">
        <v>305</v>
      </c>
      <c r="C6" s="7">
        <v>0.20277777777777778</v>
      </c>
      <c r="D6" s="7">
        <v>0.21249999999999999</v>
      </c>
      <c r="E6" s="7">
        <v>0.22152777777777777</v>
      </c>
      <c r="F6" s="7">
        <v>0.23194444444444445</v>
      </c>
      <c r="G6" s="7">
        <v>0.24236111111111111</v>
      </c>
      <c r="H6" s="7">
        <v>0.25138888888888888</v>
      </c>
      <c r="I6" s="7">
        <v>0.26111111111111113</v>
      </c>
      <c r="J6" s="7">
        <v>0.27013888888888887</v>
      </c>
      <c r="K6" s="7">
        <v>0.28055555555555556</v>
      </c>
      <c r="L6" s="7">
        <v>0.29097222222222224</v>
      </c>
      <c r="M6" s="7">
        <v>0.3</v>
      </c>
      <c r="N6" s="7">
        <v>0.30972222222222223</v>
      </c>
      <c r="O6" s="7">
        <v>0.31874999999999998</v>
      </c>
      <c r="P6" s="7">
        <v>0.32916666666666666</v>
      </c>
      <c r="Q6" s="7">
        <v>0.33958333333333335</v>
      </c>
      <c r="R6" s="7">
        <v>0.34861111111111109</v>
      </c>
      <c r="S6" s="7">
        <v>0.35833333333333334</v>
      </c>
      <c r="T6" s="7">
        <v>0.36736111111111114</v>
      </c>
      <c r="U6" s="7">
        <v>0.37777777777777777</v>
      </c>
      <c r="V6" s="7">
        <v>0.38819444444444445</v>
      </c>
      <c r="W6" s="7">
        <v>0.41597222222222224</v>
      </c>
      <c r="X6" s="7">
        <v>0.44097222222222221</v>
      </c>
      <c r="Y6" s="7">
        <v>0.46458333333333335</v>
      </c>
      <c r="Z6" s="7">
        <v>0.48958333333333331</v>
      </c>
      <c r="AA6" s="7">
        <v>0.5131944444444444</v>
      </c>
      <c r="AB6" s="7">
        <v>0.53819444444444442</v>
      </c>
      <c r="AC6" s="7">
        <v>0.56180555555555556</v>
      </c>
      <c r="AD6" s="7">
        <v>0.58680555555555558</v>
      </c>
      <c r="AE6" s="7">
        <v>0.61041666666666672</v>
      </c>
      <c r="AF6" s="7">
        <v>0.64027777777777772</v>
      </c>
      <c r="AG6" s="7">
        <v>0.65902777777777777</v>
      </c>
      <c r="AH6" s="7">
        <v>0.6694444444444444</v>
      </c>
      <c r="AI6" s="7">
        <v>0.67986111111111114</v>
      </c>
      <c r="AJ6" s="7">
        <v>0.68888888888888888</v>
      </c>
      <c r="AK6" s="7">
        <v>0.69861111111111107</v>
      </c>
      <c r="AL6" s="7">
        <v>0.70763888888888893</v>
      </c>
      <c r="AM6" s="7">
        <v>0.71805555555555556</v>
      </c>
      <c r="AN6" s="7">
        <v>0.72847222222222219</v>
      </c>
      <c r="AO6" s="7">
        <v>0.73750000000000004</v>
      </c>
      <c r="AP6" s="7">
        <v>0.74722222222222223</v>
      </c>
      <c r="AQ6" s="7">
        <v>0.75624999999999998</v>
      </c>
      <c r="AR6" s="7">
        <v>0.76666666666666672</v>
      </c>
      <c r="AS6" s="7">
        <v>0.77708333333333335</v>
      </c>
      <c r="AT6" s="7">
        <v>0.78611111111111109</v>
      </c>
    </row>
    <row r="7" spans="1:47">
      <c r="A7" s="6" t="s">
        <v>302</v>
      </c>
      <c r="B7" s="7" t="s">
        <v>303</v>
      </c>
      <c r="C7" s="7">
        <v>0.20416666666666666</v>
      </c>
      <c r="D7" s="7">
        <v>0.21388888888888888</v>
      </c>
      <c r="E7" s="7">
        <v>0.22291666666666668</v>
      </c>
      <c r="F7" s="7">
        <v>0.23333333333333334</v>
      </c>
      <c r="G7" s="7">
        <v>0.24374999999999999</v>
      </c>
      <c r="H7" s="7">
        <v>0.25277777777777777</v>
      </c>
      <c r="I7" s="7">
        <v>0.26250000000000001</v>
      </c>
      <c r="J7" s="7">
        <v>0.27152777777777776</v>
      </c>
      <c r="K7" s="7">
        <v>0.28194444444444444</v>
      </c>
      <c r="L7" s="7">
        <v>0.29236111111111113</v>
      </c>
      <c r="M7" s="7">
        <v>0.30138888888888887</v>
      </c>
      <c r="N7" s="7">
        <v>0.31111111111111112</v>
      </c>
      <c r="O7" s="7">
        <v>0.32013888888888886</v>
      </c>
      <c r="P7" s="7">
        <v>0.33055555555555555</v>
      </c>
      <c r="Q7" s="7">
        <v>0.34097222222222223</v>
      </c>
      <c r="R7" s="7">
        <v>0.35</v>
      </c>
      <c r="S7" s="7">
        <v>0.35972222222222222</v>
      </c>
      <c r="T7" s="7">
        <v>0.36875000000000002</v>
      </c>
      <c r="U7" s="7">
        <v>0.37916666666666665</v>
      </c>
      <c r="V7" s="7">
        <v>0.38958333333333334</v>
      </c>
      <c r="W7" s="7">
        <v>0.41736111111111113</v>
      </c>
      <c r="X7" s="7">
        <v>0.44236111111111109</v>
      </c>
      <c r="Y7" s="7">
        <v>0.46597222222222223</v>
      </c>
      <c r="Z7" s="7">
        <v>0.4909722222222222</v>
      </c>
      <c r="AA7" s="7">
        <v>0.51458333333333328</v>
      </c>
      <c r="AB7" s="7">
        <v>0.5395833333333333</v>
      </c>
      <c r="AC7" s="7">
        <v>0.56319444444444444</v>
      </c>
      <c r="AD7" s="7">
        <v>0.58819444444444446</v>
      </c>
      <c r="AE7" s="7">
        <v>0.6118055555555556</v>
      </c>
      <c r="AF7" s="7">
        <v>0.64166666666666672</v>
      </c>
      <c r="AG7" s="7">
        <v>0.66041666666666665</v>
      </c>
      <c r="AH7" s="7">
        <v>0.67083333333333328</v>
      </c>
      <c r="AI7" s="7">
        <v>0.68125000000000002</v>
      </c>
      <c r="AJ7" s="7">
        <v>0.69027777777777777</v>
      </c>
      <c r="AK7" s="7">
        <v>0.7</v>
      </c>
      <c r="AL7" s="7">
        <v>0.70902777777777781</v>
      </c>
      <c r="AM7" s="7">
        <v>0.71944444444444444</v>
      </c>
      <c r="AN7" s="7">
        <v>0.72986111111111107</v>
      </c>
      <c r="AO7" s="7">
        <v>0.73888888888888893</v>
      </c>
      <c r="AP7" s="7">
        <v>0.74861111111111112</v>
      </c>
      <c r="AQ7" s="7">
        <v>0.75763888888888886</v>
      </c>
      <c r="AR7" s="7">
        <v>0.7680555555555556</v>
      </c>
      <c r="AS7" s="7">
        <v>0.77847222222222223</v>
      </c>
      <c r="AT7" s="7">
        <v>0.78749999999999998</v>
      </c>
    </row>
    <row r="8" spans="1:47">
      <c r="A8" s="6" t="s">
        <v>300</v>
      </c>
      <c r="B8" s="7" t="s">
        <v>301</v>
      </c>
      <c r="C8" s="7">
        <v>0.20555555555555555</v>
      </c>
      <c r="D8" s="7">
        <v>0.21527777777777779</v>
      </c>
      <c r="E8" s="7">
        <v>0.22430555555555556</v>
      </c>
      <c r="F8" s="7">
        <v>0.23472222222222222</v>
      </c>
      <c r="G8" s="7">
        <v>0.24513888888888888</v>
      </c>
      <c r="H8" s="7">
        <v>0.25416666666666665</v>
      </c>
      <c r="I8" s="7">
        <v>0.2638888888888889</v>
      </c>
      <c r="J8" s="7">
        <v>0.27291666666666664</v>
      </c>
      <c r="K8" s="7">
        <v>0.28333333333333333</v>
      </c>
      <c r="L8" s="7">
        <v>0.29375000000000001</v>
      </c>
      <c r="M8" s="7">
        <v>0.30277777777777776</v>
      </c>
      <c r="N8" s="7">
        <v>0.3125</v>
      </c>
      <c r="O8" s="7">
        <v>0.3215277777777778</v>
      </c>
      <c r="P8" s="7">
        <v>0.33194444444444443</v>
      </c>
      <c r="Q8" s="7">
        <v>0.34236111111111112</v>
      </c>
      <c r="R8" s="7">
        <v>0.35138888888888886</v>
      </c>
      <c r="S8" s="7">
        <v>0.3611111111111111</v>
      </c>
      <c r="T8" s="7">
        <v>0.37013888888888891</v>
      </c>
      <c r="U8" s="7">
        <v>0.38055555555555554</v>
      </c>
      <c r="V8" s="7">
        <v>0.39097222222222222</v>
      </c>
      <c r="W8" s="7">
        <v>0.41875000000000001</v>
      </c>
      <c r="X8" s="7">
        <v>0.44374999999999998</v>
      </c>
      <c r="Y8" s="7">
        <v>0.46736111111111112</v>
      </c>
      <c r="Z8" s="7">
        <v>0.49236111111111114</v>
      </c>
      <c r="AA8" s="7">
        <v>0.51597222222222228</v>
      </c>
      <c r="AB8" s="7">
        <v>0.54097222222222219</v>
      </c>
      <c r="AC8" s="7">
        <v>0.56458333333333333</v>
      </c>
      <c r="AD8" s="7">
        <v>0.58958333333333335</v>
      </c>
      <c r="AE8" s="7">
        <v>0.61319444444444449</v>
      </c>
      <c r="AF8" s="7">
        <v>0.6430555555555556</v>
      </c>
      <c r="AG8" s="7">
        <v>0.66180555555555554</v>
      </c>
      <c r="AH8" s="7">
        <v>0.67222222222222228</v>
      </c>
      <c r="AI8" s="7">
        <v>0.68263888888888891</v>
      </c>
      <c r="AJ8" s="7">
        <v>0.69166666666666665</v>
      </c>
      <c r="AK8" s="7">
        <v>0.70138888888888884</v>
      </c>
      <c r="AL8" s="7">
        <v>0.7104166666666667</v>
      </c>
      <c r="AM8" s="7">
        <v>0.72083333333333333</v>
      </c>
      <c r="AN8" s="7">
        <v>0.73124999999999996</v>
      </c>
      <c r="AO8" s="7">
        <v>0.74027777777777781</v>
      </c>
      <c r="AP8" s="7">
        <v>0.75</v>
      </c>
      <c r="AQ8" s="7">
        <v>0.75902777777777775</v>
      </c>
      <c r="AR8" s="7">
        <v>0.76944444444444449</v>
      </c>
      <c r="AS8" s="7">
        <v>0.77986111111111112</v>
      </c>
      <c r="AT8" s="7">
        <v>0.78888888888888886</v>
      </c>
    </row>
    <row r="9" spans="1:47">
      <c r="A9" s="1" t="s">
        <v>95</v>
      </c>
      <c r="B9" s="7" t="s">
        <v>96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7">
      <c r="A10" s="1" t="s">
        <v>22</v>
      </c>
      <c r="B10" s="7" t="s">
        <v>23</v>
      </c>
      <c r="C10" s="7">
        <v>0.20833333333333334</v>
      </c>
      <c r="D10" s="7">
        <v>0.21805555555555556</v>
      </c>
      <c r="E10" s="7">
        <v>0.22708333333333333</v>
      </c>
      <c r="F10" s="7">
        <v>0.23749999999999999</v>
      </c>
      <c r="G10" s="7">
        <v>0.24791666666666667</v>
      </c>
      <c r="H10" s="7">
        <v>0.25694444444444442</v>
      </c>
      <c r="I10" s="7">
        <v>0.26666666666666666</v>
      </c>
      <c r="J10" s="7">
        <v>0.27569444444444446</v>
      </c>
      <c r="K10" s="7">
        <v>0.28611111111111109</v>
      </c>
      <c r="L10" s="7">
        <v>0.29652777777777778</v>
      </c>
      <c r="M10" s="7">
        <v>0.30555555555555558</v>
      </c>
      <c r="N10" s="7">
        <v>0.31527777777777777</v>
      </c>
      <c r="O10" s="7">
        <v>0.32430555555555557</v>
      </c>
      <c r="P10" s="7">
        <v>0.3347222222222222</v>
      </c>
      <c r="Q10" s="7">
        <v>0.34513888888888888</v>
      </c>
      <c r="R10" s="7">
        <v>0.35416666666666669</v>
      </c>
      <c r="S10" s="7">
        <v>0.36388888888888887</v>
      </c>
      <c r="T10" s="7">
        <v>0.37291666666666667</v>
      </c>
      <c r="U10" s="7">
        <v>0.38333333333333336</v>
      </c>
      <c r="V10" s="7">
        <v>0.39374999999999999</v>
      </c>
      <c r="W10" s="7">
        <v>0.42152777777777778</v>
      </c>
      <c r="X10" s="7">
        <v>0.4465277777777778</v>
      </c>
      <c r="Y10" s="7">
        <v>0.47013888888888888</v>
      </c>
      <c r="Z10" s="7">
        <v>0.49513888888888891</v>
      </c>
      <c r="AA10" s="7">
        <v>0.51875000000000004</v>
      </c>
      <c r="AB10" s="7">
        <v>0.54374999999999996</v>
      </c>
      <c r="AC10" s="7">
        <v>0.56736111111111109</v>
      </c>
      <c r="AD10" s="7">
        <v>0.59236111111111112</v>
      </c>
      <c r="AE10" s="7">
        <v>0.61597222222222225</v>
      </c>
      <c r="AF10" s="7">
        <v>0.64583333333333337</v>
      </c>
      <c r="AG10" s="7">
        <v>0.6645833333333333</v>
      </c>
      <c r="AH10" s="7">
        <v>0.67500000000000004</v>
      </c>
      <c r="AI10" s="7">
        <v>0.68541666666666667</v>
      </c>
      <c r="AJ10" s="7">
        <v>0.69444444444444442</v>
      </c>
      <c r="AK10" s="7">
        <v>0.70416666666666672</v>
      </c>
      <c r="AL10" s="7">
        <v>0.71319444444444446</v>
      </c>
      <c r="AM10" s="7">
        <v>0.72361111111111109</v>
      </c>
      <c r="AN10" s="7">
        <v>0.73402777777777772</v>
      </c>
      <c r="AO10" s="7">
        <v>0.74305555555555558</v>
      </c>
      <c r="AP10" s="7">
        <v>0.75277777777777777</v>
      </c>
      <c r="AQ10" s="7">
        <v>0.76180555555555551</v>
      </c>
      <c r="AR10" s="7">
        <v>0.77222222222222225</v>
      </c>
      <c r="AS10" s="7">
        <v>0.78263888888888888</v>
      </c>
      <c r="AT10" s="7">
        <v>0.79166666666666663</v>
      </c>
    </row>
    <row r="11" spans="1:47">
      <c r="A11" s="6" t="s">
        <v>93</v>
      </c>
      <c r="B11" s="7" t="s">
        <v>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7">
      <c r="A12" s="6" t="s">
        <v>91</v>
      </c>
      <c r="B12" s="7" t="s">
        <v>92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7">
      <c r="A13" s="1" t="s">
        <v>24</v>
      </c>
      <c r="B13" s="7" t="s">
        <v>25</v>
      </c>
      <c r="C13" s="7">
        <v>0.21180555555555555</v>
      </c>
      <c r="D13" s="7">
        <v>0.22152777777777777</v>
      </c>
      <c r="E13" s="7">
        <v>0.23055555555555557</v>
      </c>
      <c r="F13" s="7">
        <v>0.24097222222222223</v>
      </c>
      <c r="G13" s="7">
        <v>0.25138888888888888</v>
      </c>
      <c r="H13" s="7">
        <v>0.26041666666666669</v>
      </c>
      <c r="I13" s="7">
        <v>0.27013888888888887</v>
      </c>
      <c r="J13" s="7">
        <v>0.27916666666666667</v>
      </c>
      <c r="K13" s="7">
        <v>0.28958333333333336</v>
      </c>
      <c r="L13" s="7">
        <v>0.3</v>
      </c>
      <c r="M13" s="7">
        <v>0.30902777777777779</v>
      </c>
      <c r="N13" s="7">
        <v>0.31874999999999998</v>
      </c>
      <c r="O13" s="7">
        <v>0.32777777777777778</v>
      </c>
      <c r="P13" s="7">
        <v>0.33819444444444446</v>
      </c>
      <c r="Q13" s="7">
        <v>0.34861111111111109</v>
      </c>
      <c r="R13" s="7">
        <v>0.3576388888888889</v>
      </c>
      <c r="S13" s="7">
        <v>0.36736111111111114</v>
      </c>
      <c r="T13" s="7">
        <v>0.37638888888888888</v>
      </c>
      <c r="U13" s="7">
        <v>0.38680555555555557</v>
      </c>
      <c r="V13" s="7">
        <v>0.3972222222222222</v>
      </c>
      <c r="W13" s="7">
        <v>0.42499999999999999</v>
      </c>
      <c r="X13" s="7">
        <v>0.45</v>
      </c>
      <c r="Y13" s="7">
        <v>0.47361111111111109</v>
      </c>
      <c r="Z13" s="7">
        <v>0.49861111111111112</v>
      </c>
      <c r="AA13" s="7">
        <v>0.52222222222222225</v>
      </c>
      <c r="AB13" s="7">
        <v>0.54722222222222228</v>
      </c>
      <c r="AC13" s="7">
        <v>0.5708333333333333</v>
      </c>
      <c r="AD13" s="7">
        <v>0.59583333333333333</v>
      </c>
      <c r="AE13" s="7">
        <v>0.61944444444444446</v>
      </c>
      <c r="AF13" s="7">
        <v>0.64930555555555558</v>
      </c>
      <c r="AG13" s="7">
        <v>0.66805555555555551</v>
      </c>
      <c r="AH13" s="7">
        <v>0.67847222222222225</v>
      </c>
      <c r="AI13" s="7">
        <v>0.68888888888888888</v>
      </c>
      <c r="AJ13" s="7">
        <v>0.69791666666666663</v>
      </c>
      <c r="AK13" s="7">
        <v>0.70763888888888893</v>
      </c>
      <c r="AL13" s="7">
        <v>0.71666666666666667</v>
      </c>
      <c r="AM13" s="7">
        <v>0.7270833333333333</v>
      </c>
      <c r="AN13" s="7">
        <v>0.73750000000000004</v>
      </c>
      <c r="AO13" s="7">
        <v>0.74652777777777779</v>
      </c>
      <c r="AP13" s="7">
        <v>0.75624999999999998</v>
      </c>
      <c r="AQ13" s="7">
        <v>0.76527777777777772</v>
      </c>
      <c r="AR13" s="7">
        <v>0.77569444444444446</v>
      </c>
      <c r="AS13" s="7">
        <v>0.78611111111111109</v>
      </c>
      <c r="AT13" s="7">
        <v>0.79513888888888884</v>
      </c>
    </row>
    <row r="14" spans="1:47">
      <c r="C14" s="7"/>
      <c r="D14" s="7"/>
      <c r="E14" s="7"/>
      <c r="F14" s="7"/>
      <c r="G14" s="7"/>
      <c r="H14" s="7"/>
      <c r="I14" s="7"/>
      <c r="J14" s="7"/>
      <c r="K14" s="7"/>
    </row>
    <row r="15" spans="1:4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47">
      <c r="A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7"/>
      <c r="Q16" s="7"/>
      <c r="R16" s="7"/>
      <c r="S16" s="7"/>
      <c r="T16" s="7"/>
    </row>
    <row r="17" spans="1:4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>
      <c r="A19" s="10"/>
      <c r="B19" s="11"/>
      <c r="C19" s="11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>
      <c r="A20" s="10"/>
      <c r="B20" s="11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>
      <c r="A21" s="10"/>
      <c r="B21" s="11"/>
      <c r="C21" s="1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>
      <c r="A22" s="10"/>
      <c r="B22" s="11"/>
      <c r="C22" s="1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>
      <c r="A23" s="10"/>
      <c r="B23" s="11"/>
      <c r="C23" s="11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>
      <c r="A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spans="1:46">
      <c r="A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 spans="1:46">
      <c r="A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>
      <c r="A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>
      <c r="A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>
      <c r="A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>
      <c r="A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>
      <c r="A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>
      <c r="A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:46">
      <c r="A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:46">
      <c r="A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:46">
      <c r="A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:46">
      <c r="A36" s="10"/>
      <c r="B36" s="1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>
      <c r="A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6">
      <c r="A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>
      <c r="A39" s="10"/>
      <c r="C39" s="11"/>
      <c r="D39" s="11"/>
      <c r="E39" s="11"/>
      <c r="F39" s="11"/>
      <c r="G39" s="11"/>
      <c r="H39" s="11"/>
      <c r="I39" s="11"/>
      <c r="J39" s="11"/>
    </row>
    <row r="40" spans="1:46">
      <c r="B40" s="7"/>
      <c r="C40" s="8"/>
      <c r="D40" s="8"/>
      <c r="E40" s="8"/>
      <c r="F40" s="8"/>
      <c r="G40" s="8"/>
      <c r="H40" s="8"/>
      <c r="I40" s="8"/>
      <c r="J40" s="8"/>
    </row>
    <row r="41" spans="1:46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46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46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46">
      <c r="A44" s="10"/>
      <c r="B44" s="11"/>
      <c r="C44" s="11"/>
      <c r="D44" s="11"/>
      <c r="E44" s="11"/>
      <c r="F44" s="11"/>
      <c r="G44" s="11"/>
      <c r="H44" s="11"/>
      <c r="I44" s="11"/>
      <c r="J44" s="11"/>
    </row>
    <row r="45" spans="1:46">
      <c r="A45" s="10"/>
      <c r="B45" s="8"/>
      <c r="C45" s="8"/>
      <c r="D45" s="8"/>
      <c r="E45" s="8"/>
      <c r="F45" s="8"/>
      <c r="G45" s="8"/>
      <c r="H45" s="8"/>
      <c r="I45" s="8"/>
      <c r="J45" s="8"/>
    </row>
    <row r="46" spans="1:46">
      <c r="A46" s="10"/>
      <c r="B46" s="8"/>
      <c r="C46" s="8"/>
      <c r="D46" s="8"/>
      <c r="E46" s="8"/>
      <c r="F46" s="8"/>
      <c r="G46" s="8"/>
      <c r="H46" s="8"/>
      <c r="I46" s="8"/>
      <c r="J46" s="8"/>
    </row>
    <row r="47" spans="1:46">
      <c r="A47" s="10"/>
      <c r="B47" s="11"/>
      <c r="C47" s="11"/>
      <c r="D47" s="11"/>
      <c r="E47" s="11"/>
      <c r="F47" s="11"/>
      <c r="G47" s="11"/>
      <c r="H47" s="11"/>
      <c r="I47" s="11"/>
      <c r="J47" s="11"/>
    </row>
    <row r="48" spans="1:46">
      <c r="A48" s="10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10"/>
      <c r="B49" s="11"/>
      <c r="C49" s="11"/>
      <c r="D49" s="11"/>
      <c r="E49" s="11"/>
      <c r="F49" s="11"/>
      <c r="G49" s="11"/>
      <c r="H49" s="11"/>
      <c r="I49" s="11"/>
      <c r="J49" s="1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2142C4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45885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256</v>
      </c>
      <c r="D2" s="130" t="s">
        <v>257</v>
      </c>
      <c r="E2" s="130" t="s">
        <v>258</v>
      </c>
      <c r="F2" s="130" t="s">
        <v>259</v>
      </c>
      <c r="G2" s="136" t="s">
        <v>267</v>
      </c>
      <c r="H2" s="145" t="s">
        <v>268</v>
      </c>
      <c r="I2" s="145" t="s">
        <v>269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24</v>
      </c>
      <c r="B3" s="5" t="s">
        <v>25</v>
      </c>
      <c r="C3" s="5">
        <v>0.21875</v>
      </c>
      <c r="D3" s="5">
        <v>0.2673611111111111</v>
      </c>
      <c r="E3" s="5">
        <v>0.31597222222222221</v>
      </c>
      <c r="F3" s="5">
        <v>0.36458333333333331</v>
      </c>
      <c r="G3" s="5">
        <v>0.62708333333333333</v>
      </c>
      <c r="H3" s="5">
        <v>0.69791666666666663</v>
      </c>
      <c r="I3" s="5">
        <v>0.77430555555555558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91</v>
      </c>
      <c r="B4" s="6" t="s">
        <v>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93</v>
      </c>
      <c r="B5" s="6" t="s">
        <v>94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22</v>
      </c>
      <c r="B6" s="6" t="s">
        <v>23</v>
      </c>
      <c r="C6" s="7">
        <v>0.22222222222222221</v>
      </c>
      <c r="D6" s="7">
        <v>0.27083333333333331</v>
      </c>
      <c r="E6" s="7">
        <v>0.31944444444444442</v>
      </c>
      <c r="F6" s="7">
        <v>0.36805555555555552</v>
      </c>
      <c r="G6" s="7">
        <v>0.63055555555555554</v>
      </c>
      <c r="H6" s="7">
        <v>0.70138888888888884</v>
      </c>
      <c r="I6" s="7">
        <v>0.77777777777777779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95</v>
      </c>
      <c r="B7" s="6" t="s">
        <v>96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300</v>
      </c>
      <c r="B8" s="6" t="s">
        <v>301</v>
      </c>
      <c r="C8" s="7">
        <v>0.22499999999999998</v>
      </c>
      <c r="D8" s="7">
        <v>0.27361111111111108</v>
      </c>
      <c r="E8" s="7">
        <v>0.32222222222222219</v>
      </c>
      <c r="F8" s="7">
        <v>0.37083333333333329</v>
      </c>
      <c r="G8" s="7">
        <v>0.6333333333333333</v>
      </c>
      <c r="H8" s="7">
        <v>0.70416666666666661</v>
      </c>
      <c r="I8" s="7">
        <v>0.78055555555555556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302</v>
      </c>
      <c r="B9" s="6" t="s">
        <v>303</v>
      </c>
      <c r="C9" s="7">
        <v>0.22638888888888886</v>
      </c>
      <c r="D9" s="7">
        <v>0.27499999999999997</v>
      </c>
      <c r="E9" s="7">
        <v>0.32361111111111107</v>
      </c>
      <c r="F9" s="7">
        <v>0.37222222222222218</v>
      </c>
      <c r="G9" s="7">
        <v>0.63472222222222219</v>
      </c>
      <c r="H9" s="7">
        <v>0.70555555555555549</v>
      </c>
      <c r="I9" s="7">
        <v>0.78194444444444444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304</v>
      </c>
      <c r="B10" s="6" t="s">
        <v>305</v>
      </c>
      <c r="C10" s="7">
        <v>0.22847222222222219</v>
      </c>
      <c r="D10" s="7">
        <v>0.27708333333333329</v>
      </c>
      <c r="E10" s="7">
        <v>0.3256944444444444</v>
      </c>
      <c r="F10" s="7">
        <v>0.3743055555555555</v>
      </c>
      <c r="G10" s="7">
        <v>0.63680555555555551</v>
      </c>
      <c r="H10" s="7">
        <v>0.70763888888888882</v>
      </c>
      <c r="I10" s="7">
        <v>0.78402777777777777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306</v>
      </c>
      <c r="B11" s="6" t="s">
        <v>307</v>
      </c>
      <c r="C11" s="7">
        <v>0.2326388888888889</v>
      </c>
      <c r="D11" s="7">
        <v>0.28125</v>
      </c>
      <c r="E11" s="7">
        <v>0.3298611111111111</v>
      </c>
      <c r="F11" s="7">
        <v>0.37847222222222221</v>
      </c>
      <c r="G11" s="7">
        <v>0.64097222222222228</v>
      </c>
      <c r="H11" s="7">
        <v>0.71180555555555558</v>
      </c>
      <c r="I11" s="7">
        <v>0.78819444444444442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308</v>
      </c>
      <c r="B12" s="6" t="s">
        <v>309</v>
      </c>
      <c r="C12" s="7">
        <v>0.23402777777777778</v>
      </c>
      <c r="D12" s="7">
        <v>0.28263888888888888</v>
      </c>
      <c r="E12" s="7">
        <v>0.33124999999999999</v>
      </c>
      <c r="F12" s="7">
        <v>0.37986111111111109</v>
      </c>
      <c r="G12" s="7">
        <v>0.64236111111111116</v>
      </c>
      <c r="H12" s="7">
        <v>0.71319444444444446</v>
      </c>
      <c r="I12" s="7">
        <v>0.7895833333333333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310</v>
      </c>
      <c r="B13" s="6" t="s">
        <v>311</v>
      </c>
      <c r="C13" s="7">
        <v>0.2361111111111111</v>
      </c>
      <c r="D13" s="7">
        <v>0.28472222222222221</v>
      </c>
      <c r="E13" s="7">
        <v>0.33333333333333331</v>
      </c>
      <c r="F13" s="7">
        <v>0.38194444444444442</v>
      </c>
      <c r="G13" s="7">
        <v>0.64444444444444449</v>
      </c>
      <c r="H13" s="7">
        <v>0.71527777777777779</v>
      </c>
      <c r="I13" s="7">
        <v>0.79166666666666663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27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7"/>
      <c r="P16" s="7"/>
      <c r="Q16" s="7"/>
      <c r="R16" s="7"/>
      <c r="S16" s="7"/>
      <c r="T16" s="7"/>
    </row>
    <row r="17" spans="1:20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/>
      <c r="P17" s="7"/>
      <c r="Q17" s="7"/>
      <c r="R17" s="7"/>
      <c r="S17" s="7"/>
      <c r="T17" s="7"/>
    </row>
    <row r="18" spans="1:20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7"/>
      <c r="P18" s="7"/>
      <c r="Q18" s="7"/>
      <c r="R18" s="7"/>
      <c r="S18" s="7"/>
      <c r="T18" s="7"/>
    </row>
    <row r="19" spans="1:20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7"/>
      <c r="P19" s="7"/>
      <c r="Q19" s="7"/>
      <c r="R19" s="7"/>
      <c r="S19" s="7"/>
      <c r="T19" s="7"/>
    </row>
    <row r="20" spans="1: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8"/>
      <c r="P20" s="8"/>
      <c r="Q20" s="8"/>
      <c r="R20" s="8"/>
      <c r="S20" s="8"/>
      <c r="T20" s="8"/>
    </row>
    <row r="21" spans="1:20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2142C4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'PTA-to-SAUL_Sat'!B1</f>
        <v>45885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312</v>
      </c>
      <c r="D2" s="130" t="s">
        <v>313</v>
      </c>
      <c r="E2" s="130" t="s">
        <v>314</v>
      </c>
      <c r="F2" s="130" t="s">
        <v>315</v>
      </c>
      <c r="G2" s="130" t="s">
        <v>316</v>
      </c>
      <c r="H2" s="1" t="s">
        <v>324</v>
      </c>
      <c r="I2" s="136" t="s">
        <v>325</v>
      </c>
      <c r="J2" s="1"/>
      <c r="K2" s="130"/>
      <c r="L2" s="130"/>
      <c r="M2" s="130"/>
      <c r="N2" s="130"/>
      <c r="O2" s="13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310</v>
      </c>
      <c r="B3" s="4" t="s">
        <v>311</v>
      </c>
      <c r="C3" s="5">
        <v>0.19444444444444445</v>
      </c>
      <c r="D3" s="5">
        <v>0.24305555555555555</v>
      </c>
      <c r="E3" s="5">
        <v>0.29166666666666669</v>
      </c>
      <c r="F3" s="5">
        <v>0.34027777777777779</v>
      </c>
      <c r="G3" s="5">
        <v>0.3888888888888889</v>
      </c>
      <c r="H3" s="5">
        <v>0.65277777777777779</v>
      </c>
      <c r="I3" s="5">
        <v>0.72222222222222221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308</v>
      </c>
      <c r="B4" s="7" t="s">
        <v>309</v>
      </c>
      <c r="C4" s="7">
        <v>0.19652777777777777</v>
      </c>
      <c r="D4" s="7">
        <v>0.24513888888888888</v>
      </c>
      <c r="E4" s="7">
        <v>0.29375000000000001</v>
      </c>
      <c r="F4" s="7">
        <v>0.34236111111111112</v>
      </c>
      <c r="G4" s="7">
        <v>0.39097222222222222</v>
      </c>
      <c r="H4" s="7">
        <v>0.65486111111111112</v>
      </c>
      <c r="I4" s="7">
        <v>0.72430555555555554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306</v>
      </c>
      <c r="B5" s="7" t="s">
        <v>307</v>
      </c>
      <c r="C5" s="7">
        <v>0.19791666666666666</v>
      </c>
      <c r="D5" s="7">
        <v>0.24652777777777776</v>
      </c>
      <c r="E5" s="7">
        <v>0.2951388888888889</v>
      </c>
      <c r="F5" s="7">
        <v>0.34375</v>
      </c>
      <c r="G5" s="7">
        <v>0.3923611111111111</v>
      </c>
      <c r="H5" s="7">
        <v>0.65625</v>
      </c>
      <c r="I5" s="7">
        <v>0.72569444444444442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304</v>
      </c>
      <c r="B6" s="7" t="s">
        <v>305</v>
      </c>
      <c r="C6" s="7">
        <v>0.20277777777777778</v>
      </c>
      <c r="D6" s="7">
        <v>0.25138888888888888</v>
      </c>
      <c r="E6" s="7">
        <v>0.30000000000000004</v>
      </c>
      <c r="F6" s="7">
        <v>0.34861111111111109</v>
      </c>
      <c r="G6" s="7">
        <v>0.39722222222222225</v>
      </c>
      <c r="H6" s="7">
        <v>0.66111111111111109</v>
      </c>
      <c r="I6" s="7">
        <v>0.73055555555555551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302</v>
      </c>
      <c r="B7" s="7" t="s">
        <v>303</v>
      </c>
      <c r="C7" s="7">
        <v>0.20416666666666666</v>
      </c>
      <c r="D7" s="7">
        <v>0.25277777777777777</v>
      </c>
      <c r="E7" s="7">
        <v>0.30138888888888893</v>
      </c>
      <c r="F7" s="7">
        <v>0.35</v>
      </c>
      <c r="G7" s="7">
        <v>0.39861111111111114</v>
      </c>
      <c r="H7" s="7">
        <v>0.66249999999999998</v>
      </c>
      <c r="I7" s="7">
        <v>0.7319444444444444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300</v>
      </c>
      <c r="B8" s="7" t="s">
        <v>301</v>
      </c>
      <c r="C8" s="7">
        <v>0.20555555555555555</v>
      </c>
      <c r="D8" s="7">
        <v>0.25416666666666665</v>
      </c>
      <c r="E8" s="7">
        <v>0.30277777777777781</v>
      </c>
      <c r="F8" s="7">
        <v>0.35138888888888886</v>
      </c>
      <c r="G8" s="7">
        <v>0.4</v>
      </c>
      <c r="H8" s="7">
        <v>0.66388888888888886</v>
      </c>
      <c r="I8" s="7">
        <v>0.73333333333333328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95</v>
      </c>
      <c r="B9" s="7" t="s">
        <v>96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22</v>
      </c>
      <c r="B10" s="7" t="s">
        <v>23</v>
      </c>
      <c r="C10" s="7">
        <v>0.20833333333333334</v>
      </c>
      <c r="D10" s="7">
        <v>0.25694444444444442</v>
      </c>
      <c r="E10" s="7">
        <v>0.30555555555555558</v>
      </c>
      <c r="F10" s="7">
        <v>0.35416666666666663</v>
      </c>
      <c r="G10" s="7">
        <v>0.40277777777777779</v>
      </c>
      <c r="H10" s="7">
        <v>0.66666666666666663</v>
      </c>
      <c r="I10" s="7">
        <v>0.73611111111111105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93</v>
      </c>
      <c r="B11" s="7" t="s">
        <v>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91</v>
      </c>
      <c r="B12" s="7" t="s">
        <v>92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24</v>
      </c>
      <c r="B13" s="7" t="s">
        <v>25</v>
      </c>
      <c r="C13" s="7">
        <v>0.21180555555555555</v>
      </c>
      <c r="D13" s="7">
        <v>0.26041666666666663</v>
      </c>
      <c r="E13" s="7">
        <v>0.30902777777777779</v>
      </c>
      <c r="F13" s="7">
        <v>0.35763888888888884</v>
      </c>
      <c r="G13" s="7">
        <v>0.40625</v>
      </c>
      <c r="H13" s="7">
        <v>0.67013888888888884</v>
      </c>
      <c r="I13" s="7">
        <v>0.73958333333333326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</row>
    <row r="17" spans="1:20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/>
      <c r="P17" s="7"/>
      <c r="Q17" s="7"/>
      <c r="R17" s="7"/>
      <c r="S17" s="7"/>
      <c r="T17" s="7"/>
    </row>
    <row r="18" spans="1:20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7"/>
      <c r="P18" s="7"/>
      <c r="Q18" s="7"/>
      <c r="R18" s="7"/>
      <c r="S18" s="7"/>
      <c r="T18" s="7"/>
    </row>
    <row r="19" spans="1:20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/>
      <c r="Q19" s="7"/>
      <c r="R19" s="7"/>
      <c r="S19" s="7"/>
      <c r="T19" s="7"/>
    </row>
    <row r="20" spans="1: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8"/>
      <c r="P20" s="8"/>
      <c r="Q20" s="8"/>
      <c r="R20" s="8"/>
      <c r="S20" s="8"/>
      <c r="T20" s="8"/>
    </row>
    <row r="21" spans="1:20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DA7F34"/>
    <outlinePr summaryBelow="0" summaryRight="0"/>
  </sheetPr>
  <dimension ref="A1:AA48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46055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 t="s">
        <v>356</v>
      </c>
      <c r="D2" s="1" t="s">
        <v>357</v>
      </c>
      <c r="E2" s="1" t="s">
        <v>358</v>
      </c>
      <c r="F2" s="1" t="s">
        <v>359</v>
      </c>
      <c r="G2" s="1" t="s">
        <v>360</v>
      </c>
      <c r="H2" s="1" t="s">
        <v>361</v>
      </c>
      <c r="I2" s="1" t="s">
        <v>362</v>
      </c>
      <c r="J2" s="1" t="s">
        <v>363</v>
      </c>
      <c r="K2" s="1" t="s">
        <v>364</v>
      </c>
      <c r="L2" s="1" t="s">
        <v>365</v>
      </c>
      <c r="M2" s="1" t="s">
        <v>366</v>
      </c>
      <c r="N2" s="1" t="s">
        <v>367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115</v>
      </c>
      <c r="B3" s="4" t="s">
        <v>116</v>
      </c>
      <c r="C3" s="5">
        <v>0.17708333333333334</v>
      </c>
      <c r="D3" s="5">
        <v>0.22569444444444445</v>
      </c>
      <c r="E3" s="5">
        <v>0.27430555555555558</v>
      </c>
      <c r="F3" s="5">
        <v>0.32291666666666669</v>
      </c>
      <c r="G3" s="5">
        <v>0.37291666666666667</v>
      </c>
      <c r="H3" s="5">
        <v>0.41875000000000001</v>
      </c>
      <c r="I3" s="5">
        <v>0.47013888888888888</v>
      </c>
      <c r="J3" s="5">
        <v>0.51597222222222228</v>
      </c>
      <c r="K3" s="5">
        <v>0.56736111111111109</v>
      </c>
      <c r="L3" s="5">
        <v>0.61319444444444449</v>
      </c>
      <c r="M3" s="5">
        <v>0.66874999999999996</v>
      </c>
      <c r="N3" s="5">
        <v>0.71180555555555558</v>
      </c>
    </row>
    <row r="4" spans="1:27">
      <c r="A4" s="1" t="s">
        <v>113</v>
      </c>
      <c r="B4" s="6" t="s">
        <v>114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7">
      <c r="A5" s="1" t="s">
        <v>109</v>
      </c>
      <c r="B5" s="6" t="s">
        <v>110</v>
      </c>
      <c r="C5" s="7">
        <v>0.18611111111111112</v>
      </c>
      <c r="D5" s="7">
        <v>0.23472222222222222</v>
      </c>
      <c r="E5" s="7">
        <v>0.28333333333333333</v>
      </c>
      <c r="F5" s="7">
        <v>0.33194444444444443</v>
      </c>
      <c r="G5" s="7">
        <v>0.38194444444444442</v>
      </c>
      <c r="H5" s="7">
        <v>0.42777777777777776</v>
      </c>
      <c r="I5" s="7">
        <v>0.47916666666666669</v>
      </c>
      <c r="J5" s="7">
        <v>0.52500000000000002</v>
      </c>
      <c r="K5" s="7">
        <v>0.57638888888888884</v>
      </c>
      <c r="L5" s="7">
        <v>0.62222222222222223</v>
      </c>
      <c r="M5" s="7">
        <v>0.67777777777777781</v>
      </c>
      <c r="N5" s="7">
        <v>0.72083333333333333</v>
      </c>
    </row>
    <row r="6" spans="1:27">
      <c r="A6" s="6" t="s">
        <v>107</v>
      </c>
      <c r="B6" s="6" t="s">
        <v>108</v>
      </c>
      <c r="C6" s="7">
        <v>0.19027777777777777</v>
      </c>
      <c r="D6" s="7">
        <v>0.2388888888888889</v>
      </c>
      <c r="E6" s="7">
        <v>0.28749999999999998</v>
      </c>
      <c r="F6" s="7">
        <v>0.33611111111111114</v>
      </c>
      <c r="G6" s="7">
        <v>0.38611111111111113</v>
      </c>
      <c r="H6" s="7">
        <v>0.43194444444444446</v>
      </c>
      <c r="I6" s="7">
        <v>0.48333333333333334</v>
      </c>
      <c r="J6" s="7">
        <v>0.52916666666666667</v>
      </c>
      <c r="K6" s="7">
        <v>0.5805555555555556</v>
      </c>
      <c r="L6" s="7">
        <v>0.62638888888888888</v>
      </c>
      <c r="M6" s="7">
        <v>0.68194444444444446</v>
      </c>
      <c r="N6" s="7">
        <v>0.72499999999999998</v>
      </c>
    </row>
    <row r="7" spans="1:27">
      <c r="A7" s="6" t="s">
        <v>12</v>
      </c>
      <c r="B7" s="6" t="s">
        <v>13</v>
      </c>
      <c r="C7" s="7">
        <v>0.19583333333333333</v>
      </c>
      <c r="D7" s="7">
        <v>0.24444444444444444</v>
      </c>
      <c r="E7" s="7">
        <v>0.29305555555555557</v>
      </c>
      <c r="F7" s="7">
        <v>0.34166666666666667</v>
      </c>
      <c r="G7" s="7">
        <v>0.39166666666666666</v>
      </c>
      <c r="H7" s="7">
        <v>0.4375</v>
      </c>
      <c r="I7" s="7">
        <v>0.48888888888888887</v>
      </c>
      <c r="J7" s="7">
        <v>0.53472222222222221</v>
      </c>
      <c r="K7" s="7">
        <v>0.58611111111111114</v>
      </c>
      <c r="L7" s="7">
        <v>0.63194444444444442</v>
      </c>
      <c r="M7" s="7">
        <v>0.6875</v>
      </c>
      <c r="N7" s="7">
        <v>0.73055555555555551</v>
      </c>
    </row>
    <row r="8" spans="1:27">
      <c r="A8" s="6" t="s">
        <v>14</v>
      </c>
      <c r="B8" s="6" t="s">
        <v>15</v>
      </c>
      <c r="C8" s="7">
        <v>0.2</v>
      </c>
      <c r="D8" s="7">
        <v>0.24861111111111112</v>
      </c>
      <c r="E8" s="7">
        <v>0.29722222222222222</v>
      </c>
      <c r="F8" s="7">
        <v>0.34583333333333333</v>
      </c>
      <c r="G8" s="7">
        <v>0.39583333333333331</v>
      </c>
      <c r="H8" s="7">
        <v>0.44166666666666665</v>
      </c>
      <c r="I8" s="7">
        <v>0.49305555555555558</v>
      </c>
      <c r="J8" s="7">
        <v>0.53888888888888886</v>
      </c>
      <c r="K8" s="7">
        <v>0.59027777777777779</v>
      </c>
      <c r="L8" s="7">
        <v>0.63611111111111107</v>
      </c>
      <c r="M8" s="7">
        <v>0.69166666666666665</v>
      </c>
      <c r="N8" s="7">
        <v>0.73472222222222228</v>
      </c>
    </row>
    <row r="9" spans="1:27">
      <c r="A9" s="1" t="s">
        <v>16</v>
      </c>
      <c r="B9" s="6" t="s">
        <v>17</v>
      </c>
      <c r="C9" s="7">
        <v>0.20277777777777778</v>
      </c>
      <c r="D9" s="7">
        <v>0.25138888888888888</v>
      </c>
      <c r="E9" s="7">
        <v>0.3</v>
      </c>
      <c r="F9" s="7">
        <v>0.34861111111111109</v>
      </c>
      <c r="G9" s="7">
        <v>0.39861111111111114</v>
      </c>
      <c r="H9" s="7">
        <v>0.44444444444444442</v>
      </c>
      <c r="I9" s="7">
        <v>0.49583333333333335</v>
      </c>
      <c r="J9" s="7">
        <v>0.54166666666666663</v>
      </c>
      <c r="K9" s="7">
        <v>0.59305555555555556</v>
      </c>
      <c r="L9" s="7">
        <v>0.63888888888888884</v>
      </c>
      <c r="M9" s="7">
        <v>0.69444444444444442</v>
      </c>
      <c r="N9" s="7">
        <v>0.73750000000000004</v>
      </c>
    </row>
    <row r="10" spans="1:27">
      <c r="A10" s="1" t="s">
        <v>105</v>
      </c>
      <c r="B10" s="6" t="s">
        <v>106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27">
      <c r="A11" s="6" t="s">
        <v>18</v>
      </c>
      <c r="B11" s="6" t="s">
        <v>19</v>
      </c>
      <c r="C11" s="7">
        <v>0.20833333333333334</v>
      </c>
      <c r="D11" s="7">
        <v>0.25694444444444442</v>
      </c>
      <c r="E11" s="7">
        <v>0.30555555555555558</v>
      </c>
      <c r="F11" s="7">
        <v>0.35416666666666669</v>
      </c>
      <c r="G11" s="7">
        <v>0.40416666666666667</v>
      </c>
      <c r="H11" s="7">
        <v>0.45</v>
      </c>
      <c r="I11" s="7">
        <v>0.50138888888888888</v>
      </c>
      <c r="J11" s="7">
        <v>0.54722222222222228</v>
      </c>
      <c r="K11" s="7">
        <v>0.59861111111111109</v>
      </c>
      <c r="L11" s="7">
        <v>0.64444444444444449</v>
      </c>
      <c r="M11" s="7">
        <v>0.7</v>
      </c>
      <c r="N11" s="7">
        <v>0.74305555555555558</v>
      </c>
    </row>
    <row r="12" spans="1:27">
      <c r="A12" s="6" t="s">
        <v>103</v>
      </c>
      <c r="B12" s="6" t="s">
        <v>104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27">
      <c r="A13" s="1" t="s">
        <v>20</v>
      </c>
      <c r="B13" s="6" t="s">
        <v>21</v>
      </c>
      <c r="C13" s="7">
        <v>0.21180555555555555</v>
      </c>
      <c r="D13" s="7">
        <v>0.26041666666666669</v>
      </c>
      <c r="E13" s="7">
        <v>0.30902777777777779</v>
      </c>
      <c r="F13" s="7">
        <v>0.3576388888888889</v>
      </c>
      <c r="G13" s="7">
        <v>0.40763888888888888</v>
      </c>
      <c r="H13" s="7">
        <v>0.45347222222222222</v>
      </c>
      <c r="I13" s="7">
        <v>0.50486111111111109</v>
      </c>
      <c r="J13" s="7">
        <v>0.55069444444444449</v>
      </c>
      <c r="K13" s="7">
        <v>0.6020833333333333</v>
      </c>
      <c r="L13" s="7">
        <v>0.6479166666666667</v>
      </c>
      <c r="M13" s="7">
        <v>0.70347222222222228</v>
      </c>
      <c r="N13" s="7">
        <v>0.74652777777777779</v>
      </c>
    </row>
    <row r="14" spans="1:27">
      <c r="A14" s="6" t="s">
        <v>368</v>
      </c>
      <c r="B14" s="6" t="s">
        <v>369</v>
      </c>
      <c r="C14" s="7">
        <v>0.21875</v>
      </c>
      <c r="D14" s="7">
        <v>0.2673611111111111</v>
      </c>
      <c r="E14" s="7">
        <v>0.31597222222222221</v>
      </c>
      <c r="F14" s="7">
        <v>0.36458333333333331</v>
      </c>
      <c r="G14" s="7">
        <v>0.41458333333333336</v>
      </c>
      <c r="H14" s="7">
        <v>0.46041666666666664</v>
      </c>
      <c r="I14" s="7">
        <v>0.51180555555555551</v>
      </c>
      <c r="J14" s="7">
        <v>0.55763888888888891</v>
      </c>
      <c r="K14" s="7">
        <v>0.60902777777777772</v>
      </c>
      <c r="L14" s="7">
        <v>0.65486111111111112</v>
      </c>
      <c r="M14" s="7">
        <v>0.7104166666666667</v>
      </c>
      <c r="N14" s="7">
        <v>0.75347222222222221</v>
      </c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/>
      <c r="T16" s="7"/>
    </row>
    <row r="17" spans="1:20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7"/>
      <c r="T17" s="7"/>
    </row>
    <row r="18" spans="1:20">
      <c r="A18" s="10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7"/>
      <c r="T18" s="7"/>
    </row>
    <row r="19" spans="1:20">
      <c r="A19" s="10"/>
      <c r="B19" s="1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9"/>
      <c r="R19" s="9"/>
      <c r="S19" s="7"/>
      <c r="T19" s="7"/>
    </row>
    <row r="20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9"/>
      <c r="Q21" s="9"/>
      <c r="R21" s="9"/>
      <c r="S21" s="9"/>
      <c r="T21" s="9"/>
    </row>
    <row r="22" spans="1:20">
      <c r="A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9"/>
      <c r="Q22" s="9"/>
      <c r="R22" s="9"/>
      <c r="S22" s="9"/>
      <c r="T22" s="9"/>
    </row>
    <row r="23" spans="1:20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9"/>
      <c r="Q23" s="9"/>
      <c r="R23" s="9"/>
      <c r="S23" s="9"/>
      <c r="T23" s="9"/>
    </row>
    <row r="24" spans="1:20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9"/>
      <c r="R24" s="9"/>
      <c r="S24" s="9"/>
      <c r="T24" s="9"/>
    </row>
    <row r="25" spans="1:20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9"/>
      <c r="Q25" s="9"/>
      <c r="R25" s="9"/>
      <c r="S25" s="9"/>
      <c r="T25" s="9"/>
    </row>
    <row r="26" spans="1:20">
      <c r="A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9"/>
      <c r="Q26" s="9"/>
      <c r="R26" s="9"/>
      <c r="S26" s="9"/>
      <c r="T26" s="9"/>
    </row>
    <row r="27" spans="1:20">
      <c r="A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9"/>
      <c r="Q27" s="9"/>
      <c r="R27" s="9"/>
      <c r="S27" s="9"/>
      <c r="T27" s="9"/>
    </row>
    <row r="28" spans="1:20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9"/>
      <c r="Q28" s="9"/>
      <c r="R28" s="9"/>
      <c r="S28" s="9"/>
      <c r="T28" s="9"/>
    </row>
    <row r="29" spans="1:20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9"/>
      <c r="Q29" s="9"/>
      <c r="R29" s="9"/>
      <c r="S29" s="9"/>
      <c r="T29" s="9"/>
    </row>
    <row r="30" spans="1:20">
      <c r="A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9"/>
      <c r="Q30" s="9"/>
      <c r="R30" s="9"/>
      <c r="S30" s="9"/>
      <c r="T30" s="9"/>
    </row>
    <row r="31" spans="1:20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9"/>
      <c r="R31" s="9"/>
      <c r="S31" s="9"/>
      <c r="T31" s="9"/>
    </row>
    <row r="32" spans="1:20">
      <c r="C32" s="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8"/>
      <c r="C33" s="11"/>
      <c r="D33" s="11"/>
      <c r="E33" s="11"/>
      <c r="F33" s="11"/>
      <c r="G33" s="11"/>
      <c r="H33" s="11"/>
      <c r="I33" s="11"/>
      <c r="J33" s="11"/>
    </row>
    <row r="34" spans="1:20">
      <c r="A34" s="8"/>
      <c r="C34" s="11"/>
      <c r="D34" s="11"/>
      <c r="E34" s="11"/>
      <c r="F34" s="11"/>
      <c r="G34" s="11"/>
      <c r="H34" s="11"/>
      <c r="I34" s="11"/>
      <c r="J34" s="11"/>
    </row>
    <row r="35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20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8"/>
      <c r="O36" s="8"/>
      <c r="P36" s="8"/>
      <c r="Q36" s="8"/>
      <c r="R36" s="8"/>
      <c r="S36" s="8"/>
      <c r="T36" s="8"/>
    </row>
    <row r="37" spans="1:20">
      <c r="A37" s="10"/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8"/>
      <c r="Q38" s="8"/>
      <c r="R38" s="8"/>
      <c r="S38" s="8"/>
      <c r="T38" s="8"/>
    </row>
    <row r="39" spans="1:20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8"/>
      <c r="O39" s="8"/>
      <c r="P39" s="8"/>
      <c r="Q39" s="8"/>
      <c r="R39" s="8"/>
      <c r="S39" s="8"/>
      <c r="T39" s="8"/>
    </row>
    <row r="40" spans="1:20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8"/>
      <c r="O40" s="8"/>
      <c r="P40" s="8"/>
      <c r="Q40" s="8"/>
      <c r="R40" s="8"/>
      <c r="S40" s="8"/>
      <c r="T40" s="8"/>
    </row>
    <row r="41" spans="1:20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8"/>
      <c r="O41" s="8"/>
      <c r="P41" s="8"/>
      <c r="Q41" s="8"/>
      <c r="R41" s="8"/>
      <c r="S41" s="8"/>
      <c r="T41" s="8"/>
    </row>
    <row r="42" spans="1:20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8"/>
      <c r="O42" s="8"/>
      <c r="P42" s="8"/>
      <c r="Q42" s="8"/>
      <c r="R42" s="8"/>
      <c r="S42" s="8"/>
      <c r="T42" s="8"/>
    </row>
    <row r="43" spans="1:20">
      <c r="A43" s="10"/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8"/>
      <c r="O44" s="8"/>
      <c r="P44" s="8"/>
      <c r="Q44" s="8"/>
      <c r="R44" s="8"/>
      <c r="S44" s="8"/>
      <c r="T44" s="8"/>
    </row>
    <row r="45" spans="1:20">
      <c r="A45" s="10"/>
      <c r="B45" s="11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8"/>
      <c r="O46" s="8"/>
      <c r="P46" s="8"/>
      <c r="Q46" s="8"/>
      <c r="R46" s="8"/>
      <c r="S46" s="8"/>
      <c r="T46" s="8"/>
    </row>
    <row r="47" spans="1:20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DA7F34"/>
    <outlinePr summaryBelow="0" summaryRight="0"/>
  </sheetPr>
  <dimension ref="A1:AA3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380</v>
      </c>
      <c r="N2" s="1" t="s">
        <v>381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368</v>
      </c>
      <c r="B3" s="4" t="s">
        <v>369</v>
      </c>
      <c r="C3" s="5">
        <v>0.22430555555555556</v>
      </c>
      <c r="D3" s="5">
        <v>0.27291666666666664</v>
      </c>
      <c r="E3" s="5">
        <v>0.3215277777777778</v>
      </c>
      <c r="F3" s="5">
        <v>0.37013888888888891</v>
      </c>
      <c r="G3" s="5">
        <v>0.42152777777777778</v>
      </c>
      <c r="H3" s="5">
        <v>0.46736111111111112</v>
      </c>
      <c r="I3" s="5">
        <v>0.51875000000000004</v>
      </c>
      <c r="J3" s="5">
        <v>0.56458333333333333</v>
      </c>
      <c r="K3" s="5">
        <v>0.61597222222222225</v>
      </c>
      <c r="L3" s="5">
        <v>0.66319444444444442</v>
      </c>
      <c r="M3" s="5">
        <v>0.71527777777777779</v>
      </c>
      <c r="N3" s="5">
        <v>0.76388888888888884</v>
      </c>
    </row>
    <row r="4" spans="1:27">
      <c r="A4" s="1" t="s">
        <v>20</v>
      </c>
      <c r="B4" s="6" t="s">
        <v>21</v>
      </c>
      <c r="C4" s="7">
        <v>0.22847222222222222</v>
      </c>
      <c r="D4" s="7">
        <v>0.27708333333333335</v>
      </c>
      <c r="E4" s="7">
        <v>0.32569444444444445</v>
      </c>
      <c r="F4" s="7">
        <v>0.37430555555555556</v>
      </c>
      <c r="G4" s="7">
        <v>0.42569444444444443</v>
      </c>
      <c r="H4" s="7">
        <v>0.47152777777777777</v>
      </c>
      <c r="I4" s="7">
        <v>0.5229166666666667</v>
      </c>
      <c r="J4" s="7">
        <v>0.56874999999999998</v>
      </c>
      <c r="K4" s="7">
        <v>0.62013888888888891</v>
      </c>
      <c r="L4" s="7">
        <v>0.66736111111111107</v>
      </c>
      <c r="M4" s="7">
        <v>0.71944444444444444</v>
      </c>
      <c r="N4" s="7">
        <v>0.7680555555555556</v>
      </c>
    </row>
    <row r="5" spans="1:27">
      <c r="A5" s="1" t="s">
        <v>103</v>
      </c>
      <c r="B5" s="6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27">
      <c r="A6" s="6" t="s">
        <v>18</v>
      </c>
      <c r="B6" s="6" t="s">
        <v>19</v>
      </c>
      <c r="C6" s="7">
        <v>0.2326388888888889</v>
      </c>
      <c r="D6" s="7">
        <v>0.28125</v>
      </c>
      <c r="E6" s="7">
        <v>0.3298611111111111</v>
      </c>
      <c r="F6" s="7">
        <v>0.37847222222222221</v>
      </c>
      <c r="G6" s="7">
        <v>0.42986111111111114</v>
      </c>
      <c r="H6" s="7">
        <v>0.47569444444444442</v>
      </c>
      <c r="I6" s="7">
        <v>0.52708333333333335</v>
      </c>
      <c r="J6" s="7">
        <v>0.57291666666666663</v>
      </c>
      <c r="K6" s="7">
        <v>0.62430555555555556</v>
      </c>
      <c r="L6" s="7">
        <v>0.67152777777777772</v>
      </c>
      <c r="M6" s="7">
        <v>0.72361111111111109</v>
      </c>
      <c r="N6" s="7">
        <v>0.77222222222222225</v>
      </c>
    </row>
    <row r="7" spans="1:27">
      <c r="A7" s="6" t="s">
        <v>105</v>
      </c>
      <c r="B7" s="6" t="s">
        <v>106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27">
      <c r="A8" s="6" t="s">
        <v>16</v>
      </c>
      <c r="B8" s="6" t="s">
        <v>17</v>
      </c>
      <c r="C8" s="7">
        <v>0.23819444444444443</v>
      </c>
      <c r="D8" s="7">
        <v>0.28680555555555554</v>
      </c>
      <c r="E8" s="7">
        <v>0.33541666666666664</v>
      </c>
      <c r="F8" s="7">
        <v>0.3840277777777778</v>
      </c>
      <c r="G8" s="7">
        <v>0.43541666666666667</v>
      </c>
      <c r="H8" s="7">
        <v>0.48125000000000001</v>
      </c>
      <c r="I8" s="7">
        <v>0.53263888888888888</v>
      </c>
      <c r="J8" s="7">
        <v>0.57847222222222228</v>
      </c>
      <c r="K8" s="7">
        <v>0.62986111111111109</v>
      </c>
      <c r="L8" s="7">
        <v>0.67708333333333337</v>
      </c>
      <c r="M8" s="7">
        <v>0.72916666666666663</v>
      </c>
      <c r="N8" s="7">
        <v>0.77777777777777779</v>
      </c>
    </row>
    <row r="9" spans="1:27">
      <c r="A9" s="1" t="s">
        <v>14</v>
      </c>
      <c r="B9" s="6" t="s">
        <v>15</v>
      </c>
      <c r="C9" s="7">
        <v>0.24166666666666667</v>
      </c>
      <c r="D9" s="7">
        <v>0.2902777777777778</v>
      </c>
      <c r="E9" s="7">
        <v>0.33888888888888891</v>
      </c>
      <c r="F9" s="7">
        <v>0.38750000000000001</v>
      </c>
      <c r="G9" s="7">
        <v>0.43888888888888888</v>
      </c>
      <c r="H9" s="7">
        <v>0.48472222222222222</v>
      </c>
      <c r="I9" s="7">
        <v>0.53611111111111109</v>
      </c>
      <c r="J9" s="7">
        <v>0.58194444444444449</v>
      </c>
      <c r="K9" s="7">
        <v>0.6333333333333333</v>
      </c>
      <c r="L9" s="7">
        <v>0.68055555555555558</v>
      </c>
      <c r="M9" s="7">
        <v>0.73263888888888884</v>
      </c>
      <c r="N9" s="7">
        <v>0.78125</v>
      </c>
    </row>
    <row r="10" spans="1:27">
      <c r="A10" s="1" t="s">
        <v>12</v>
      </c>
      <c r="B10" s="6" t="s">
        <v>13</v>
      </c>
      <c r="C10" s="7">
        <v>0.24583333333333332</v>
      </c>
      <c r="D10" s="7">
        <v>0.29444444444444445</v>
      </c>
      <c r="E10" s="7">
        <v>0.34305555555555556</v>
      </c>
      <c r="F10" s="7">
        <v>0.39166666666666666</v>
      </c>
      <c r="G10" s="7">
        <v>0.44305555555555554</v>
      </c>
      <c r="H10" s="7">
        <v>0.48888888888888887</v>
      </c>
      <c r="I10" s="7">
        <v>0.54027777777777775</v>
      </c>
      <c r="J10" s="7">
        <v>0.58611111111111114</v>
      </c>
      <c r="K10" s="7">
        <v>0.63749999999999996</v>
      </c>
      <c r="L10" s="7">
        <v>0.68472222222222223</v>
      </c>
      <c r="M10" s="7">
        <v>0.7368055555555556</v>
      </c>
      <c r="N10" s="7">
        <v>0.78541666666666665</v>
      </c>
    </row>
    <row r="11" spans="1:27">
      <c r="A11" s="6" t="s">
        <v>107</v>
      </c>
      <c r="B11" s="6" t="s">
        <v>108</v>
      </c>
      <c r="C11" s="7">
        <v>0.25138888888888888</v>
      </c>
      <c r="D11" s="7">
        <v>0.3</v>
      </c>
      <c r="E11" s="7">
        <v>0.34861111111111109</v>
      </c>
      <c r="F11" s="7">
        <v>0.3972222222222222</v>
      </c>
      <c r="G11" s="7">
        <v>0.44861111111111113</v>
      </c>
      <c r="H11" s="7">
        <v>0.49444444444444446</v>
      </c>
      <c r="I11" s="7">
        <v>0.54583333333333328</v>
      </c>
      <c r="J11" s="7">
        <v>0.59166666666666667</v>
      </c>
      <c r="K11" s="7">
        <v>0.6430555555555556</v>
      </c>
      <c r="L11" s="7">
        <v>0.69027777777777777</v>
      </c>
      <c r="M11" s="7">
        <v>0.74236111111111114</v>
      </c>
      <c r="N11" s="7">
        <v>0.79097222222222219</v>
      </c>
    </row>
    <row r="12" spans="1:27">
      <c r="A12" s="6" t="s">
        <v>109</v>
      </c>
      <c r="B12" s="6" t="s">
        <v>110</v>
      </c>
      <c r="C12" s="7">
        <v>0.25555555555555554</v>
      </c>
      <c r="D12" s="7">
        <v>0.30416666666666664</v>
      </c>
      <c r="E12" s="7">
        <v>0.3527777777777778</v>
      </c>
      <c r="F12" s="7">
        <v>0.40138888888888891</v>
      </c>
      <c r="G12" s="7">
        <v>0.45277777777777778</v>
      </c>
      <c r="H12" s="7">
        <v>0.49861111111111112</v>
      </c>
      <c r="I12" s="7">
        <v>0.55000000000000004</v>
      </c>
      <c r="J12" s="7">
        <v>0.59583333333333333</v>
      </c>
      <c r="K12" s="7">
        <v>0.64722222222222225</v>
      </c>
      <c r="L12" s="7">
        <v>0.69444444444444442</v>
      </c>
      <c r="M12" s="7">
        <v>0.74652777777777779</v>
      </c>
      <c r="N12" s="7">
        <v>0.79513888888888884</v>
      </c>
    </row>
    <row r="13" spans="1:27">
      <c r="A13" s="1" t="s">
        <v>113</v>
      </c>
      <c r="B13" s="6" t="s">
        <v>114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27">
      <c r="A14" s="6" t="s">
        <v>115</v>
      </c>
      <c r="B14" s="6" t="s">
        <v>116</v>
      </c>
      <c r="C14" s="7">
        <v>0.26597222222222222</v>
      </c>
      <c r="D14" s="7">
        <v>0.31458333333333333</v>
      </c>
      <c r="E14" s="7">
        <v>0.36319444444444443</v>
      </c>
      <c r="F14" s="7">
        <v>0.41180555555555554</v>
      </c>
      <c r="G14" s="7">
        <v>0.46319444444444446</v>
      </c>
      <c r="H14" s="7">
        <v>0.50902777777777775</v>
      </c>
      <c r="I14" s="7">
        <v>0.56041666666666667</v>
      </c>
      <c r="J14" s="7">
        <v>0.60624999999999996</v>
      </c>
      <c r="K14" s="7">
        <v>0.65763888888888888</v>
      </c>
      <c r="L14" s="7">
        <v>0.70486111111111116</v>
      </c>
      <c r="M14" s="7">
        <v>0.75694444444444442</v>
      </c>
      <c r="N14" s="7">
        <v>0.80555555555555558</v>
      </c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7"/>
      <c r="T17" s="7"/>
    </row>
    <row r="18" spans="1:2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1"/>
    </row>
    <row r="21" spans="1:20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8"/>
    </row>
    <row r="25" spans="1:20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7"/>
    </row>
    <row r="26" spans="1:2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7"/>
    </row>
    <row r="27" spans="1:2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7"/>
    </row>
    <row r="28" spans="1:2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7"/>
    </row>
    <row r="29" spans="1:2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7"/>
    </row>
    <row r="30" spans="1:2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7"/>
    </row>
    <row r="31" spans="1:2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7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7"/>
    </row>
    <row r="33" spans="1:2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7"/>
    </row>
    <row r="34" spans="1:2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7"/>
    </row>
    <row r="35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DA7F34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356</v>
      </c>
      <c r="D2" s="130" t="s">
        <v>357</v>
      </c>
      <c r="E2" s="130" t="s">
        <v>366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115</v>
      </c>
      <c r="B3" s="4" t="s">
        <v>116</v>
      </c>
      <c r="C3" s="5">
        <v>0.2048611111111111</v>
      </c>
      <c r="D3" s="5">
        <v>0.31597222222222221</v>
      </c>
      <c r="E3" s="5">
        <v>0.69444444444444442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113</v>
      </c>
      <c r="B4" s="6" t="s">
        <v>114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109</v>
      </c>
      <c r="B5" s="6" t="s">
        <v>110</v>
      </c>
      <c r="C5" s="7">
        <v>0.21388888888888888</v>
      </c>
      <c r="D5" s="7">
        <v>0.32500000000000001</v>
      </c>
      <c r="E5" s="7">
        <v>0.70347222222222228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107</v>
      </c>
      <c r="B6" s="6" t="s">
        <v>108</v>
      </c>
      <c r="C6" s="7">
        <v>0.21805555555555556</v>
      </c>
      <c r="D6" s="7">
        <v>0.32916666666666666</v>
      </c>
      <c r="E6" s="7">
        <v>0.70763888888888893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12</v>
      </c>
      <c r="B7" s="6" t="s">
        <v>13</v>
      </c>
      <c r="C7" s="7">
        <v>0.22361111111111112</v>
      </c>
      <c r="D7" s="7">
        <v>0.3347222222222222</v>
      </c>
      <c r="E7" s="7">
        <v>0.71319444444444446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14</v>
      </c>
      <c r="B8" s="6" t="s">
        <v>15</v>
      </c>
      <c r="C8" s="7">
        <v>0.22777777777777777</v>
      </c>
      <c r="D8" s="7">
        <v>0.33888888888888891</v>
      </c>
      <c r="E8" s="7">
        <v>0.71736111111111112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16</v>
      </c>
      <c r="B9" s="6" t="s">
        <v>17</v>
      </c>
      <c r="C9" s="7">
        <v>0.23055555555555557</v>
      </c>
      <c r="D9" s="7">
        <v>0.34166666666666667</v>
      </c>
      <c r="E9" s="7">
        <v>0.72013888888888888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105</v>
      </c>
      <c r="B10" s="6" t="s">
        <v>106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18</v>
      </c>
      <c r="B11" s="6" t="s">
        <v>19</v>
      </c>
      <c r="C11" s="7">
        <v>0.2361111111111111</v>
      </c>
      <c r="D11" s="7">
        <v>0.34722222222222221</v>
      </c>
      <c r="E11" s="7">
        <v>0.72569444444444442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103</v>
      </c>
      <c r="B12" s="6" t="s">
        <v>104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20</v>
      </c>
      <c r="B13" s="6" t="s">
        <v>21</v>
      </c>
      <c r="C13" s="7">
        <v>0.23958333333333334</v>
      </c>
      <c r="D13" s="7">
        <v>0.35069444444444442</v>
      </c>
      <c r="E13" s="7">
        <v>0.72916666666666663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368</v>
      </c>
      <c r="B14" s="6" t="s">
        <v>369</v>
      </c>
      <c r="C14" s="7">
        <v>0.24652777777777779</v>
      </c>
      <c r="D14" s="7">
        <v>0.3576388888888889</v>
      </c>
      <c r="E14" s="7">
        <v>0.73611111111111116</v>
      </c>
      <c r="F14" s="7"/>
      <c r="G14" s="7"/>
      <c r="H14" s="7"/>
      <c r="I14" s="7"/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8"/>
      <c r="B16" s="8"/>
      <c r="C16" s="8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10"/>
      <c r="B17" s="9"/>
      <c r="C17" s="9"/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8"/>
      <c r="B18" s="8"/>
      <c r="C18" s="9"/>
      <c r="D18" s="9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1"/>
      <c r="C19" s="9"/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11"/>
      <c r="C20" s="11"/>
      <c r="D20" s="11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11"/>
      <c r="C21" s="11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DA7F34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370</v>
      </c>
      <c r="D2" s="130" t="s">
        <v>371</v>
      </c>
      <c r="E2" s="130" t="s">
        <v>379</v>
      </c>
      <c r="F2" s="130" t="s">
        <v>380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368</v>
      </c>
      <c r="B3" s="4" t="s">
        <v>369</v>
      </c>
      <c r="C3" s="5">
        <v>0.25694444444444442</v>
      </c>
      <c r="D3" s="5">
        <v>0.36805555555555558</v>
      </c>
      <c r="E3" s="5">
        <v>0.625</v>
      </c>
      <c r="F3" s="5">
        <v>0.75694444444444442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20</v>
      </c>
      <c r="B4" s="6" t="s">
        <v>21</v>
      </c>
      <c r="C4" s="7">
        <v>0.26111111111111113</v>
      </c>
      <c r="D4" s="7">
        <v>0.37222222222222223</v>
      </c>
      <c r="E4" s="7">
        <v>0.62916666666666665</v>
      </c>
      <c r="F4" s="7">
        <v>0.76111111111111107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103</v>
      </c>
      <c r="B5" s="6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18</v>
      </c>
      <c r="B6" s="6" t="s">
        <v>19</v>
      </c>
      <c r="C6" s="7">
        <v>0.26527777777777778</v>
      </c>
      <c r="D6" s="7">
        <v>0.37638888888888888</v>
      </c>
      <c r="E6" s="7">
        <v>0.6333333333333333</v>
      </c>
      <c r="F6" s="7">
        <v>0.76527777777777772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105</v>
      </c>
      <c r="B7" s="6" t="s">
        <v>106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16</v>
      </c>
      <c r="B8" s="6" t="s">
        <v>17</v>
      </c>
      <c r="C8" s="7">
        <v>0.27083333333333331</v>
      </c>
      <c r="D8" s="7">
        <v>0.38194444444444442</v>
      </c>
      <c r="E8" s="7">
        <v>0.63888888888888884</v>
      </c>
      <c r="F8" s="7">
        <v>0.77083333333333337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14</v>
      </c>
      <c r="B9" s="6" t="s">
        <v>15</v>
      </c>
      <c r="C9" s="7">
        <v>0.27430555555555558</v>
      </c>
      <c r="D9" s="7">
        <v>0.38541666666666669</v>
      </c>
      <c r="E9" s="7">
        <v>0.64236111111111116</v>
      </c>
      <c r="F9" s="7">
        <v>0.77430555555555558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12</v>
      </c>
      <c r="B10" s="6" t="s">
        <v>13</v>
      </c>
      <c r="C10" s="7">
        <v>0.27847222222222223</v>
      </c>
      <c r="D10" s="7">
        <v>0.38958333333333334</v>
      </c>
      <c r="E10" s="7">
        <v>0.64652777777777781</v>
      </c>
      <c r="F10" s="7">
        <v>0.77847222222222223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107</v>
      </c>
      <c r="B11" s="6" t="s">
        <v>108</v>
      </c>
      <c r="C11" s="7">
        <v>0.28402777777777777</v>
      </c>
      <c r="D11" s="7">
        <v>0.39513888888888887</v>
      </c>
      <c r="E11" s="7">
        <v>0.65208333333333335</v>
      </c>
      <c r="F11" s="7">
        <v>0.78402777777777777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109</v>
      </c>
      <c r="B12" s="6" t="s">
        <v>110</v>
      </c>
      <c r="C12" s="7">
        <v>0.28819444444444442</v>
      </c>
      <c r="D12" s="7">
        <v>0.39930555555555558</v>
      </c>
      <c r="E12" s="7">
        <v>0.65625</v>
      </c>
      <c r="F12" s="7">
        <v>0.78819444444444442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113</v>
      </c>
      <c r="B13" s="6" t="s">
        <v>114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115</v>
      </c>
      <c r="B14" s="6" t="s">
        <v>116</v>
      </c>
      <c r="C14" s="7">
        <v>0.2986111111111111</v>
      </c>
      <c r="D14" s="7">
        <v>0.40972222222222221</v>
      </c>
      <c r="E14" s="7">
        <v>0.66666666666666663</v>
      </c>
      <c r="F14" s="7">
        <v>0.79861111111111116</v>
      </c>
      <c r="G14" s="7"/>
      <c r="H14" s="7"/>
      <c r="I14" s="7"/>
      <c r="J14" s="7"/>
      <c r="K14" s="7"/>
    </row>
    <row r="15" spans="1:27">
      <c r="A15" s="1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8"/>
      <c r="B17" s="8"/>
      <c r="C17" s="8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10"/>
      <c r="B18" s="11"/>
      <c r="C18" s="9"/>
      <c r="D18" s="9"/>
      <c r="E18" s="9"/>
      <c r="F18" s="9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1"/>
      <c r="C19" s="9"/>
      <c r="D19" s="9"/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11"/>
      <c r="C21" s="11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22F1E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45922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7601</v>
      </c>
      <c r="D2" s="1">
        <v>7603</v>
      </c>
      <c r="E2" s="1">
        <v>7605</v>
      </c>
      <c r="F2" s="1">
        <v>7607</v>
      </c>
      <c r="G2" s="1">
        <v>7609</v>
      </c>
      <c r="H2" s="1">
        <v>7613</v>
      </c>
      <c r="I2" s="1">
        <v>7615</v>
      </c>
      <c r="J2" s="1">
        <v>7619</v>
      </c>
      <c r="K2" s="1">
        <v>7621</v>
      </c>
      <c r="L2" s="1">
        <v>7625</v>
      </c>
      <c r="M2" s="1">
        <v>7627</v>
      </c>
      <c r="N2" s="1">
        <v>7629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49</v>
      </c>
      <c r="B3" s="4" t="s">
        <v>152</v>
      </c>
      <c r="C3" s="5">
        <v>0.1875</v>
      </c>
      <c r="D3" s="5">
        <v>0.2326388888888889</v>
      </c>
      <c r="E3" s="5">
        <v>0.27083333333333331</v>
      </c>
      <c r="F3" s="5">
        <v>0.31597222222222221</v>
      </c>
      <c r="G3" s="5">
        <v>0.35416666666666669</v>
      </c>
      <c r="H3" s="5">
        <v>0.4375</v>
      </c>
      <c r="I3" s="5">
        <v>0.52083333333333337</v>
      </c>
      <c r="J3" s="5">
        <v>0.60416666666666663</v>
      </c>
      <c r="K3" s="5">
        <v>0.6875</v>
      </c>
      <c r="L3" s="5">
        <v>0.72222222222222221</v>
      </c>
      <c r="M3" s="5">
        <v>0.77083333333333337</v>
      </c>
      <c r="N3" s="5">
        <v>0.81944444444444442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1" t="s">
        <v>382</v>
      </c>
      <c r="B4" s="6" t="s">
        <v>383</v>
      </c>
      <c r="C4" s="7">
        <v>0.19930555555555554</v>
      </c>
      <c r="D4" s="7">
        <v>0.24444444444444444</v>
      </c>
      <c r="E4" s="7">
        <v>0.28263888888888888</v>
      </c>
      <c r="F4" s="7">
        <v>0.32777777777777772</v>
      </c>
      <c r="G4" s="7">
        <v>0.36597222222222225</v>
      </c>
      <c r="H4" s="7">
        <v>0.44930555555555551</v>
      </c>
      <c r="I4" s="7">
        <v>0.53263888888888888</v>
      </c>
      <c r="J4" s="7">
        <v>0.61597222222222214</v>
      </c>
      <c r="K4" s="7">
        <v>0.69930555555555551</v>
      </c>
      <c r="L4" s="7">
        <v>0.73402777777777772</v>
      </c>
      <c r="M4" s="7">
        <v>0.78263888888888888</v>
      </c>
      <c r="N4" s="7">
        <v>0.83124999999999993</v>
      </c>
      <c r="O4" s="7"/>
      <c r="P4" s="7"/>
      <c r="Q4" s="7"/>
      <c r="R4" s="7"/>
      <c r="S4" s="7"/>
      <c r="T4" s="7"/>
    </row>
    <row r="5" spans="1:27">
      <c r="A5" s="1" t="s">
        <v>384</v>
      </c>
      <c r="B5" s="6" t="s">
        <v>385</v>
      </c>
      <c r="C5" s="7">
        <v>0.21041666666666667</v>
      </c>
      <c r="D5" s="7">
        <v>0.25555555555555554</v>
      </c>
      <c r="E5" s="7">
        <v>0.29375000000000001</v>
      </c>
      <c r="F5" s="7">
        <v>0.33888888888888885</v>
      </c>
      <c r="G5" s="7">
        <v>0.37708333333333338</v>
      </c>
      <c r="H5" s="7">
        <v>0.46041666666666664</v>
      </c>
      <c r="I5" s="7">
        <v>0.54374999999999996</v>
      </c>
      <c r="J5" s="7">
        <v>0.62708333333333321</v>
      </c>
      <c r="K5" s="7">
        <v>0.7104166666666667</v>
      </c>
      <c r="L5" s="7">
        <v>0.7451388888888888</v>
      </c>
      <c r="M5" s="7">
        <v>0.79374999999999996</v>
      </c>
      <c r="N5" s="7">
        <v>0.84236111111111112</v>
      </c>
      <c r="O5" s="7"/>
      <c r="P5" s="7"/>
      <c r="Q5" s="7"/>
      <c r="R5" s="7"/>
      <c r="S5" s="7"/>
      <c r="T5" s="7"/>
    </row>
    <row r="6" spans="1:27">
      <c r="A6" s="6" t="s">
        <v>386</v>
      </c>
      <c r="B6" s="6" t="s">
        <v>387</v>
      </c>
      <c r="C6" s="7">
        <v>0.21388888888888888</v>
      </c>
      <c r="D6" s="7">
        <v>0.25902777777777775</v>
      </c>
      <c r="E6" s="7">
        <v>0.29722222222222222</v>
      </c>
      <c r="F6" s="7">
        <v>0.34236111111111106</v>
      </c>
      <c r="G6" s="7">
        <v>0.38055555555555559</v>
      </c>
      <c r="H6" s="7">
        <v>0.46388888888888885</v>
      </c>
      <c r="I6" s="7">
        <v>0.54722222222222217</v>
      </c>
      <c r="J6" s="7">
        <v>0.63055555555555542</v>
      </c>
      <c r="K6" s="7">
        <v>0.71388888888888891</v>
      </c>
      <c r="L6" s="7">
        <v>0.74861111111111101</v>
      </c>
      <c r="M6" s="7">
        <v>0.79722222222222217</v>
      </c>
      <c r="N6" s="7">
        <v>0.84583333333333333</v>
      </c>
      <c r="O6" s="7"/>
      <c r="P6" s="7"/>
      <c r="Q6" s="7"/>
      <c r="R6" s="7"/>
      <c r="S6" s="7"/>
      <c r="T6" s="7"/>
    </row>
    <row r="7" spans="1:27">
      <c r="A7" s="6" t="s">
        <v>388</v>
      </c>
      <c r="B7" s="6" t="s">
        <v>389</v>
      </c>
      <c r="C7" s="7">
        <v>0.21666666666666665</v>
      </c>
      <c r="D7" s="7">
        <v>0.26180555555555551</v>
      </c>
      <c r="E7" s="7">
        <v>0.3</v>
      </c>
      <c r="F7" s="7">
        <v>0.34513888888888883</v>
      </c>
      <c r="G7" s="7">
        <v>0.38333333333333336</v>
      </c>
      <c r="H7" s="7">
        <v>0.46666666666666662</v>
      </c>
      <c r="I7" s="7">
        <v>0.54999999999999993</v>
      </c>
      <c r="J7" s="7">
        <v>0.63333333333333319</v>
      </c>
      <c r="K7" s="7">
        <v>0.71666666666666667</v>
      </c>
      <c r="L7" s="7">
        <v>0.75138888888888877</v>
      </c>
      <c r="M7" s="7">
        <v>0.79999999999999993</v>
      </c>
      <c r="N7" s="7">
        <v>0.84861111111111109</v>
      </c>
      <c r="O7" s="7"/>
      <c r="P7" s="7"/>
      <c r="Q7" s="7"/>
      <c r="R7" s="7"/>
      <c r="S7" s="7"/>
      <c r="T7" s="7"/>
    </row>
    <row r="8" spans="1:27">
      <c r="A8" s="6" t="s">
        <v>390</v>
      </c>
      <c r="B8" s="6" t="s">
        <v>391</v>
      </c>
      <c r="C8" s="7">
        <v>0.22083333333333335</v>
      </c>
      <c r="D8" s="7">
        <v>0.26597222222222222</v>
      </c>
      <c r="E8" s="7">
        <v>0.3041666666666667</v>
      </c>
      <c r="F8" s="7">
        <v>0.34930555555555554</v>
      </c>
      <c r="G8" s="7">
        <v>0.38750000000000007</v>
      </c>
      <c r="H8" s="7">
        <v>0.47083333333333333</v>
      </c>
      <c r="I8" s="7">
        <v>0.5541666666666667</v>
      </c>
      <c r="J8" s="7">
        <v>0.63749999999999996</v>
      </c>
      <c r="K8" s="7">
        <v>0.72083333333333344</v>
      </c>
      <c r="L8" s="7">
        <v>0.75555555555555554</v>
      </c>
      <c r="M8" s="7">
        <v>0.8041666666666667</v>
      </c>
      <c r="N8" s="7">
        <v>0.85277777777777786</v>
      </c>
      <c r="O8" s="7"/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1"/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8"/>
      <c r="C17" s="7"/>
      <c r="D17" s="8"/>
      <c r="E17" s="8"/>
      <c r="F17" s="8"/>
      <c r="G17" s="8"/>
      <c r="H17" s="8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10"/>
      <c r="B18" s="11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1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11"/>
      <c r="C20" s="11"/>
      <c r="D20" s="11"/>
      <c r="E20" s="11"/>
      <c r="F20" s="11"/>
      <c r="G20" s="11"/>
      <c r="H20" s="11"/>
      <c r="I20" s="1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11"/>
      <c r="C21" s="11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C22F1E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'GERM-to-KWESI_Weekday'!B1</f>
        <v>45922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7600</v>
      </c>
      <c r="D2" s="1">
        <v>7602</v>
      </c>
      <c r="E2" s="1">
        <v>7604</v>
      </c>
      <c r="F2" s="1">
        <v>7606</v>
      </c>
      <c r="G2" s="1">
        <v>7608</v>
      </c>
      <c r="H2" s="1">
        <v>7610</v>
      </c>
      <c r="I2" s="1">
        <v>7612</v>
      </c>
      <c r="J2" s="1">
        <v>7616</v>
      </c>
      <c r="K2" s="1">
        <v>7618</v>
      </c>
      <c r="L2" s="1">
        <v>7620</v>
      </c>
      <c r="M2" s="1">
        <v>7622</v>
      </c>
      <c r="N2" s="1">
        <v>7626</v>
      </c>
      <c r="O2" s="1">
        <v>7628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390</v>
      </c>
      <c r="B3" s="4" t="s">
        <v>391</v>
      </c>
      <c r="C3" s="5">
        <v>0.14583333333333334</v>
      </c>
      <c r="D3" s="5">
        <v>0.19097222222222221</v>
      </c>
      <c r="E3" s="5">
        <v>0.23055555555555557</v>
      </c>
      <c r="F3" s="5">
        <v>0.27430555555555558</v>
      </c>
      <c r="G3" s="5">
        <v>0.31458333333333333</v>
      </c>
      <c r="H3" s="5">
        <v>0.3576388888888889</v>
      </c>
      <c r="I3" s="5">
        <v>0.39583333333333331</v>
      </c>
      <c r="J3" s="5">
        <v>0.47916666666666669</v>
      </c>
      <c r="K3" s="5">
        <v>0.56111111111111112</v>
      </c>
      <c r="L3" s="5">
        <v>0.64444444444444449</v>
      </c>
      <c r="M3" s="5">
        <v>0.72777777777777775</v>
      </c>
      <c r="N3" s="5">
        <v>0.77430555555555558</v>
      </c>
      <c r="O3" s="5">
        <v>0.81944444444444442</v>
      </c>
      <c r="P3" s="5"/>
      <c r="Q3" s="5"/>
      <c r="R3" s="5"/>
      <c r="S3" s="5"/>
      <c r="T3" s="5"/>
    </row>
    <row r="4" spans="1:27">
      <c r="A4" s="1" t="s">
        <v>388</v>
      </c>
      <c r="B4" s="6" t="s">
        <v>389</v>
      </c>
      <c r="C4" s="7">
        <v>0.14930555555555555</v>
      </c>
      <c r="D4" s="7">
        <v>0.19444444444444442</v>
      </c>
      <c r="E4" s="7">
        <v>0.23402777777777778</v>
      </c>
      <c r="F4" s="7">
        <v>0.27777777777777779</v>
      </c>
      <c r="G4" s="7">
        <v>0.31805555555555554</v>
      </c>
      <c r="H4" s="7">
        <v>0.3611111111111111</v>
      </c>
      <c r="I4" s="7">
        <v>0.39930555555555552</v>
      </c>
      <c r="J4" s="7">
        <v>0.4826388888888889</v>
      </c>
      <c r="K4" s="7">
        <v>0.56458333333333333</v>
      </c>
      <c r="L4" s="7">
        <v>0.6479166666666667</v>
      </c>
      <c r="M4" s="7">
        <v>0.73124999999999996</v>
      </c>
      <c r="N4" s="7">
        <v>0.77777777777777779</v>
      </c>
      <c r="O4" s="7">
        <v>0.82291666666666663</v>
      </c>
      <c r="P4" s="7"/>
      <c r="Q4" s="7"/>
      <c r="R4" s="7"/>
      <c r="S4" s="7"/>
      <c r="T4" s="7"/>
    </row>
    <row r="5" spans="1:27">
      <c r="A5" s="1" t="s">
        <v>386</v>
      </c>
      <c r="B5" s="6" t="s">
        <v>387</v>
      </c>
      <c r="C5" s="7">
        <v>0.15208333333333338</v>
      </c>
      <c r="D5" s="7">
        <v>0.19722222222222224</v>
      </c>
      <c r="E5" s="7">
        <v>0.2368055555555556</v>
      </c>
      <c r="F5" s="7">
        <v>0.28055555555555561</v>
      </c>
      <c r="G5" s="7">
        <v>0.32083333333333336</v>
      </c>
      <c r="H5" s="7">
        <v>0.36388888888888893</v>
      </c>
      <c r="I5" s="7">
        <v>0.40208333333333335</v>
      </c>
      <c r="J5" s="7">
        <v>0.48541666666666672</v>
      </c>
      <c r="K5" s="7">
        <v>0.5673611111111112</v>
      </c>
      <c r="L5" s="7">
        <v>0.65069444444444446</v>
      </c>
      <c r="M5" s="7">
        <v>0.73402777777777772</v>
      </c>
      <c r="N5" s="7">
        <v>0.78055555555555567</v>
      </c>
      <c r="O5" s="7">
        <v>0.82569444444444451</v>
      </c>
      <c r="P5" s="7"/>
      <c r="Q5" s="7"/>
      <c r="R5" s="7"/>
      <c r="S5" s="7"/>
      <c r="T5" s="7"/>
    </row>
    <row r="6" spans="1:27">
      <c r="A6" s="6" t="s">
        <v>384</v>
      </c>
      <c r="B6" s="6" t="s">
        <v>385</v>
      </c>
      <c r="C6" s="7">
        <v>0.15486111111111114</v>
      </c>
      <c r="D6" s="7">
        <v>0.2</v>
      </c>
      <c r="E6" s="7">
        <v>0.23958333333333337</v>
      </c>
      <c r="F6" s="7">
        <v>0.28333333333333338</v>
      </c>
      <c r="G6" s="7">
        <v>0.32361111111111113</v>
      </c>
      <c r="H6" s="7">
        <v>0.3666666666666667</v>
      </c>
      <c r="I6" s="7">
        <v>0.40486111111111112</v>
      </c>
      <c r="J6" s="7">
        <v>0.48819444444444449</v>
      </c>
      <c r="K6" s="7">
        <v>0.57013888888888897</v>
      </c>
      <c r="L6" s="7">
        <v>0.65347222222222223</v>
      </c>
      <c r="M6" s="7">
        <v>0.73680555555555549</v>
      </c>
      <c r="N6" s="7">
        <v>0.78333333333333344</v>
      </c>
      <c r="O6" s="7">
        <v>0.82847222222222228</v>
      </c>
      <c r="P6" s="7"/>
      <c r="Q6" s="7"/>
      <c r="R6" s="7"/>
      <c r="S6" s="7"/>
      <c r="T6" s="7"/>
    </row>
    <row r="7" spans="1:27">
      <c r="A7" s="6" t="s">
        <v>382</v>
      </c>
      <c r="B7" s="6" t="s">
        <v>383</v>
      </c>
      <c r="C7" s="7">
        <v>0.16666666666666671</v>
      </c>
      <c r="D7" s="7">
        <v>0.21180555555555558</v>
      </c>
      <c r="E7" s="7">
        <v>0.25138888888888894</v>
      </c>
      <c r="F7" s="7">
        <v>0.29513888888888895</v>
      </c>
      <c r="G7" s="7">
        <v>0.3354166666666667</v>
      </c>
      <c r="H7" s="7">
        <v>0.37847222222222227</v>
      </c>
      <c r="I7" s="7">
        <v>0.41666666666666669</v>
      </c>
      <c r="J7" s="7">
        <v>0.5</v>
      </c>
      <c r="K7" s="7">
        <v>0.5819444444444446</v>
      </c>
      <c r="L7" s="7">
        <v>0.66527777777777786</v>
      </c>
      <c r="M7" s="7">
        <v>0.74861111111111112</v>
      </c>
      <c r="N7" s="7">
        <v>0.79513888888888906</v>
      </c>
      <c r="O7" s="7">
        <v>0.8402777777777779</v>
      </c>
      <c r="P7" s="7"/>
      <c r="Q7" s="7"/>
      <c r="R7" s="7"/>
      <c r="S7" s="7"/>
      <c r="T7" s="7"/>
    </row>
    <row r="8" spans="1:27">
      <c r="A8" s="6" t="s">
        <v>49</v>
      </c>
      <c r="B8" s="6" t="s">
        <v>152</v>
      </c>
      <c r="C8" s="7">
        <v>0.17916666666666667</v>
      </c>
      <c r="D8" s="7">
        <v>0.22430555555555554</v>
      </c>
      <c r="E8" s="7">
        <v>0.2638888888888889</v>
      </c>
      <c r="F8" s="7">
        <v>0.30763888888888891</v>
      </c>
      <c r="G8" s="7">
        <v>0.34791666666666665</v>
      </c>
      <c r="H8" s="7">
        <v>0.39097222222222222</v>
      </c>
      <c r="I8" s="7">
        <v>0.42916666666666664</v>
      </c>
      <c r="J8" s="7">
        <v>0.51249999999999996</v>
      </c>
      <c r="K8" s="7">
        <v>0.59444444444444455</v>
      </c>
      <c r="L8" s="7">
        <v>0.67777777777777781</v>
      </c>
      <c r="M8" s="7">
        <v>0.76111111111111107</v>
      </c>
      <c r="N8" s="7">
        <v>0.80763888888888902</v>
      </c>
      <c r="O8" s="7">
        <v>0.85277777777777786</v>
      </c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B14" s="1"/>
      <c r="C14" s="7"/>
      <c r="D14" s="7"/>
      <c r="E14" s="7"/>
      <c r="F14" s="7"/>
      <c r="G14" s="7"/>
      <c r="H14" s="7"/>
      <c r="K14" s="7"/>
    </row>
    <row r="15" spans="1:27">
      <c r="B15" s="1"/>
      <c r="C15" s="7"/>
      <c r="D15" s="7"/>
      <c r="E15" s="7"/>
      <c r="F15" s="7"/>
      <c r="G15" s="7"/>
      <c r="H15" s="7"/>
      <c r="K15" s="7"/>
    </row>
    <row r="16" spans="1:27">
      <c r="C16" s="7"/>
      <c r="D16" s="7"/>
      <c r="E16" s="7"/>
      <c r="F16" s="7"/>
      <c r="G16" s="7"/>
      <c r="H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C17" s="7"/>
      <c r="D17" s="7"/>
      <c r="E17" s="7"/>
      <c r="F17" s="7"/>
      <c r="G17" s="7"/>
      <c r="H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22F1E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129" t="s">
        <v>135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7603</v>
      </c>
      <c r="D2" s="1">
        <v>7605</v>
      </c>
      <c r="E2" s="1">
        <v>7641</v>
      </c>
      <c r="F2" s="1">
        <v>7643</v>
      </c>
      <c r="G2" s="1">
        <v>7645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49</v>
      </c>
      <c r="B3" s="4" t="s">
        <v>152</v>
      </c>
      <c r="C3" s="5">
        <v>0.23958333333333334</v>
      </c>
      <c r="D3" s="5">
        <v>0.3263888888888889</v>
      </c>
      <c r="E3" s="5">
        <v>0.60069444444444442</v>
      </c>
      <c r="F3" s="5">
        <v>0.68402777777777779</v>
      </c>
      <c r="G3" s="5">
        <v>0.77083333333333337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382</v>
      </c>
      <c r="B4" s="6" t="s">
        <v>383</v>
      </c>
      <c r="C4" s="7">
        <v>0.25138888888888888</v>
      </c>
      <c r="D4" s="7">
        <v>0.33819444444444446</v>
      </c>
      <c r="E4" s="7">
        <v>0.61249999999999993</v>
      </c>
      <c r="F4" s="7">
        <v>0.6958333333333333</v>
      </c>
      <c r="G4" s="7">
        <v>0.78263888888888888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384</v>
      </c>
      <c r="B5" s="6" t="s">
        <v>385</v>
      </c>
      <c r="C5" s="7">
        <v>0.26250000000000001</v>
      </c>
      <c r="D5" s="7">
        <v>0.34930555555555559</v>
      </c>
      <c r="E5" s="7">
        <v>0.62361111111111112</v>
      </c>
      <c r="F5" s="7">
        <v>0.70694444444444438</v>
      </c>
      <c r="G5" s="7">
        <v>0.79374999999999996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386</v>
      </c>
      <c r="B6" s="6" t="s">
        <v>387</v>
      </c>
      <c r="C6" s="7">
        <v>0.26597222222222222</v>
      </c>
      <c r="D6" s="7">
        <v>0.3527777777777778</v>
      </c>
      <c r="E6" s="7">
        <v>0.62708333333333333</v>
      </c>
      <c r="F6" s="7">
        <v>0.71041666666666659</v>
      </c>
      <c r="G6" s="7">
        <v>0.79722222222222217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388</v>
      </c>
      <c r="B7" s="6" t="s">
        <v>389</v>
      </c>
      <c r="C7" s="7">
        <v>0.26874999999999999</v>
      </c>
      <c r="D7" s="7">
        <v>0.35555555555555557</v>
      </c>
      <c r="E7" s="7">
        <v>0.62986111111111109</v>
      </c>
      <c r="F7" s="7">
        <v>0.71319444444444435</v>
      </c>
      <c r="G7" s="7">
        <v>0.79999999999999993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390</v>
      </c>
      <c r="B8" s="6" t="s">
        <v>391</v>
      </c>
      <c r="C8" s="7">
        <v>0.2729166666666667</v>
      </c>
      <c r="D8" s="7">
        <v>0.35972222222222228</v>
      </c>
      <c r="E8" s="7">
        <v>0.63402777777777786</v>
      </c>
      <c r="F8" s="7">
        <v>0.71736111111111112</v>
      </c>
      <c r="G8" s="7">
        <v>0.8041666666666667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6" spans="1:2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8"/>
      <c r="Q20" s="8"/>
      <c r="R20" s="8"/>
      <c r="S20" s="8"/>
      <c r="T20" s="8"/>
    </row>
    <row r="21" spans="1:20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A36" s="10"/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C22F1E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'GERM-to-KWESI_Sat'!B1</f>
        <v>Unspecified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7602</v>
      </c>
      <c r="D2" s="1">
        <v>7604</v>
      </c>
      <c r="E2" s="1">
        <v>7606</v>
      </c>
      <c r="F2" s="1">
        <v>7642</v>
      </c>
      <c r="G2" s="1">
        <v>7644</v>
      </c>
      <c r="H2" s="1">
        <v>7648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390</v>
      </c>
      <c r="B3" s="4" t="s">
        <v>391</v>
      </c>
      <c r="C3" s="5">
        <v>0.19791666666666666</v>
      </c>
      <c r="D3" s="5">
        <v>0.28125</v>
      </c>
      <c r="E3" s="5">
        <v>0.36805555555555558</v>
      </c>
      <c r="F3" s="5">
        <v>0.64236111111111116</v>
      </c>
      <c r="G3" s="5">
        <v>0.72569444444444442</v>
      </c>
      <c r="H3" s="5">
        <v>0.8125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388</v>
      </c>
      <c r="B4" s="6" t="s">
        <v>389</v>
      </c>
      <c r="C4" s="7">
        <v>0.20138888888888887</v>
      </c>
      <c r="D4" s="7">
        <v>0.28472222222222221</v>
      </c>
      <c r="E4" s="7">
        <v>0.37152777777777779</v>
      </c>
      <c r="F4" s="7">
        <v>0.64583333333333337</v>
      </c>
      <c r="G4" s="7">
        <v>0.72916666666666663</v>
      </c>
      <c r="H4" s="7">
        <v>0.81597222222222221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386</v>
      </c>
      <c r="B5" s="6" t="s">
        <v>387</v>
      </c>
      <c r="C5" s="7">
        <v>0.20416666666666669</v>
      </c>
      <c r="D5" s="7">
        <v>0.28750000000000003</v>
      </c>
      <c r="E5" s="7">
        <v>0.37430555555555561</v>
      </c>
      <c r="F5" s="7">
        <v>0.64861111111111125</v>
      </c>
      <c r="G5" s="7">
        <v>0.73194444444444451</v>
      </c>
      <c r="H5" s="7">
        <v>0.81875000000000009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384</v>
      </c>
      <c r="B6" s="6" t="s">
        <v>385</v>
      </c>
      <c r="C6" s="7">
        <v>0.20694444444444446</v>
      </c>
      <c r="D6" s="7">
        <v>0.2902777777777778</v>
      </c>
      <c r="E6" s="7">
        <v>0.37708333333333338</v>
      </c>
      <c r="F6" s="7">
        <v>0.65138888888888902</v>
      </c>
      <c r="G6" s="7">
        <v>0.73472222222222228</v>
      </c>
      <c r="H6" s="7">
        <v>0.82152777777777786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382</v>
      </c>
      <c r="B7" s="6" t="s">
        <v>383</v>
      </c>
      <c r="C7" s="7">
        <v>0.21875000000000003</v>
      </c>
      <c r="D7" s="7">
        <v>0.30208333333333337</v>
      </c>
      <c r="E7" s="7">
        <v>0.38888888888888895</v>
      </c>
      <c r="F7" s="7">
        <v>0.66319444444444464</v>
      </c>
      <c r="G7" s="7">
        <v>0.7465277777777779</v>
      </c>
      <c r="H7" s="7">
        <v>0.83333333333333348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49</v>
      </c>
      <c r="B8" s="6" t="s">
        <v>152</v>
      </c>
      <c r="C8" s="7">
        <v>0.23124999999999998</v>
      </c>
      <c r="D8" s="7">
        <v>0.31458333333333333</v>
      </c>
      <c r="E8" s="7">
        <v>0.40138888888888891</v>
      </c>
      <c r="F8" s="7">
        <v>0.6756944444444446</v>
      </c>
      <c r="G8" s="7">
        <v>0.75902777777777786</v>
      </c>
      <c r="H8" s="7">
        <v>0.84583333333333344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2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2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4A853"/>
    <outlinePr summaryBelow="0" summaryRight="0"/>
  </sheetPr>
  <dimension ref="A1:AA62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46008</v>
      </c>
      <c r="C1" s="83" t="s">
        <v>231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392</v>
      </c>
      <c r="D2" s="130" t="s">
        <v>393</v>
      </c>
      <c r="E2" s="130" t="s">
        <v>394</v>
      </c>
      <c r="F2" s="130" t="s">
        <v>395</v>
      </c>
      <c r="G2" s="130" t="s">
        <v>396</v>
      </c>
      <c r="H2" s="130" t="s">
        <v>397</v>
      </c>
      <c r="I2" s="130" t="s">
        <v>398</v>
      </c>
      <c r="J2" s="130" t="s">
        <v>399</v>
      </c>
      <c r="K2" s="130" t="s">
        <v>400</v>
      </c>
      <c r="L2" s="130" t="s">
        <v>401</v>
      </c>
      <c r="M2" s="130" t="s">
        <v>402</v>
      </c>
      <c r="N2" s="130" t="s">
        <v>403</v>
      </c>
      <c r="O2" s="130" t="s">
        <v>404</v>
      </c>
      <c r="P2" s="130" t="s">
        <v>405</v>
      </c>
      <c r="Q2" s="130" t="s">
        <v>406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/>
      <c r="D3" s="5">
        <v>0.25</v>
      </c>
      <c r="E3" s="5"/>
      <c r="F3" s="5">
        <v>0.33680555555555558</v>
      </c>
      <c r="G3" s="5"/>
      <c r="H3" s="5">
        <v>0.41666666666666669</v>
      </c>
      <c r="I3" s="5"/>
      <c r="J3" s="5">
        <v>0.5</v>
      </c>
      <c r="K3" s="5"/>
      <c r="L3" s="5">
        <v>0.60416666666666663</v>
      </c>
      <c r="M3" s="5"/>
      <c r="N3" s="5">
        <v>0.6875</v>
      </c>
      <c r="O3" s="5"/>
      <c r="P3" s="5">
        <v>0.77083333333333337</v>
      </c>
      <c r="Q3" s="5"/>
      <c r="R3" s="5"/>
      <c r="S3" s="5"/>
      <c r="T3" s="5"/>
    </row>
    <row r="4" spans="1:27">
      <c r="A4" s="1" t="s">
        <v>408</v>
      </c>
      <c r="B4" s="6" t="s">
        <v>409</v>
      </c>
      <c r="C4" s="146"/>
      <c r="D4" s="146">
        <f>D3+TIME(0,7,0)</f>
        <v>0.25486111111111109</v>
      </c>
      <c r="E4" s="146"/>
      <c r="F4" s="146">
        <f>F3+TIME(0,7,0)</f>
        <v>0.34166666666666667</v>
      </c>
      <c r="G4" s="146"/>
      <c r="H4" s="146">
        <f>H3+TIME(0,7,0)</f>
        <v>0.42152777777777778</v>
      </c>
      <c r="I4" s="146"/>
      <c r="J4" s="146">
        <f>J3+TIME(0,7,0)</f>
        <v>0.50486111111111109</v>
      </c>
      <c r="K4" s="146"/>
      <c r="L4" s="146">
        <f>L3+TIME(0,7,0)</f>
        <v>0.60902777777777772</v>
      </c>
      <c r="M4" s="146"/>
      <c r="N4" s="146">
        <f>N3+TIME(0,7,0)</f>
        <v>0.69236111111111109</v>
      </c>
      <c r="O4" s="146"/>
      <c r="P4" s="146">
        <f>P3+TIME(0,7,0)</f>
        <v>0.77569444444444446</v>
      </c>
      <c r="Q4" s="146"/>
      <c r="R4" s="7"/>
      <c r="S4" s="7"/>
      <c r="T4" s="7"/>
    </row>
    <row r="5" spans="1:27">
      <c r="A5" s="1" t="s">
        <v>410</v>
      </c>
      <c r="B5" s="6" t="s">
        <v>411</v>
      </c>
      <c r="C5" s="7"/>
      <c r="D5" s="7">
        <v>0.25833333333333336</v>
      </c>
      <c r="E5" s="7"/>
      <c r="F5" s="7">
        <v>0.34236111111111112</v>
      </c>
      <c r="G5" s="7"/>
      <c r="H5" s="7">
        <v>0.42499999999999999</v>
      </c>
      <c r="I5" s="7"/>
      <c r="J5" s="7">
        <v>0.5083333333333333</v>
      </c>
      <c r="K5" s="7"/>
      <c r="L5" s="7">
        <v>0.61250000000000004</v>
      </c>
      <c r="M5" s="7"/>
      <c r="N5" s="7">
        <v>0.6958333333333333</v>
      </c>
      <c r="O5" s="7"/>
      <c r="P5" s="7">
        <v>0.77916666666666667</v>
      </c>
      <c r="Q5" s="7"/>
      <c r="R5" s="7"/>
      <c r="S5" s="7"/>
      <c r="T5" s="7"/>
    </row>
    <row r="6" spans="1:27">
      <c r="A6" s="6" t="s">
        <v>412</v>
      </c>
      <c r="B6" s="6" t="s">
        <v>413</v>
      </c>
      <c r="C6" s="7"/>
      <c r="D6" s="7">
        <v>0.26111111111111113</v>
      </c>
      <c r="E6" s="7"/>
      <c r="F6" s="7">
        <v>0.34444444444444444</v>
      </c>
      <c r="G6" s="7"/>
      <c r="H6" s="7">
        <v>0.42777777777777776</v>
      </c>
      <c r="I6" s="7"/>
      <c r="J6" s="7">
        <v>0.51111111111111107</v>
      </c>
      <c r="K6" s="7"/>
      <c r="L6" s="7">
        <v>0.61527777777777781</v>
      </c>
      <c r="M6" s="7"/>
      <c r="N6" s="7">
        <v>0.69861111111111107</v>
      </c>
      <c r="O6" s="7"/>
      <c r="P6" s="7">
        <v>0.78194444444444444</v>
      </c>
      <c r="Q6" s="7"/>
      <c r="R6" s="7"/>
      <c r="S6" s="7"/>
      <c r="T6" s="7"/>
    </row>
    <row r="7" spans="1:27">
      <c r="A7" s="6" t="s">
        <v>414</v>
      </c>
      <c r="B7" s="6" t="s">
        <v>415</v>
      </c>
      <c r="C7" s="7"/>
      <c r="D7" s="7">
        <v>0.26319444444444445</v>
      </c>
      <c r="E7" s="7"/>
      <c r="F7" s="7">
        <v>0.34722222222222221</v>
      </c>
      <c r="G7" s="7"/>
      <c r="H7" s="7">
        <v>0.42986111111111114</v>
      </c>
      <c r="I7" s="7"/>
      <c r="J7" s="7">
        <v>0.5131944444444444</v>
      </c>
      <c r="K7" s="7"/>
      <c r="L7" s="7">
        <v>0.61736111111111114</v>
      </c>
      <c r="M7" s="7"/>
      <c r="N7" s="7">
        <v>0.7006944444444444</v>
      </c>
      <c r="O7" s="7"/>
      <c r="P7" s="7">
        <v>0.78402777777777777</v>
      </c>
      <c r="Q7" s="7"/>
      <c r="R7" s="7"/>
      <c r="S7" s="7"/>
      <c r="T7" s="7"/>
    </row>
    <row r="8" spans="1:27">
      <c r="A8" s="6" t="s">
        <v>416</v>
      </c>
      <c r="B8" s="6" t="s">
        <v>417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418</v>
      </c>
      <c r="B9" s="6" t="s">
        <v>419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420</v>
      </c>
      <c r="B10" s="6" t="s">
        <v>421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422</v>
      </c>
      <c r="B11" s="6" t="s">
        <v>423</v>
      </c>
      <c r="C11" s="7"/>
      <c r="D11" s="7">
        <v>0.27013888888888887</v>
      </c>
      <c r="E11" s="7"/>
      <c r="F11" s="7">
        <v>0.35347222222222224</v>
      </c>
      <c r="G11" s="7"/>
      <c r="H11" s="7">
        <v>0.43680555555555556</v>
      </c>
      <c r="I11" s="7"/>
      <c r="J11" s="7">
        <v>0.52013888888888893</v>
      </c>
      <c r="K11" s="7"/>
      <c r="L11" s="7">
        <v>0.62430555555555556</v>
      </c>
      <c r="M11" s="7"/>
      <c r="N11" s="7">
        <v>0.70763888888888893</v>
      </c>
      <c r="O11" s="7"/>
      <c r="P11" s="7">
        <v>0.79097222222222219</v>
      </c>
      <c r="Q11" s="7"/>
      <c r="R11" s="7"/>
      <c r="S11" s="7"/>
      <c r="T11" s="7"/>
    </row>
    <row r="12" spans="1:27">
      <c r="A12" s="6" t="s">
        <v>424</v>
      </c>
      <c r="B12" s="6" t="s">
        <v>425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426</v>
      </c>
      <c r="B13" s="6" t="s">
        <v>427</v>
      </c>
      <c r="C13" s="7"/>
      <c r="D13" s="7">
        <v>0.27500000000000002</v>
      </c>
      <c r="E13" s="7"/>
      <c r="F13" s="7">
        <v>0.35833333333333334</v>
      </c>
      <c r="G13" s="7"/>
      <c r="H13" s="7">
        <v>0.44166666666666665</v>
      </c>
      <c r="I13" s="7"/>
      <c r="J13" s="7">
        <v>0.52500000000000002</v>
      </c>
      <c r="K13" s="7"/>
      <c r="L13" s="7">
        <v>0.62916666666666665</v>
      </c>
      <c r="M13" s="7"/>
      <c r="N13" s="7">
        <v>0.71250000000000002</v>
      </c>
      <c r="O13" s="7"/>
      <c r="P13" s="7">
        <v>0.79583333333333328</v>
      </c>
      <c r="Q13" s="7"/>
      <c r="R13" s="7"/>
      <c r="S13" s="7"/>
      <c r="T13" s="7"/>
    </row>
    <row r="14" spans="1:27">
      <c r="A14" s="6" t="s">
        <v>428</v>
      </c>
      <c r="B14" s="6" t="s">
        <v>429</v>
      </c>
      <c r="C14" s="7"/>
      <c r="D14" s="7">
        <v>0.27777777777777779</v>
      </c>
      <c r="E14" s="7"/>
      <c r="F14" s="7">
        <v>0.3611111111111111</v>
      </c>
      <c r="G14" s="7"/>
      <c r="H14" s="7">
        <v>0.44444444444444442</v>
      </c>
      <c r="I14" s="7"/>
      <c r="J14" s="7">
        <v>0.52777777777777779</v>
      </c>
      <c r="K14" s="7"/>
      <c r="L14" s="7">
        <v>0.63194444444444442</v>
      </c>
      <c r="M14" s="7"/>
      <c r="N14" s="7">
        <v>0.71527777777777779</v>
      </c>
      <c r="O14" s="7"/>
      <c r="P14" s="7">
        <v>0.79861111111111116</v>
      </c>
      <c r="Q14" s="7"/>
    </row>
    <row r="15" spans="1:27">
      <c r="A15" s="1" t="s">
        <v>430</v>
      </c>
      <c r="B15" s="6" t="s">
        <v>431</v>
      </c>
      <c r="C15" s="7"/>
      <c r="D15" s="7">
        <v>0.28125</v>
      </c>
      <c r="E15" s="7"/>
      <c r="F15" s="7">
        <v>0.36458333333333331</v>
      </c>
      <c r="G15" s="7"/>
      <c r="H15" s="7">
        <v>0.44791666666666669</v>
      </c>
      <c r="I15" s="7"/>
      <c r="J15" s="7">
        <v>0.53125</v>
      </c>
      <c r="K15" s="7"/>
      <c r="L15" s="7">
        <v>0.63541666666666663</v>
      </c>
      <c r="M15" s="7"/>
      <c r="N15" s="7">
        <v>0.71875</v>
      </c>
      <c r="O15" s="7"/>
      <c r="P15" s="7">
        <v>0.80208333333333337</v>
      </c>
      <c r="Q15" s="7"/>
    </row>
    <row r="16" spans="1:27">
      <c r="A16" s="6" t="s">
        <v>432</v>
      </c>
      <c r="B16" s="6" t="s">
        <v>433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7">
      <c r="A17" s="147" t="s">
        <v>434</v>
      </c>
      <c r="B17" s="147" t="s">
        <v>435</v>
      </c>
      <c r="C17" s="148">
        <v>0.20833333333333334</v>
      </c>
      <c r="D17" s="148">
        <v>0.28472222222222221</v>
      </c>
      <c r="E17" s="148">
        <v>0.29166666666666669</v>
      </c>
      <c r="F17" s="148">
        <v>0.36805555555555558</v>
      </c>
      <c r="G17" s="148">
        <v>0.375</v>
      </c>
      <c r="H17" s="148">
        <v>0.4513888888888889</v>
      </c>
      <c r="I17" s="148">
        <v>0.45833333333333331</v>
      </c>
      <c r="J17" s="148">
        <v>0.53472222222222221</v>
      </c>
      <c r="K17" s="148">
        <v>0.54166666666666663</v>
      </c>
      <c r="L17" s="148">
        <v>0.63888888888888884</v>
      </c>
      <c r="M17" s="148">
        <v>0.64583333333333337</v>
      </c>
      <c r="N17" s="148">
        <v>0.72222222222222221</v>
      </c>
      <c r="O17" s="148">
        <v>0.72916666666666663</v>
      </c>
      <c r="P17" s="148">
        <v>0.80555555555555558</v>
      </c>
      <c r="Q17" s="148">
        <v>0.8125</v>
      </c>
      <c r="R17" s="148"/>
      <c r="S17" s="148"/>
      <c r="T17" s="148"/>
      <c r="U17" s="147"/>
      <c r="V17" s="147"/>
      <c r="W17" s="147"/>
      <c r="X17" s="147"/>
      <c r="Y17" s="147"/>
      <c r="Z17" s="147"/>
      <c r="AA17" s="147"/>
    </row>
    <row r="18" spans="1:27">
      <c r="A18" s="6" t="s">
        <v>436</v>
      </c>
      <c r="B18" s="6" t="s">
        <v>437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7">
      <c r="A19" s="6" t="s">
        <v>438</v>
      </c>
      <c r="B19" s="6" t="s">
        <v>439</v>
      </c>
      <c r="C19" s="7">
        <v>0.21319444444444444</v>
      </c>
      <c r="D19" s="7"/>
      <c r="E19" s="7">
        <v>0.29652777777777778</v>
      </c>
      <c r="F19" s="7"/>
      <c r="G19" s="7">
        <v>0.37986111111111109</v>
      </c>
      <c r="H19" s="7"/>
      <c r="I19" s="7">
        <v>0.46319444444444446</v>
      </c>
      <c r="J19" s="7"/>
      <c r="K19" s="7">
        <v>0.54652777777777772</v>
      </c>
      <c r="L19" s="7"/>
      <c r="M19" s="7">
        <v>0.65069444444444446</v>
      </c>
      <c r="N19" s="7"/>
      <c r="O19" s="7">
        <v>0.73402777777777772</v>
      </c>
      <c r="P19" s="7"/>
      <c r="Q19" s="7">
        <v>0.81736111111111109</v>
      </c>
      <c r="R19" s="7"/>
      <c r="S19" s="7"/>
      <c r="T19" s="7"/>
    </row>
    <row r="20" spans="1:27">
      <c r="A20" s="6" t="s">
        <v>440</v>
      </c>
      <c r="B20" s="8" t="s">
        <v>441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  <c r="S20" s="8"/>
      <c r="T20" s="8"/>
    </row>
    <row r="21" spans="1:27">
      <c r="A21" s="8" t="s">
        <v>442</v>
      </c>
      <c r="B21" s="8" t="s">
        <v>443</v>
      </c>
      <c r="C21" s="7">
        <v>0.21944444444444444</v>
      </c>
      <c r="D21" s="7"/>
      <c r="E21" s="7">
        <v>0.30277777777777776</v>
      </c>
      <c r="F21" s="7"/>
      <c r="G21" s="7">
        <v>0.38611111111111113</v>
      </c>
      <c r="H21" s="7"/>
      <c r="I21" s="7">
        <v>0.46944444444444444</v>
      </c>
      <c r="J21" s="7"/>
      <c r="K21" s="7">
        <v>0.55277777777777781</v>
      </c>
      <c r="L21" s="7"/>
      <c r="M21" s="7">
        <v>0.65694444444444444</v>
      </c>
      <c r="N21" s="7"/>
      <c r="O21" s="7">
        <v>0.74027777777777781</v>
      </c>
      <c r="P21" s="7"/>
      <c r="Q21" s="7">
        <v>0.82361111111111107</v>
      </c>
      <c r="R21" s="9"/>
      <c r="S21" s="9"/>
      <c r="T21" s="9"/>
    </row>
    <row r="22" spans="1:27">
      <c r="A22" s="10" t="s">
        <v>444</v>
      </c>
      <c r="B22" s="8" t="s">
        <v>445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9"/>
      <c r="S22" s="9"/>
      <c r="T22" s="9"/>
    </row>
    <row r="23" spans="1:27">
      <c r="A23" s="10" t="s">
        <v>446</v>
      </c>
      <c r="B23" s="8" t="s">
        <v>447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9"/>
      <c r="S23" s="9"/>
      <c r="T23" s="9"/>
    </row>
    <row r="24" spans="1:27">
      <c r="A24" s="10" t="s">
        <v>448</v>
      </c>
      <c r="B24" s="8" t="s">
        <v>449</v>
      </c>
      <c r="C24" s="7">
        <v>0.22777777777777777</v>
      </c>
      <c r="D24" s="7"/>
      <c r="E24" s="7">
        <v>0.31111111111111112</v>
      </c>
      <c r="F24" s="7"/>
      <c r="G24" s="7">
        <v>0.39444444444444443</v>
      </c>
      <c r="H24" s="7"/>
      <c r="I24" s="7">
        <v>0.4777777777777778</v>
      </c>
      <c r="J24" s="7"/>
      <c r="K24" s="7">
        <v>0.56111111111111112</v>
      </c>
      <c r="L24" s="7"/>
      <c r="M24" s="7">
        <v>0.66527777777777775</v>
      </c>
      <c r="N24" s="7"/>
      <c r="O24" s="7">
        <v>0.74861111111111112</v>
      </c>
      <c r="P24" s="7"/>
      <c r="Q24" s="7">
        <v>0.83194444444444449</v>
      </c>
      <c r="R24" s="9"/>
      <c r="S24" s="9"/>
      <c r="T24" s="9"/>
    </row>
    <row r="25" spans="1:27">
      <c r="A25" s="10" t="s">
        <v>450</v>
      </c>
      <c r="B25" s="8" t="s">
        <v>451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9"/>
      <c r="S25" s="9"/>
      <c r="T25" s="9"/>
    </row>
    <row r="26" spans="1:27">
      <c r="A26" s="10" t="s">
        <v>452</v>
      </c>
      <c r="B26" s="8" t="s">
        <v>453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9"/>
      <c r="S26" s="9"/>
      <c r="T26" s="9"/>
    </row>
    <row r="27" spans="1:27">
      <c r="A27" s="10" t="s">
        <v>454</v>
      </c>
      <c r="B27" s="8" t="s">
        <v>455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9"/>
      <c r="S27" s="9"/>
      <c r="T27" s="9"/>
    </row>
    <row r="28" spans="1:27">
      <c r="A28" s="10" t="s">
        <v>456</v>
      </c>
      <c r="B28" s="8" t="s">
        <v>457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9"/>
      <c r="S28" s="9"/>
      <c r="T28" s="9"/>
    </row>
    <row r="29" spans="1:27">
      <c r="A29" s="10" t="s">
        <v>458</v>
      </c>
      <c r="B29" s="8" t="s">
        <v>459</v>
      </c>
      <c r="C29" s="7">
        <v>0.24305555555555555</v>
      </c>
      <c r="D29" s="7"/>
      <c r="E29" s="7">
        <v>0.3263888888888889</v>
      </c>
      <c r="F29" s="7"/>
      <c r="G29" s="7">
        <v>0.40972222222222221</v>
      </c>
      <c r="H29" s="7"/>
      <c r="I29" s="7">
        <v>0.49305555555555558</v>
      </c>
      <c r="J29" s="7"/>
      <c r="K29" s="7">
        <v>0.57638888888888884</v>
      </c>
      <c r="L29" s="7"/>
      <c r="M29" s="7">
        <v>0.68055555555555558</v>
      </c>
      <c r="N29" s="7"/>
      <c r="O29" s="7">
        <v>0.76388888888888884</v>
      </c>
      <c r="P29" s="7"/>
      <c r="Q29" s="7">
        <v>0.84722222222222221</v>
      </c>
      <c r="R29" s="9"/>
      <c r="S29" s="9"/>
      <c r="T29" s="9"/>
    </row>
    <row r="30" spans="1:27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7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7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6">
      <c r="A33" s="10"/>
      <c r="C33" s="11"/>
      <c r="D33" s="11"/>
      <c r="E33" s="11"/>
      <c r="F33" s="11"/>
      <c r="G33" s="11"/>
      <c r="H33" s="11"/>
      <c r="I33" s="11"/>
      <c r="J33" s="11"/>
    </row>
    <row r="34" spans="1:16">
      <c r="A34" s="10"/>
      <c r="C34" s="11"/>
      <c r="D34" s="11"/>
      <c r="E34" s="11"/>
      <c r="F34" s="11"/>
      <c r="G34" s="11"/>
      <c r="H34" s="11"/>
      <c r="I34" s="11"/>
      <c r="J34" s="11"/>
    </row>
    <row r="35" spans="1:16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10"/>
      <c r="B36" s="9"/>
      <c r="C36" s="11"/>
      <c r="D36" s="8"/>
      <c r="E36" s="11"/>
      <c r="F36" s="8"/>
      <c r="G36" s="11"/>
      <c r="H36" s="8"/>
      <c r="I36" s="11"/>
      <c r="J36" s="8"/>
      <c r="K36" s="11"/>
      <c r="L36" s="8"/>
      <c r="M36" s="11"/>
      <c r="N36" s="8"/>
      <c r="O36" s="11"/>
      <c r="P36" s="8"/>
    </row>
    <row r="37" spans="1:16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10"/>
      <c r="B38" s="8"/>
      <c r="C38" s="11"/>
      <c r="D38" s="8"/>
      <c r="E38" s="11"/>
      <c r="F38" s="8"/>
      <c r="G38" s="11"/>
      <c r="H38" s="8"/>
      <c r="I38" s="11"/>
      <c r="J38" s="8"/>
      <c r="K38" s="11"/>
      <c r="L38" s="8"/>
      <c r="M38" s="11"/>
      <c r="N38" s="8"/>
      <c r="O38" s="11"/>
      <c r="P38" s="8"/>
    </row>
    <row r="39" spans="1:16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8"/>
      <c r="M39" s="11"/>
      <c r="N39" s="8"/>
      <c r="O39" s="11"/>
      <c r="P39" s="8"/>
    </row>
    <row r="40" spans="1:16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8"/>
      <c r="M40" s="11"/>
      <c r="N40" s="8"/>
      <c r="O40" s="11"/>
      <c r="P40" s="8"/>
    </row>
    <row r="41" spans="1:16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8"/>
      <c r="L43" s="8"/>
      <c r="M43" s="8"/>
      <c r="N43" s="8"/>
      <c r="O43" s="8"/>
      <c r="P43" s="8"/>
    </row>
    <row r="44" spans="1:16">
      <c r="A44" s="10"/>
      <c r="B44" s="8"/>
      <c r="C44" s="11"/>
      <c r="D44" s="8"/>
      <c r="E44" s="11"/>
      <c r="F44" s="8"/>
      <c r="G44" s="11"/>
      <c r="H44" s="8"/>
      <c r="I44" s="11"/>
      <c r="J44" s="8"/>
      <c r="K44" s="11"/>
      <c r="L44" s="8"/>
      <c r="M44" s="11"/>
      <c r="N44" s="8"/>
      <c r="O44" s="11"/>
      <c r="P44" s="8"/>
    </row>
    <row r="45" spans="1:16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8"/>
      <c r="L45" s="8"/>
      <c r="M45" s="8"/>
      <c r="N45" s="8"/>
      <c r="O45" s="8"/>
      <c r="P45" s="8"/>
    </row>
    <row r="46" spans="1:16">
      <c r="A46" s="10"/>
      <c r="B46" s="8"/>
      <c r="C46" s="11"/>
      <c r="D46" s="8"/>
      <c r="E46" s="11"/>
      <c r="F46" s="8"/>
      <c r="G46" s="11"/>
      <c r="H46" s="8"/>
      <c r="I46" s="11"/>
      <c r="J46" s="8"/>
      <c r="K46" s="11"/>
      <c r="L46" s="8"/>
      <c r="M46" s="11"/>
      <c r="N46" s="8"/>
      <c r="O46" s="11"/>
      <c r="P46" s="8"/>
    </row>
    <row r="47" spans="1:16">
      <c r="A47" s="10"/>
      <c r="B47" s="8"/>
      <c r="C47" s="11"/>
      <c r="D47" s="8"/>
      <c r="E47" s="11"/>
      <c r="F47" s="8"/>
      <c r="G47" s="11"/>
      <c r="H47" s="8"/>
      <c r="I47" s="11"/>
      <c r="J47" s="8"/>
      <c r="K47" s="11"/>
      <c r="L47" s="8"/>
      <c r="M47" s="11"/>
      <c r="N47" s="8"/>
      <c r="O47" s="11"/>
      <c r="P47" s="8"/>
    </row>
    <row r="48" spans="1:16">
      <c r="A48" s="10"/>
      <c r="B48" s="8"/>
      <c r="C48" s="11"/>
      <c r="D48" s="8"/>
      <c r="E48" s="11"/>
      <c r="F48" s="8"/>
      <c r="G48" s="11"/>
      <c r="H48" s="8"/>
      <c r="I48" s="11"/>
      <c r="J48" s="8"/>
      <c r="K48" s="11"/>
      <c r="L48" s="8"/>
      <c r="M48" s="11"/>
      <c r="N48" s="8"/>
      <c r="O48" s="11"/>
      <c r="P48" s="8"/>
    </row>
    <row r="49" spans="1:16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10"/>
      <c r="B52" s="11"/>
      <c r="C52" s="8"/>
      <c r="D52" s="11"/>
      <c r="E52" s="8"/>
      <c r="F52" s="11"/>
      <c r="G52" s="8"/>
      <c r="H52" s="11"/>
      <c r="I52" s="8"/>
      <c r="J52" s="11"/>
      <c r="K52" s="8"/>
      <c r="L52" s="11"/>
      <c r="M52" s="8"/>
      <c r="N52" s="11"/>
      <c r="O52" s="8"/>
      <c r="P52" s="11"/>
    </row>
    <row r="53" spans="1:16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10"/>
      <c r="B54" s="11"/>
      <c r="C54" s="8"/>
      <c r="D54" s="11"/>
      <c r="E54" s="8"/>
      <c r="F54" s="11"/>
      <c r="G54" s="8"/>
      <c r="H54" s="11"/>
      <c r="I54" s="8"/>
      <c r="J54" s="11"/>
      <c r="K54" s="8"/>
      <c r="L54" s="11"/>
      <c r="M54" s="8"/>
      <c r="N54" s="11"/>
      <c r="O54" s="8"/>
      <c r="P54" s="11"/>
    </row>
    <row r="55" spans="1:16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10"/>
      <c r="B57" s="11"/>
      <c r="C57" s="8"/>
      <c r="D57" s="11"/>
      <c r="E57" s="8"/>
      <c r="F57" s="11"/>
      <c r="G57" s="8"/>
      <c r="H57" s="11"/>
      <c r="I57" s="8"/>
      <c r="J57" s="11"/>
      <c r="K57" s="8"/>
      <c r="L57" s="11"/>
      <c r="M57" s="8"/>
      <c r="N57" s="11"/>
      <c r="O57" s="8"/>
      <c r="P57" s="11"/>
    </row>
    <row r="58" spans="1:16">
      <c r="A58" s="10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1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10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1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10"/>
      <c r="B62" s="11"/>
      <c r="C62" s="8"/>
      <c r="D62" s="11"/>
      <c r="E62" s="8"/>
      <c r="F62" s="11"/>
      <c r="G62" s="8"/>
      <c r="H62" s="11"/>
      <c r="I62" s="8"/>
      <c r="J62" s="11"/>
      <c r="K62" s="8"/>
      <c r="L62" s="11"/>
      <c r="M62" s="8"/>
      <c r="N62" s="11"/>
      <c r="O62" s="8"/>
      <c r="P62" s="1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34A853"/>
    <outlinePr summaryBelow="0" summaryRight="0"/>
  </sheetPr>
  <dimension ref="A1:AA5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460</v>
      </c>
      <c r="D2" s="130" t="s">
        <v>461</v>
      </c>
      <c r="E2" s="130" t="s">
        <v>462</v>
      </c>
      <c r="F2" s="130" t="s">
        <v>463</v>
      </c>
      <c r="G2" s="130" t="s">
        <v>464</v>
      </c>
      <c r="H2" s="130" t="s">
        <v>465</v>
      </c>
      <c r="I2" s="130" t="s">
        <v>466</v>
      </c>
      <c r="J2" s="130" t="s">
        <v>467</v>
      </c>
      <c r="K2" s="130" t="s">
        <v>468</v>
      </c>
      <c r="L2" s="130" t="s">
        <v>469</v>
      </c>
      <c r="M2" s="130" t="s">
        <v>470</v>
      </c>
      <c r="N2" s="130" t="s">
        <v>471</v>
      </c>
      <c r="O2" s="130" t="s">
        <v>472</v>
      </c>
      <c r="P2" s="130" t="s">
        <v>473</v>
      </c>
      <c r="Q2" s="130" t="s">
        <v>474</v>
      </c>
      <c r="R2" s="130" t="s">
        <v>475</v>
      </c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458</v>
      </c>
      <c r="B3" s="4" t="s">
        <v>459</v>
      </c>
      <c r="C3" s="5">
        <v>0.16666666666666666</v>
      </c>
      <c r="D3" s="5"/>
      <c r="E3" s="5">
        <v>0.25</v>
      </c>
      <c r="F3" s="5"/>
      <c r="G3" s="5">
        <v>0.33333333333333331</v>
      </c>
      <c r="H3" s="5"/>
      <c r="I3" s="5">
        <v>0.41666666666666669</v>
      </c>
      <c r="J3" s="5"/>
      <c r="K3" s="5">
        <v>0.5</v>
      </c>
      <c r="L3" s="5"/>
      <c r="M3" s="5">
        <v>0.59722222222222221</v>
      </c>
      <c r="N3" s="5"/>
      <c r="O3" s="5">
        <v>0.6875</v>
      </c>
      <c r="P3" s="5"/>
      <c r="Q3" s="5">
        <v>0.77083333333333337</v>
      </c>
      <c r="R3" s="5"/>
      <c r="S3" s="5"/>
      <c r="T3" s="5"/>
      <c r="U3" s="5"/>
      <c r="V3" s="5"/>
      <c r="W3" s="5"/>
      <c r="X3" s="5"/>
      <c r="Y3" s="5"/>
      <c r="Z3" s="5"/>
    </row>
    <row r="4" spans="1:27">
      <c r="A4" s="1" t="s">
        <v>456</v>
      </c>
      <c r="B4" s="6" t="s">
        <v>457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7">
      <c r="A5" s="1" t="s">
        <v>454</v>
      </c>
      <c r="B5" s="6" t="s">
        <v>455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7">
      <c r="A6" s="6" t="s">
        <v>452</v>
      </c>
      <c r="B6" s="6" t="s">
        <v>453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7">
      <c r="A7" s="6" t="s">
        <v>450</v>
      </c>
      <c r="B7" s="6" t="s">
        <v>451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7">
      <c r="A8" s="6" t="s">
        <v>448</v>
      </c>
      <c r="B8" s="6" t="s">
        <v>449</v>
      </c>
      <c r="C8" s="7">
        <v>0.18402777777777779</v>
      </c>
      <c r="D8" s="7"/>
      <c r="E8" s="7">
        <v>0.2673611111111111</v>
      </c>
      <c r="F8" s="7"/>
      <c r="G8" s="7">
        <v>0.35069444444444442</v>
      </c>
      <c r="H8" s="7"/>
      <c r="I8" s="7">
        <v>0.43402777777777779</v>
      </c>
      <c r="J8" s="7"/>
      <c r="K8" s="7">
        <v>0.51736111111111116</v>
      </c>
      <c r="L8" s="7"/>
      <c r="M8" s="7">
        <v>0.61458333333333337</v>
      </c>
      <c r="N8" s="7"/>
      <c r="O8" s="7">
        <v>0.70486111111111116</v>
      </c>
      <c r="P8" s="7"/>
      <c r="Q8" s="7">
        <v>0.78819444444444442</v>
      </c>
      <c r="R8" s="7"/>
      <c r="S8" s="7"/>
      <c r="T8" s="7"/>
      <c r="U8" s="7"/>
      <c r="V8" s="7"/>
      <c r="W8" s="7"/>
      <c r="X8" s="7"/>
      <c r="Y8" s="7"/>
      <c r="Z8" s="7"/>
    </row>
    <row r="9" spans="1:27">
      <c r="A9" s="1" t="s">
        <v>446</v>
      </c>
      <c r="B9" s="6" t="s">
        <v>447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7">
      <c r="A10" s="1" t="s">
        <v>444</v>
      </c>
      <c r="B10" s="6" t="s">
        <v>445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7">
      <c r="A11" s="6" t="s">
        <v>442</v>
      </c>
      <c r="B11" s="6" t="s">
        <v>443</v>
      </c>
      <c r="C11" s="7">
        <v>0.18888888888888888</v>
      </c>
      <c r="D11" s="7"/>
      <c r="E11" s="7">
        <v>0.2722222222222222</v>
      </c>
      <c r="F11" s="7"/>
      <c r="G11" s="7">
        <v>0.35555555555555557</v>
      </c>
      <c r="H11" s="7"/>
      <c r="I11" s="7">
        <v>0.43888888888888888</v>
      </c>
      <c r="J11" s="7"/>
      <c r="K11" s="7">
        <v>0.52222222222222225</v>
      </c>
      <c r="L11" s="7"/>
      <c r="M11" s="7">
        <v>0.61944444444444446</v>
      </c>
      <c r="N11" s="7"/>
      <c r="O11" s="7">
        <v>0.70972222222222225</v>
      </c>
      <c r="P11" s="7"/>
      <c r="Q11" s="7">
        <v>0.79305555555555551</v>
      </c>
      <c r="R11" s="7"/>
      <c r="S11" s="7"/>
      <c r="T11" s="7"/>
      <c r="U11" s="7"/>
      <c r="V11" s="7"/>
      <c r="W11" s="7"/>
      <c r="X11" s="7"/>
      <c r="Y11" s="7"/>
      <c r="Z11" s="7"/>
    </row>
    <row r="12" spans="1:27">
      <c r="A12" s="6" t="s">
        <v>440</v>
      </c>
      <c r="B12" s="6" t="s">
        <v>441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7">
      <c r="A13" s="1" t="s">
        <v>438</v>
      </c>
      <c r="B13" s="6" t="s">
        <v>439</v>
      </c>
      <c r="C13" s="7">
        <v>0.19583333333333333</v>
      </c>
      <c r="D13" s="7"/>
      <c r="E13" s="7">
        <v>0.27916666666666667</v>
      </c>
      <c r="F13" s="7"/>
      <c r="G13" s="7">
        <v>0.36249999999999999</v>
      </c>
      <c r="H13" s="7"/>
      <c r="I13" s="7">
        <v>0.44583333333333336</v>
      </c>
      <c r="J13" s="7"/>
      <c r="K13" s="7">
        <v>0.52916666666666667</v>
      </c>
      <c r="L13" s="7"/>
      <c r="M13" s="7">
        <v>0.62638888888888888</v>
      </c>
      <c r="N13" s="7"/>
      <c r="O13" s="7">
        <v>0.71666666666666667</v>
      </c>
      <c r="P13" s="7"/>
      <c r="Q13" s="7">
        <v>0.8</v>
      </c>
      <c r="R13" s="7"/>
      <c r="S13" s="7"/>
      <c r="T13" s="7"/>
      <c r="U13" s="7"/>
      <c r="V13" s="7"/>
      <c r="W13" s="7"/>
      <c r="X13" s="7"/>
      <c r="Y13" s="7"/>
      <c r="Z13" s="7"/>
    </row>
    <row r="14" spans="1:27">
      <c r="A14" s="6" t="s">
        <v>436</v>
      </c>
      <c r="B14" s="6" t="s">
        <v>437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27">
      <c r="A15" s="1" t="s">
        <v>434</v>
      </c>
      <c r="B15" s="6" t="s">
        <v>435</v>
      </c>
      <c r="C15" s="7">
        <v>0.2013888888888889</v>
      </c>
      <c r="D15" s="7">
        <v>0.20833333333333334</v>
      </c>
      <c r="E15" s="7">
        <v>0.28472222222222221</v>
      </c>
      <c r="F15" s="7">
        <v>0.29166666666666669</v>
      </c>
      <c r="G15" s="7">
        <v>0.36805555555555558</v>
      </c>
      <c r="H15" s="7">
        <v>0.375</v>
      </c>
      <c r="I15" s="7">
        <v>0.4513888888888889</v>
      </c>
      <c r="J15" s="7">
        <v>0.45833333333333331</v>
      </c>
      <c r="K15" s="7">
        <v>0.53472222222222221</v>
      </c>
      <c r="L15" s="7">
        <v>0.54166666666666663</v>
      </c>
      <c r="M15" s="7">
        <v>0.63194444444444442</v>
      </c>
      <c r="N15" s="7">
        <v>0.64583333333333337</v>
      </c>
      <c r="O15" s="7">
        <v>0.72222222222222221</v>
      </c>
      <c r="P15" s="7">
        <v>0.72916666666666663</v>
      </c>
      <c r="Q15" s="7">
        <v>0.80555555555555558</v>
      </c>
      <c r="R15" s="7">
        <v>0.8125</v>
      </c>
    </row>
    <row r="16" spans="1:27">
      <c r="A16" s="6" t="s">
        <v>432</v>
      </c>
      <c r="B16" s="6" t="s">
        <v>433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7">
      <c r="A17" s="6" t="s">
        <v>430</v>
      </c>
      <c r="B17" s="6" t="s">
        <v>431</v>
      </c>
      <c r="C17" s="7"/>
      <c r="D17" s="7">
        <v>0.21180555555555555</v>
      </c>
      <c r="E17" s="7"/>
      <c r="F17" s="7">
        <v>0.2951388888888889</v>
      </c>
      <c r="G17" s="7"/>
      <c r="H17" s="7">
        <v>0.37847222222222221</v>
      </c>
      <c r="I17" s="7"/>
      <c r="J17" s="7">
        <v>0.46180555555555558</v>
      </c>
      <c r="K17" s="7"/>
      <c r="L17" s="7">
        <v>0.54513888888888884</v>
      </c>
      <c r="M17" s="7"/>
      <c r="N17" s="7">
        <v>0.64930555555555558</v>
      </c>
      <c r="O17" s="7"/>
      <c r="P17" s="7">
        <v>0.73263888888888884</v>
      </c>
      <c r="Q17" s="7"/>
      <c r="R17" s="7">
        <v>0.81597222222222221</v>
      </c>
      <c r="S17" s="7"/>
      <c r="T17" s="7"/>
      <c r="U17" s="7"/>
      <c r="V17" s="7"/>
      <c r="W17" s="7"/>
      <c r="X17" s="7"/>
      <c r="Y17" s="7"/>
      <c r="Z17" s="7"/>
    </row>
    <row r="18" spans="1:27">
      <c r="A18" s="6" t="s">
        <v>428</v>
      </c>
      <c r="B18" s="6" t="s">
        <v>429</v>
      </c>
      <c r="C18" s="7"/>
      <c r="D18" s="7">
        <v>0.21458333333333332</v>
      </c>
      <c r="E18" s="7"/>
      <c r="F18" s="7">
        <v>0.29791666666666666</v>
      </c>
      <c r="G18" s="7"/>
      <c r="H18" s="7">
        <v>0.38124999999999998</v>
      </c>
      <c r="I18" s="7"/>
      <c r="J18" s="7">
        <v>0.46458333333333335</v>
      </c>
      <c r="K18" s="7"/>
      <c r="L18" s="7">
        <v>0.54791666666666672</v>
      </c>
      <c r="M18" s="7"/>
      <c r="N18" s="7">
        <v>0.65208333333333335</v>
      </c>
      <c r="O18" s="7"/>
      <c r="P18" s="7">
        <v>0.73541666666666672</v>
      </c>
      <c r="Q18" s="7"/>
      <c r="R18" s="7">
        <v>0.81874999999999998</v>
      </c>
      <c r="S18" s="7"/>
      <c r="T18" s="7"/>
      <c r="U18" s="7"/>
      <c r="V18" s="7"/>
      <c r="W18" s="7"/>
      <c r="X18" s="7"/>
      <c r="Y18" s="7"/>
      <c r="Z18" s="7"/>
    </row>
    <row r="19" spans="1:27">
      <c r="A19" s="6" t="s">
        <v>426</v>
      </c>
      <c r="B19" s="6" t="s">
        <v>427</v>
      </c>
      <c r="C19" s="7"/>
      <c r="D19" s="7">
        <v>0.21736111111111112</v>
      </c>
      <c r="E19" s="7"/>
      <c r="F19" s="7">
        <v>0.30069444444444443</v>
      </c>
      <c r="G19" s="7"/>
      <c r="H19" s="7">
        <v>0.3840277777777778</v>
      </c>
      <c r="I19" s="7"/>
      <c r="J19" s="7">
        <v>0.46736111111111112</v>
      </c>
      <c r="K19" s="7"/>
      <c r="L19" s="7">
        <v>0.55069444444444449</v>
      </c>
      <c r="M19" s="7"/>
      <c r="N19" s="7">
        <v>0.65486111111111112</v>
      </c>
      <c r="O19" s="7"/>
      <c r="P19" s="7">
        <v>0.73819444444444449</v>
      </c>
      <c r="Q19" s="7"/>
      <c r="R19" s="7">
        <v>0.82152777777777775</v>
      </c>
      <c r="S19" s="7"/>
      <c r="T19" s="7"/>
      <c r="U19" s="7"/>
      <c r="V19" s="7"/>
      <c r="W19" s="7"/>
      <c r="X19" s="7"/>
      <c r="Y19" s="7"/>
      <c r="Z19" s="7"/>
    </row>
    <row r="20" spans="1:27">
      <c r="A20" s="6" t="s">
        <v>424</v>
      </c>
      <c r="B20" s="8" t="s">
        <v>425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8"/>
      <c r="U20" s="8"/>
      <c r="V20" s="8"/>
      <c r="W20" s="8"/>
      <c r="X20" s="8"/>
      <c r="Y20" s="8"/>
      <c r="Z20" s="8"/>
    </row>
    <row r="21" spans="1:27">
      <c r="A21" s="8" t="s">
        <v>422</v>
      </c>
      <c r="B21" s="8" t="s">
        <v>423</v>
      </c>
      <c r="C21" s="7"/>
      <c r="D21" s="7">
        <v>0.22083333333333333</v>
      </c>
      <c r="E21" s="7"/>
      <c r="F21" s="7">
        <v>0.30416666666666664</v>
      </c>
      <c r="G21" s="7"/>
      <c r="H21" s="7">
        <v>0.38750000000000001</v>
      </c>
      <c r="I21" s="7"/>
      <c r="J21" s="7">
        <v>0.47083333333333333</v>
      </c>
      <c r="K21" s="7"/>
      <c r="L21" s="7">
        <v>0.5541666666666667</v>
      </c>
      <c r="M21" s="7"/>
      <c r="N21" s="7">
        <v>0.65833333333333333</v>
      </c>
      <c r="O21" s="7"/>
      <c r="P21" s="7">
        <v>0.7416666666666667</v>
      </c>
      <c r="Q21" s="7"/>
      <c r="R21" s="7">
        <v>0.82499999999999996</v>
      </c>
      <c r="S21" s="9"/>
      <c r="T21" s="9"/>
      <c r="U21" s="9"/>
      <c r="V21" s="9"/>
      <c r="W21" s="9"/>
      <c r="X21" s="9"/>
      <c r="Y21" s="9"/>
      <c r="Z21" s="9"/>
    </row>
    <row r="22" spans="1:27">
      <c r="A22" s="10" t="s">
        <v>420</v>
      </c>
      <c r="B22" s="8" t="s">
        <v>421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9"/>
      <c r="T22" s="9"/>
      <c r="U22" s="9"/>
      <c r="V22" s="9"/>
      <c r="W22" s="9"/>
      <c r="X22" s="9"/>
      <c r="Y22" s="9"/>
      <c r="Z22" s="9"/>
    </row>
    <row r="23" spans="1:27">
      <c r="A23" s="10" t="s">
        <v>418</v>
      </c>
      <c r="B23" s="8" t="s">
        <v>419</v>
      </c>
      <c r="C23" s="7"/>
      <c r="D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9"/>
      <c r="T23" s="9"/>
      <c r="U23" s="9"/>
      <c r="V23" s="9"/>
      <c r="W23" s="9"/>
      <c r="X23" s="9"/>
      <c r="Y23" s="9"/>
      <c r="Z23" s="9"/>
    </row>
    <row r="24" spans="1:27">
      <c r="A24" s="10" t="s">
        <v>416</v>
      </c>
      <c r="B24" s="8" t="s">
        <v>417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9"/>
      <c r="T24" s="9"/>
      <c r="U24" s="9"/>
      <c r="V24" s="9"/>
      <c r="W24" s="9"/>
      <c r="X24" s="9"/>
      <c r="Y24" s="9"/>
      <c r="Z24" s="9"/>
    </row>
    <row r="25" spans="1:27">
      <c r="A25" s="10" t="s">
        <v>414</v>
      </c>
      <c r="B25" s="6" t="s">
        <v>415</v>
      </c>
      <c r="C25" s="7"/>
      <c r="D25" s="7">
        <v>0.22777777777777777</v>
      </c>
      <c r="E25" s="7"/>
      <c r="F25" s="7">
        <v>0.31111111111111112</v>
      </c>
      <c r="G25" s="7"/>
      <c r="H25" s="7">
        <v>0.39444444444444443</v>
      </c>
      <c r="I25" s="7"/>
      <c r="J25" s="7">
        <v>0.4777777777777778</v>
      </c>
      <c r="K25" s="7"/>
      <c r="L25" s="7">
        <v>0.56111111111111112</v>
      </c>
      <c r="M25" s="7"/>
      <c r="N25" s="7">
        <v>0.66527777777777775</v>
      </c>
      <c r="O25" s="7"/>
      <c r="P25" s="7">
        <v>0.74861111111111112</v>
      </c>
      <c r="Q25" s="7"/>
      <c r="R25" s="7">
        <v>0.83194444444444449</v>
      </c>
      <c r="S25" s="9"/>
      <c r="T25" s="9"/>
      <c r="U25" s="9"/>
      <c r="V25" s="9"/>
      <c r="W25" s="9"/>
      <c r="X25" s="9"/>
      <c r="Y25" s="9"/>
      <c r="Z25" s="9"/>
    </row>
    <row r="26" spans="1:27">
      <c r="A26" s="10" t="s">
        <v>412</v>
      </c>
      <c r="B26" s="6" t="s">
        <v>413</v>
      </c>
      <c r="C26" s="7"/>
      <c r="D26" s="7">
        <v>0.23125000000000001</v>
      </c>
      <c r="E26" s="7"/>
      <c r="F26" s="7">
        <v>0.31458333333333333</v>
      </c>
      <c r="G26" s="7"/>
      <c r="H26" s="7">
        <v>0.39861111111111114</v>
      </c>
      <c r="I26" s="7"/>
      <c r="J26" s="7">
        <v>0.48125000000000001</v>
      </c>
      <c r="K26" s="7"/>
      <c r="L26" s="7">
        <v>0.56458333333333333</v>
      </c>
      <c r="M26" s="7"/>
      <c r="N26" s="7">
        <v>0.66874999999999996</v>
      </c>
      <c r="O26" s="7"/>
      <c r="P26" s="7">
        <v>0.75208333333333333</v>
      </c>
      <c r="Q26" s="7"/>
      <c r="R26" s="7">
        <v>0.8354166666666667</v>
      </c>
      <c r="S26" s="9"/>
      <c r="T26" s="9"/>
      <c r="U26" s="9"/>
      <c r="V26" s="9"/>
      <c r="W26" s="9"/>
      <c r="X26" s="9"/>
      <c r="Y26" s="9"/>
      <c r="Z26" s="9"/>
    </row>
    <row r="27" spans="1:27">
      <c r="A27" s="10" t="s">
        <v>410</v>
      </c>
      <c r="B27" s="6" t="s">
        <v>411</v>
      </c>
      <c r="C27" s="7"/>
      <c r="D27" s="7">
        <v>0.23402777777777778</v>
      </c>
      <c r="E27" s="7"/>
      <c r="F27" s="7">
        <v>0.31736111111111109</v>
      </c>
      <c r="G27" s="7"/>
      <c r="H27" s="7">
        <v>0.40138888888888891</v>
      </c>
      <c r="I27" s="7"/>
      <c r="J27" s="7">
        <v>0.48402777777777778</v>
      </c>
      <c r="K27" s="7"/>
      <c r="L27" s="7">
        <v>0.56736111111111109</v>
      </c>
      <c r="M27" s="7"/>
      <c r="N27" s="7">
        <v>0.67152777777777772</v>
      </c>
      <c r="O27" s="7"/>
      <c r="P27" s="7">
        <v>0.75486111111111109</v>
      </c>
      <c r="Q27" s="7"/>
      <c r="R27" s="7">
        <v>0.83819444444444446</v>
      </c>
      <c r="S27" s="9"/>
      <c r="T27" s="9"/>
    </row>
    <row r="28" spans="1:27">
      <c r="A28" s="10" t="s">
        <v>408</v>
      </c>
      <c r="B28" s="6" t="s">
        <v>409</v>
      </c>
      <c r="C28" s="7"/>
      <c r="D28" s="7">
        <v>0.23749999999999999</v>
      </c>
      <c r="E28" s="7"/>
      <c r="F28" s="7">
        <v>0.3208333333333333</v>
      </c>
      <c r="G28" s="7"/>
      <c r="H28" s="7">
        <v>0.40486111111111112</v>
      </c>
      <c r="I28" s="7"/>
      <c r="J28" s="7">
        <v>0.48749999999999999</v>
      </c>
      <c r="K28" s="7"/>
      <c r="L28" s="7">
        <v>0.5708333333333333</v>
      </c>
      <c r="M28" s="7"/>
      <c r="N28" s="7">
        <v>0.67499999999999993</v>
      </c>
      <c r="O28" s="7"/>
      <c r="P28" s="7">
        <v>0.7583333333333333</v>
      </c>
      <c r="Q28" s="7"/>
      <c r="R28" s="7">
        <v>0.84166666666666667</v>
      </c>
      <c r="S28" s="9"/>
      <c r="T28" s="9"/>
    </row>
    <row r="29" spans="1:27">
      <c r="A29" s="8" t="s">
        <v>209</v>
      </c>
      <c r="B29" s="6" t="s">
        <v>407</v>
      </c>
      <c r="C29" s="7"/>
      <c r="D29" s="7">
        <v>0.24305555555555552</v>
      </c>
      <c r="E29" s="7"/>
      <c r="F29" s="7">
        <v>0.32638888888888884</v>
      </c>
      <c r="G29" s="7"/>
      <c r="H29" s="7">
        <v>0.41041666666666665</v>
      </c>
      <c r="I29" s="7"/>
      <c r="J29" s="7">
        <v>0.49305555555555552</v>
      </c>
      <c r="K29" s="7"/>
      <c r="L29" s="7">
        <v>0.57638888888888884</v>
      </c>
      <c r="M29" s="7"/>
      <c r="N29" s="7">
        <v>0.68055555555555547</v>
      </c>
      <c r="O29" s="7"/>
      <c r="P29" s="7">
        <v>0.76388888888888884</v>
      </c>
      <c r="Q29" s="7"/>
      <c r="R29" s="7">
        <v>0.84722222222222221</v>
      </c>
      <c r="S29" s="9"/>
      <c r="T29" s="9"/>
    </row>
    <row r="30" spans="1:27">
      <c r="A30" s="149"/>
      <c r="B30" s="150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2"/>
      <c r="V30" s="152"/>
      <c r="W30" s="152"/>
      <c r="X30" s="152"/>
      <c r="Y30" s="152"/>
      <c r="Z30" s="152"/>
      <c r="AA30" s="152"/>
    </row>
    <row r="31" spans="1:27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7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7">
      <c r="A33" s="4"/>
      <c r="C33" s="11"/>
      <c r="D33" s="11"/>
      <c r="E33" s="11"/>
      <c r="F33" s="11"/>
      <c r="G33" s="11"/>
      <c r="H33" s="11"/>
      <c r="I33" s="11"/>
      <c r="J33" s="11"/>
    </row>
    <row r="34" spans="1:17">
      <c r="C34" s="11"/>
      <c r="D34" s="11"/>
      <c r="E34" s="11"/>
      <c r="F34" s="11"/>
      <c r="G34" s="11"/>
      <c r="H34" s="11"/>
      <c r="I34" s="11"/>
      <c r="J34" s="11"/>
    </row>
    <row r="35" spans="1:17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>
      <c r="B36" s="9"/>
      <c r="C36" s="8"/>
      <c r="D36" s="11"/>
      <c r="E36" s="8"/>
      <c r="F36" s="11"/>
      <c r="G36" s="8"/>
      <c r="H36" s="11"/>
      <c r="I36" s="8"/>
      <c r="J36" s="11"/>
      <c r="K36" s="8"/>
      <c r="L36" s="11"/>
      <c r="M36" s="8"/>
      <c r="N36" s="11"/>
      <c r="O36" s="8"/>
      <c r="P36" s="11"/>
      <c r="Q36" s="8"/>
    </row>
    <row r="37" spans="1:17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8"/>
      <c r="L39" s="8"/>
      <c r="M39" s="8"/>
      <c r="N39" s="8"/>
      <c r="O39" s="8"/>
      <c r="P39" s="8"/>
      <c r="Q39" s="8"/>
    </row>
    <row r="40" spans="1:17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8"/>
      <c r="L40" s="8"/>
      <c r="M40" s="8"/>
      <c r="N40" s="8"/>
      <c r="O40" s="8"/>
      <c r="P40" s="8"/>
      <c r="Q40" s="8"/>
    </row>
    <row r="41" spans="1:17">
      <c r="A41" s="10"/>
      <c r="B41" s="11"/>
      <c r="C41" s="8"/>
      <c r="D41" s="11"/>
      <c r="E41" s="8"/>
      <c r="F41" s="11"/>
      <c r="G41" s="8"/>
      <c r="H41" s="11"/>
      <c r="I41" s="8"/>
      <c r="J41" s="11"/>
      <c r="K41" s="8"/>
      <c r="L41" s="11"/>
      <c r="M41" s="8"/>
      <c r="N41" s="11"/>
      <c r="O41" s="8"/>
      <c r="P41" s="11"/>
      <c r="Q41" s="8"/>
    </row>
    <row r="42" spans="1:17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8"/>
      <c r="L43" s="8"/>
      <c r="M43" s="8"/>
      <c r="N43" s="8"/>
      <c r="O43" s="8"/>
      <c r="P43" s="8"/>
      <c r="Q43" s="8"/>
    </row>
    <row r="44" spans="1:17">
      <c r="A44" s="10"/>
      <c r="B44" s="11"/>
      <c r="C44" s="8"/>
      <c r="D44" s="11"/>
      <c r="E44" s="8"/>
      <c r="F44" s="11"/>
      <c r="G44" s="8"/>
      <c r="H44" s="11"/>
      <c r="I44" s="8"/>
      <c r="J44" s="11"/>
      <c r="K44" s="8"/>
      <c r="L44" s="11"/>
      <c r="M44" s="8"/>
      <c r="N44" s="11"/>
      <c r="O44" s="8"/>
      <c r="P44" s="11"/>
      <c r="Q44" s="8"/>
    </row>
    <row r="45" spans="1:17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8"/>
      <c r="L45" s="8"/>
      <c r="M45" s="8"/>
      <c r="N45" s="8"/>
      <c r="O45" s="8"/>
      <c r="P45" s="8"/>
      <c r="Q45" s="8"/>
    </row>
    <row r="46" spans="1:17">
      <c r="A46" s="10"/>
      <c r="B46" s="11"/>
      <c r="C46" s="8"/>
      <c r="D46" s="11"/>
      <c r="E46" s="8"/>
      <c r="F46" s="11"/>
      <c r="G46" s="8"/>
      <c r="H46" s="11"/>
      <c r="I46" s="8"/>
      <c r="J46" s="11"/>
      <c r="K46" s="8"/>
      <c r="L46" s="11"/>
      <c r="M46" s="8"/>
      <c r="N46" s="11"/>
      <c r="O46" s="8"/>
      <c r="P46" s="11"/>
      <c r="Q46" s="8"/>
    </row>
    <row r="47" spans="1:17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10"/>
      <c r="B50" s="8"/>
      <c r="C50" s="11"/>
      <c r="D50" s="8"/>
      <c r="E50" s="11"/>
      <c r="F50" s="8"/>
      <c r="G50" s="11"/>
      <c r="H50" s="8"/>
      <c r="I50" s="11"/>
      <c r="J50" s="8"/>
      <c r="K50" s="11"/>
      <c r="L50" s="8"/>
      <c r="M50" s="11"/>
      <c r="N50" s="8"/>
      <c r="O50" s="11"/>
      <c r="P50" s="8"/>
      <c r="Q50" s="11"/>
    </row>
    <row r="51" spans="1:17">
      <c r="A51" s="10"/>
      <c r="B51" s="8"/>
      <c r="C51" s="11"/>
      <c r="D51" s="8"/>
      <c r="E51" s="11"/>
      <c r="F51" s="8"/>
      <c r="G51" s="11"/>
      <c r="H51" s="8"/>
      <c r="I51" s="11"/>
      <c r="J51" s="8"/>
      <c r="K51" s="11"/>
      <c r="L51" s="8"/>
      <c r="M51" s="11"/>
      <c r="N51" s="8"/>
      <c r="O51" s="11"/>
      <c r="P51" s="8"/>
      <c r="Q51" s="11"/>
    </row>
    <row r="52" spans="1:17">
      <c r="A52" s="10"/>
      <c r="B52" s="8"/>
      <c r="C52" s="11"/>
      <c r="D52" s="8"/>
      <c r="E52" s="11"/>
      <c r="F52" s="8"/>
      <c r="G52" s="11"/>
      <c r="H52" s="8"/>
      <c r="I52" s="11"/>
      <c r="J52" s="8"/>
      <c r="K52" s="11"/>
      <c r="L52" s="8"/>
      <c r="M52" s="11"/>
      <c r="N52" s="8"/>
      <c r="O52" s="11"/>
      <c r="P52" s="8"/>
      <c r="Q52" s="11"/>
    </row>
    <row r="53" spans="1:17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>
      <c r="A54" s="10"/>
      <c r="B54" s="8"/>
      <c r="C54" s="11"/>
      <c r="D54" s="8"/>
      <c r="E54" s="11"/>
      <c r="F54" s="8"/>
      <c r="G54" s="11"/>
      <c r="H54" s="8"/>
      <c r="I54" s="11"/>
      <c r="J54" s="8"/>
      <c r="K54" s="11"/>
      <c r="L54" s="8"/>
      <c r="M54" s="11"/>
      <c r="N54" s="8"/>
      <c r="O54" s="11"/>
      <c r="P54" s="8"/>
      <c r="Q54" s="11"/>
    </row>
    <row r="55" spans="1:17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10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10"/>
      <c r="B58" s="8"/>
      <c r="C58" s="11"/>
      <c r="D58" s="8"/>
      <c r="E58" s="11"/>
      <c r="F58" s="8"/>
      <c r="G58" s="11"/>
      <c r="H58" s="8"/>
      <c r="I58" s="11"/>
      <c r="J58" s="8"/>
      <c r="K58" s="11"/>
      <c r="L58" s="8"/>
      <c r="M58" s="11"/>
      <c r="N58" s="8"/>
      <c r="O58" s="11"/>
      <c r="P58" s="8"/>
      <c r="Q58" s="11"/>
    </row>
    <row r="59" spans="1:17">
      <c r="A59" s="10"/>
      <c r="B59" s="8"/>
      <c r="C59" s="11"/>
      <c r="D59" s="8"/>
      <c r="E59" s="11"/>
      <c r="F59" s="8"/>
      <c r="G59" s="11"/>
      <c r="H59" s="8"/>
      <c r="I59" s="11"/>
      <c r="J59" s="8"/>
      <c r="K59" s="11"/>
      <c r="L59" s="8"/>
      <c r="M59" s="11"/>
      <c r="N59" s="8"/>
      <c r="O59" s="11"/>
      <c r="P59" s="8"/>
      <c r="Q59" s="1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34A853"/>
    <outlinePr summaryBelow="0" summaryRight="0"/>
  </sheetPr>
  <dimension ref="A1:AA62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45710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476</v>
      </c>
      <c r="D2" s="130" t="s">
        <v>477</v>
      </c>
      <c r="E2" s="130" t="s">
        <v>394</v>
      </c>
      <c r="F2" s="130" t="s">
        <v>396</v>
      </c>
      <c r="G2" s="130" t="s">
        <v>404</v>
      </c>
      <c r="H2" s="130" t="s">
        <v>406</v>
      </c>
      <c r="I2" s="130" t="s">
        <v>478</v>
      </c>
      <c r="J2" s="130" t="s">
        <v>393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>
        <v>0.20833333333333334</v>
      </c>
      <c r="D3" s="5"/>
      <c r="E3" s="5">
        <v>0.29166666666666669</v>
      </c>
      <c r="F3" s="5"/>
      <c r="G3" s="5">
        <v>0.66666666666666663</v>
      </c>
      <c r="H3" s="5"/>
      <c r="I3" s="5">
        <v>0.75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408</v>
      </c>
      <c r="B4" s="6" t="s">
        <v>409</v>
      </c>
      <c r="C4" s="7">
        <v>0.21319444444444444</v>
      </c>
      <c r="D4" s="7"/>
      <c r="E4" s="7">
        <v>0.29652777777777778</v>
      </c>
      <c r="F4" s="7"/>
      <c r="G4" s="7">
        <v>0.67152777777777772</v>
      </c>
      <c r="H4" s="7"/>
      <c r="I4" s="7">
        <v>0.75486111111111109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410</v>
      </c>
      <c r="B5" s="6" t="s">
        <v>411</v>
      </c>
      <c r="C5" s="7">
        <v>0.21736111111111112</v>
      </c>
      <c r="D5" s="7"/>
      <c r="E5" s="7">
        <v>0.30069444444444443</v>
      </c>
      <c r="F5" s="7"/>
      <c r="G5" s="7">
        <v>0.67569444444444449</v>
      </c>
      <c r="H5" s="7"/>
      <c r="I5" s="7">
        <v>0.75902777777777775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412</v>
      </c>
      <c r="B6" s="6" t="s">
        <v>413</v>
      </c>
      <c r="C6" s="7">
        <v>0.21944444444444444</v>
      </c>
      <c r="D6" s="7"/>
      <c r="E6" s="7">
        <v>0.30277777777777776</v>
      </c>
      <c r="F6" s="7"/>
      <c r="G6" s="7">
        <v>0.67777777777777781</v>
      </c>
      <c r="H6" s="7"/>
      <c r="I6" s="7">
        <v>0.76111111111111107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414</v>
      </c>
      <c r="B7" s="6" t="s">
        <v>415</v>
      </c>
      <c r="C7" s="7">
        <v>0.22222222222222221</v>
      </c>
      <c r="D7" s="7"/>
      <c r="E7" s="7">
        <v>0.30555555555555558</v>
      </c>
      <c r="F7" s="7"/>
      <c r="G7" s="7">
        <v>0.68055555555555558</v>
      </c>
      <c r="H7" s="7"/>
      <c r="I7" s="7">
        <v>0.76388888888888884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416</v>
      </c>
      <c r="B8" s="6" t="s">
        <v>417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418</v>
      </c>
      <c r="B9" s="6" t="s">
        <v>419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420</v>
      </c>
      <c r="B10" s="6" t="s">
        <v>421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422</v>
      </c>
      <c r="B11" s="6" t="s">
        <v>423</v>
      </c>
      <c r="C11" s="7">
        <v>0.22847222222222222</v>
      </c>
      <c r="D11" s="7"/>
      <c r="E11" s="7">
        <v>0.31180555555555556</v>
      </c>
      <c r="F11" s="7"/>
      <c r="G11" s="7">
        <v>0.68680555555555556</v>
      </c>
      <c r="H11" s="7"/>
      <c r="I11" s="7">
        <v>0.77013888888888893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424</v>
      </c>
      <c r="B12" s="6" t="s">
        <v>425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426</v>
      </c>
      <c r="B13" s="6" t="s">
        <v>427</v>
      </c>
      <c r="C13" s="7">
        <v>0.23333333333333334</v>
      </c>
      <c r="D13" s="7"/>
      <c r="E13" s="7">
        <v>0.31666666666666665</v>
      </c>
      <c r="F13" s="7"/>
      <c r="G13" s="7">
        <v>0.69166666666666665</v>
      </c>
      <c r="H13" s="7"/>
      <c r="I13" s="7">
        <v>0.77500000000000002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428</v>
      </c>
      <c r="B14" s="6" t="s">
        <v>429</v>
      </c>
      <c r="C14" s="7">
        <v>0.2361111111111111</v>
      </c>
      <c r="D14" s="7"/>
      <c r="E14" s="7">
        <v>0.31944444444444442</v>
      </c>
      <c r="F14" s="7"/>
      <c r="G14" s="7">
        <v>0.69444444444444442</v>
      </c>
      <c r="H14" s="7"/>
      <c r="I14" s="7">
        <v>0.77777777777777779</v>
      </c>
      <c r="J14" s="7"/>
      <c r="K14" s="7"/>
      <c r="L14" s="7"/>
      <c r="M14" s="7"/>
      <c r="N14" s="7"/>
      <c r="O14" s="7"/>
      <c r="P14" s="7"/>
      <c r="Q14" s="7"/>
      <c r="R14" s="7"/>
    </row>
    <row r="15" spans="1:27">
      <c r="A15" s="1" t="s">
        <v>430</v>
      </c>
      <c r="B15" s="6" t="s">
        <v>431</v>
      </c>
      <c r="C15" s="7">
        <v>0.23958333333333334</v>
      </c>
      <c r="D15" s="7"/>
      <c r="E15" s="7">
        <v>0.32291666666666669</v>
      </c>
      <c r="F15" s="7"/>
      <c r="G15" s="7">
        <v>0.69791666666666663</v>
      </c>
      <c r="H15" s="7"/>
      <c r="I15" s="7">
        <v>0.78125</v>
      </c>
      <c r="J15" s="7"/>
      <c r="K15" s="7"/>
      <c r="L15" s="7"/>
      <c r="M15" s="7"/>
      <c r="N15" s="7"/>
      <c r="O15" s="7"/>
      <c r="P15" s="7"/>
      <c r="Q15" s="7"/>
      <c r="R15" s="7"/>
    </row>
    <row r="16" spans="1:27">
      <c r="A16" s="6" t="s">
        <v>432</v>
      </c>
      <c r="B16" s="6" t="s">
        <v>433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434</v>
      </c>
      <c r="B17" s="6" t="s">
        <v>435</v>
      </c>
      <c r="C17" s="7">
        <v>0.24305555555555555</v>
      </c>
      <c r="D17" s="7">
        <v>0.25</v>
      </c>
      <c r="E17" s="7">
        <v>0.3263888888888889</v>
      </c>
      <c r="F17" s="7">
        <v>0.33333333333333331</v>
      </c>
      <c r="G17" s="7">
        <v>0.70138888888888884</v>
      </c>
      <c r="H17" s="7">
        <v>0.70833333333333337</v>
      </c>
      <c r="I17" s="7">
        <v>0.78472222222222221</v>
      </c>
      <c r="J17" s="7">
        <v>0.79166666666666663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6" t="s">
        <v>436</v>
      </c>
      <c r="B18" s="6" t="s">
        <v>437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6" t="s">
        <v>438</v>
      </c>
      <c r="B19" s="6" t="s">
        <v>439</v>
      </c>
      <c r="C19" s="153"/>
      <c r="D19" s="153">
        <f>D17+TIME(0,7,0)</f>
        <v>0.25486111111111109</v>
      </c>
      <c r="E19" s="153"/>
      <c r="F19" s="153">
        <f>F17+TIME(0,7,0)</f>
        <v>0.33819444444444441</v>
      </c>
      <c r="G19" s="153"/>
      <c r="H19" s="153">
        <f>H17+TIME(0,7,0)</f>
        <v>0.71319444444444446</v>
      </c>
      <c r="I19" s="153"/>
      <c r="J19" s="153">
        <f>J17+TIME(0,7,0)</f>
        <v>0.79652777777777772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6" t="s">
        <v>440</v>
      </c>
      <c r="B20" s="8" t="s">
        <v>441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8"/>
    </row>
    <row r="21" spans="1:20">
      <c r="A21" s="8" t="s">
        <v>442</v>
      </c>
      <c r="B21" s="8" t="s">
        <v>443</v>
      </c>
      <c r="C21" s="7"/>
      <c r="D21" s="7">
        <v>0.25972222222222224</v>
      </c>
      <c r="E21" s="7"/>
      <c r="F21" s="7">
        <v>0.34305555555555556</v>
      </c>
      <c r="G21" s="7"/>
      <c r="H21" s="7">
        <v>0.71805555555555556</v>
      </c>
      <c r="I21" s="7"/>
      <c r="J21" s="7">
        <v>0.80138888888888893</v>
      </c>
      <c r="K21" s="7"/>
      <c r="L21" s="7"/>
      <c r="M21" s="7"/>
      <c r="N21" s="7"/>
      <c r="O21" s="7"/>
      <c r="P21" s="7"/>
      <c r="Q21" s="7"/>
      <c r="R21" s="7"/>
      <c r="S21" s="9"/>
      <c r="T21" s="9"/>
    </row>
    <row r="22" spans="1:20">
      <c r="A22" s="10" t="s">
        <v>444</v>
      </c>
      <c r="B22" s="8" t="s">
        <v>445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9"/>
      <c r="T22" s="9"/>
    </row>
    <row r="23" spans="1:20">
      <c r="A23" s="10" t="s">
        <v>446</v>
      </c>
      <c r="B23" s="8" t="s">
        <v>447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9"/>
      <c r="T23" s="9"/>
    </row>
    <row r="24" spans="1:20">
      <c r="A24" s="10" t="s">
        <v>448</v>
      </c>
      <c r="B24" s="8" t="s">
        <v>449</v>
      </c>
      <c r="C24" s="7"/>
      <c r="D24" s="7">
        <v>0.26874999999999999</v>
      </c>
      <c r="E24" s="7"/>
      <c r="F24" s="7">
        <v>0.35208333333333336</v>
      </c>
      <c r="G24" s="7"/>
      <c r="H24" s="7">
        <v>0.7270833333333333</v>
      </c>
      <c r="I24" s="7"/>
      <c r="J24" s="7">
        <v>0.81041666666666667</v>
      </c>
      <c r="K24" s="7"/>
      <c r="L24" s="7"/>
      <c r="M24" s="7"/>
      <c r="N24" s="7"/>
      <c r="O24" s="7"/>
      <c r="P24" s="7"/>
      <c r="Q24" s="7"/>
      <c r="R24" s="7"/>
      <c r="S24" s="9"/>
      <c r="T24" s="9"/>
    </row>
    <row r="25" spans="1:20">
      <c r="A25" s="10" t="s">
        <v>450</v>
      </c>
      <c r="B25" s="8" t="s">
        <v>451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9"/>
      <c r="T25" s="9"/>
    </row>
    <row r="26" spans="1:20">
      <c r="A26" s="10" t="s">
        <v>452</v>
      </c>
      <c r="B26" s="8" t="s">
        <v>453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9"/>
      <c r="T26" s="9"/>
    </row>
    <row r="27" spans="1:20">
      <c r="A27" s="10" t="s">
        <v>454</v>
      </c>
      <c r="B27" s="8" t="s">
        <v>455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9"/>
      <c r="T27" s="9"/>
    </row>
    <row r="28" spans="1:20">
      <c r="A28" s="10" t="s">
        <v>456</v>
      </c>
      <c r="B28" s="8" t="s">
        <v>457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9"/>
      <c r="T28" s="9"/>
    </row>
    <row r="29" spans="1:20">
      <c r="A29" s="10" t="s">
        <v>458</v>
      </c>
      <c r="B29" s="8" t="s">
        <v>459</v>
      </c>
      <c r="C29" s="7"/>
      <c r="D29" s="7">
        <v>0.28472222222222221</v>
      </c>
      <c r="E29" s="7"/>
      <c r="F29" s="7">
        <v>0.36805555555555558</v>
      </c>
      <c r="G29" s="7"/>
      <c r="H29" s="7">
        <v>0.74305555555555558</v>
      </c>
      <c r="I29" s="7"/>
      <c r="J29" s="7">
        <v>0.82638888888888884</v>
      </c>
      <c r="K29" s="7"/>
      <c r="L29" s="7"/>
      <c r="M29" s="7"/>
      <c r="N29" s="7"/>
      <c r="O29" s="7"/>
      <c r="P29" s="7"/>
      <c r="Q29" s="7"/>
      <c r="R29" s="7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4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11"/>
    </row>
    <row r="36" spans="1:10">
      <c r="A36" s="10"/>
      <c r="B36" s="9"/>
      <c r="C36" s="8"/>
      <c r="D36" s="11"/>
      <c r="E36" s="8"/>
      <c r="F36" s="11"/>
      <c r="G36" s="8"/>
      <c r="H36" s="11"/>
      <c r="I36" s="8"/>
      <c r="J36" s="8"/>
    </row>
    <row r="37" spans="1:10">
      <c r="A37" s="10"/>
      <c r="B37" s="11"/>
      <c r="C37" s="8"/>
      <c r="D37" s="11"/>
      <c r="E37" s="8"/>
      <c r="F37" s="11"/>
      <c r="G37" s="8"/>
      <c r="H37" s="11"/>
      <c r="I37" s="8"/>
      <c r="J37" s="8"/>
    </row>
    <row r="38" spans="1:10">
      <c r="A38" s="10"/>
      <c r="B38" s="11"/>
      <c r="C38" s="8"/>
      <c r="D38" s="11"/>
      <c r="E38" s="8"/>
      <c r="F38" s="11"/>
      <c r="G38" s="8"/>
      <c r="H38" s="11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11"/>
      <c r="C44" s="8"/>
      <c r="D44" s="11"/>
      <c r="E44" s="8"/>
      <c r="F44" s="11"/>
      <c r="G44" s="8"/>
      <c r="H44" s="11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spans="1:10">
      <c r="A46" s="10"/>
      <c r="B46" s="11"/>
      <c r="C46" s="8"/>
      <c r="D46" s="11"/>
      <c r="E46" s="8"/>
      <c r="F46" s="11"/>
      <c r="G46" s="8"/>
      <c r="H46" s="11"/>
      <c r="I46" s="8"/>
    </row>
    <row r="47" spans="1:10">
      <c r="A47" s="10"/>
      <c r="B47" s="11"/>
      <c r="C47" s="8"/>
      <c r="D47" s="11"/>
      <c r="E47" s="8"/>
      <c r="F47" s="11"/>
      <c r="G47" s="8"/>
      <c r="H47" s="11"/>
      <c r="I47" s="8"/>
    </row>
    <row r="48" spans="1:10">
      <c r="A48" s="10"/>
      <c r="B48" s="11"/>
      <c r="C48" s="8"/>
      <c r="D48" s="11"/>
      <c r="E48" s="8"/>
      <c r="F48" s="11"/>
      <c r="G48" s="8"/>
      <c r="H48" s="11"/>
      <c r="I48" s="8"/>
    </row>
    <row r="49" spans="1:9">
      <c r="A49" s="10"/>
      <c r="B49" s="8"/>
      <c r="C49" s="8"/>
      <c r="D49" s="8"/>
      <c r="E49" s="8"/>
      <c r="F49" s="8"/>
      <c r="G49" s="8"/>
      <c r="H49" s="8"/>
      <c r="I49" s="8"/>
    </row>
    <row r="50" spans="1:9">
      <c r="A50" s="10"/>
      <c r="B50" s="11"/>
      <c r="C50" s="11"/>
      <c r="D50" s="11"/>
      <c r="E50" s="11"/>
      <c r="F50" s="11"/>
      <c r="G50" s="11"/>
      <c r="H50" s="11"/>
      <c r="I50" s="11"/>
    </row>
    <row r="51" spans="1:9">
      <c r="A51" s="10"/>
      <c r="B51" s="8"/>
      <c r="C51" s="8"/>
      <c r="D51" s="8"/>
      <c r="E51" s="8"/>
      <c r="F51" s="8"/>
      <c r="G51" s="8"/>
      <c r="H51" s="8"/>
      <c r="I51" s="8"/>
    </row>
    <row r="52" spans="1:9">
      <c r="A52" s="10"/>
      <c r="B52" s="8"/>
      <c r="C52" s="8"/>
      <c r="D52" s="8"/>
      <c r="E52" s="8"/>
      <c r="F52" s="8"/>
      <c r="G52" s="8"/>
      <c r="H52" s="8"/>
      <c r="I52" s="8"/>
    </row>
    <row r="53" spans="1:9">
      <c r="A53" s="10"/>
      <c r="B53" s="8"/>
      <c r="C53" s="8"/>
      <c r="D53" s="8"/>
      <c r="E53" s="8"/>
      <c r="F53" s="8"/>
      <c r="G53" s="8"/>
      <c r="H53" s="8"/>
      <c r="I53" s="8"/>
    </row>
    <row r="54" spans="1:9">
      <c r="A54" s="10"/>
      <c r="B54" s="8"/>
      <c r="C54" s="11"/>
      <c r="D54" s="8"/>
      <c r="E54" s="11"/>
      <c r="F54" s="8"/>
      <c r="G54" s="11"/>
      <c r="H54" s="8"/>
      <c r="I54" s="11"/>
    </row>
    <row r="55" spans="1:9">
      <c r="A55" s="10"/>
      <c r="B55" s="8"/>
      <c r="C55" s="8"/>
      <c r="D55" s="8"/>
      <c r="E55" s="8"/>
      <c r="F55" s="8"/>
      <c r="G55" s="8"/>
      <c r="H55" s="8"/>
      <c r="I55" s="8"/>
    </row>
    <row r="56" spans="1:9">
      <c r="A56" s="10"/>
      <c r="B56" s="8"/>
      <c r="C56" s="8"/>
      <c r="D56" s="8"/>
      <c r="E56" s="8"/>
      <c r="F56" s="8"/>
      <c r="G56" s="8"/>
      <c r="H56" s="8"/>
      <c r="I56" s="8"/>
    </row>
    <row r="57" spans="1:9">
      <c r="A57" s="10"/>
      <c r="B57" s="8"/>
      <c r="C57" s="11"/>
      <c r="D57" s="8"/>
      <c r="E57" s="11"/>
      <c r="F57" s="8"/>
      <c r="G57" s="11"/>
      <c r="H57" s="8"/>
      <c r="I57" s="11"/>
    </row>
    <row r="58" spans="1:9">
      <c r="A58" s="10"/>
      <c r="B58" s="8"/>
      <c r="C58" s="8"/>
      <c r="D58" s="8"/>
      <c r="E58" s="8"/>
      <c r="F58" s="8"/>
      <c r="G58" s="8"/>
      <c r="H58" s="8"/>
      <c r="I58" s="8"/>
    </row>
    <row r="59" spans="1:9">
      <c r="A59" s="10"/>
      <c r="B59" s="8"/>
      <c r="C59" s="8"/>
      <c r="D59" s="8"/>
      <c r="E59" s="8"/>
      <c r="F59" s="8"/>
      <c r="G59" s="8"/>
      <c r="H59" s="8"/>
      <c r="I59" s="8"/>
    </row>
    <row r="60" spans="1:9">
      <c r="A60" s="10"/>
      <c r="B60" s="8"/>
      <c r="C60" s="8"/>
      <c r="D60" s="8"/>
      <c r="E60" s="8"/>
      <c r="F60" s="8"/>
      <c r="G60" s="8"/>
      <c r="H60" s="8"/>
      <c r="I60" s="8"/>
    </row>
    <row r="61" spans="1:9">
      <c r="A61" s="10"/>
      <c r="B61" s="8"/>
      <c r="C61" s="8"/>
      <c r="D61" s="8"/>
      <c r="E61" s="8"/>
      <c r="F61" s="8"/>
      <c r="G61" s="8"/>
      <c r="H61" s="8"/>
      <c r="I61" s="8"/>
    </row>
    <row r="62" spans="1:9">
      <c r="A62" s="10"/>
      <c r="B62" s="8"/>
      <c r="C62" s="11"/>
      <c r="D62" s="8"/>
      <c r="E62" s="11"/>
      <c r="F62" s="8"/>
      <c r="G62" s="11"/>
      <c r="H62" s="8"/>
      <c r="I62" s="1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34A853"/>
    <outlinePr summaryBelow="0" summaryRight="0"/>
  </sheetPr>
  <dimension ref="A1:AA64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'JHB-to-RAND_Sat'!B1</f>
        <v>45710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30" t="s">
        <v>460</v>
      </c>
      <c r="D2" s="130" t="s">
        <v>462</v>
      </c>
      <c r="E2" s="130" t="s">
        <v>464</v>
      </c>
      <c r="F2" s="130" t="s">
        <v>466</v>
      </c>
      <c r="G2" s="130" t="s">
        <v>474</v>
      </c>
      <c r="H2" s="130" t="s">
        <v>479</v>
      </c>
      <c r="I2" s="130" t="s">
        <v>480</v>
      </c>
      <c r="J2" s="130" t="s">
        <v>461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458</v>
      </c>
      <c r="B3" s="4" t="s">
        <v>459</v>
      </c>
      <c r="C3" s="5">
        <v>0.20833333333333334</v>
      </c>
      <c r="D3" s="5"/>
      <c r="E3" s="5">
        <v>0.29166666666666669</v>
      </c>
      <c r="F3" s="5"/>
      <c r="G3" s="5">
        <v>0.66666666666666663</v>
      </c>
      <c r="H3" s="5"/>
      <c r="I3" s="5">
        <v>0.75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456</v>
      </c>
      <c r="B4" s="6" t="s">
        <v>457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454</v>
      </c>
      <c r="B5" s="6" t="s">
        <v>455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452</v>
      </c>
      <c r="B6" s="6" t="s">
        <v>453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450</v>
      </c>
      <c r="B7" s="6" t="s">
        <v>451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448</v>
      </c>
      <c r="B8" s="6" t="s">
        <v>449</v>
      </c>
      <c r="C8" s="7">
        <v>0.22569444444444445</v>
      </c>
      <c r="D8" s="7"/>
      <c r="E8" s="7">
        <v>0.30902777777777779</v>
      </c>
      <c r="F8" s="7"/>
      <c r="G8" s="7">
        <v>0.68402777777777779</v>
      </c>
      <c r="H8" s="7"/>
      <c r="I8" s="7">
        <v>0.76736111111111116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446</v>
      </c>
      <c r="B9" s="6" t="s">
        <v>447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444</v>
      </c>
      <c r="B10" s="6" t="s">
        <v>445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442</v>
      </c>
      <c r="B11" s="6" t="s">
        <v>443</v>
      </c>
      <c r="C11" s="7">
        <v>0.23125000000000001</v>
      </c>
      <c r="D11" s="7"/>
      <c r="E11" s="7">
        <v>0.31458333333333333</v>
      </c>
      <c r="F11" s="7"/>
      <c r="G11" s="7">
        <v>0.68958333333333333</v>
      </c>
      <c r="H11" s="7"/>
      <c r="I11" s="7">
        <v>0.7729166666666667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440</v>
      </c>
      <c r="B12" s="6" t="s">
        <v>441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438</v>
      </c>
      <c r="B13" s="6" t="s">
        <v>439</v>
      </c>
      <c r="C13" s="153">
        <f>C15-TIME(0,7,0)</f>
        <v>0.23819444444444443</v>
      </c>
      <c r="D13" s="153"/>
      <c r="E13" s="153">
        <f>E15-TIME(0,7,0)</f>
        <v>0.3215277777777778</v>
      </c>
      <c r="F13" s="153"/>
      <c r="G13" s="153">
        <f>G15-TIME(0,7,0)</f>
        <v>0.69652777777777775</v>
      </c>
      <c r="H13" s="153"/>
      <c r="I13" s="153">
        <f>I15-TIME(0,7,0)</f>
        <v>0.77986111111111112</v>
      </c>
      <c r="J13" s="153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436</v>
      </c>
      <c r="B14" s="6" t="s">
        <v>437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27">
      <c r="A15" s="1" t="s">
        <v>434</v>
      </c>
      <c r="B15" s="6" t="s">
        <v>435</v>
      </c>
      <c r="C15" s="7">
        <v>0.24305555555555555</v>
      </c>
      <c r="D15" s="7">
        <v>0.25</v>
      </c>
      <c r="E15" s="7">
        <v>0.3263888888888889</v>
      </c>
      <c r="F15" s="7">
        <v>0.33333333333333331</v>
      </c>
      <c r="G15" s="7">
        <v>0.70138888888888884</v>
      </c>
      <c r="H15" s="7">
        <v>0.70833333333333337</v>
      </c>
      <c r="I15" s="7">
        <v>0.78472222222222221</v>
      </c>
      <c r="J15" s="7">
        <v>0.79166666666666663</v>
      </c>
      <c r="K15" s="7"/>
      <c r="L15" s="7"/>
      <c r="M15" s="7"/>
      <c r="N15" s="7"/>
      <c r="O15" s="7"/>
      <c r="P15" s="7"/>
      <c r="Q15" s="7"/>
      <c r="R15" s="7"/>
    </row>
    <row r="16" spans="1:27">
      <c r="A16" s="6" t="s">
        <v>432</v>
      </c>
      <c r="B16" s="6" t="s">
        <v>433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430</v>
      </c>
      <c r="B17" s="6" t="s">
        <v>431</v>
      </c>
      <c r="C17" s="7"/>
      <c r="D17" s="7">
        <v>0.25347222222222221</v>
      </c>
      <c r="E17" s="7"/>
      <c r="F17" s="7">
        <v>0.33680555555555558</v>
      </c>
      <c r="G17" s="7"/>
      <c r="H17" s="7">
        <v>0.71180555555555558</v>
      </c>
      <c r="I17" s="7"/>
      <c r="J17" s="7">
        <v>0.79513888888888884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6" t="s">
        <v>428</v>
      </c>
      <c r="B18" s="6" t="s">
        <v>429</v>
      </c>
      <c r="C18" s="7"/>
      <c r="D18" s="7">
        <v>0.25624999999999998</v>
      </c>
      <c r="E18" s="7"/>
      <c r="F18" s="7">
        <v>0.33958333333333335</v>
      </c>
      <c r="G18" s="7"/>
      <c r="H18" s="7">
        <v>0.71458333333333335</v>
      </c>
      <c r="I18" s="7"/>
      <c r="J18" s="7">
        <v>0.79791666666666672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6" t="s">
        <v>426</v>
      </c>
      <c r="B19" s="6" t="s">
        <v>427</v>
      </c>
      <c r="C19" s="7"/>
      <c r="D19" s="7">
        <v>0.2590277777777778</v>
      </c>
      <c r="E19" s="7"/>
      <c r="F19" s="7">
        <v>0.34236111111111112</v>
      </c>
      <c r="G19" s="7"/>
      <c r="H19" s="7">
        <v>0.71736111111111112</v>
      </c>
      <c r="I19" s="7"/>
      <c r="J19" s="7">
        <v>0.80069444444444449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6" t="s">
        <v>424</v>
      </c>
      <c r="B20" s="8" t="s">
        <v>425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  <c r="T20" s="8"/>
    </row>
    <row r="21" spans="1:20">
      <c r="A21" s="8" t="s">
        <v>422</v>
      </c>
      <c r="B21" s="8" t="s">
        <v>423</v>
      </c>
      <c r="C21" s="7"/>
      <c r="D21" s="7">
        <v>0.26250000000000001</v>
      </c>
      <c r="E21" s="7"/>
      <c r="F21" s="7">
        <v>0.34583333333333333</v>
      </c>
      <c r="G21" s="7"/>
      <c r="H21" s="7">
        <v>0.72083333333333333</v>
      </c>
      <c r="I21" s="7"/>
      <c r="J21" s="7">
        <v>0.8041666666666667</v>
      </c>
      <c r="K21" s="7"/>
      <c r="L21" s="7"/>
      <c r="M21" s="7"/>
      <c r="N21" s="7"/>
      <c r="O21" s="7"/>
      <c r="P21" s="7"/>
      <c r="Q21" s="7"/>
      <c r="R21" s="7"/>
      <c r="S21" s="9"/>
      <c r="T21" s="9"/>
    </row>
    <row r="22" spans="1:20">
      <c r="A22" s="10" t="s">
        <v>420</v>
      </c>
      <c r="B22" s="8" t="s">
        <v>421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9"/>
      <c r="T22" s="9"/>
    </row>
    <row r="23" spans="1:20">
      <c r="A23" s="10" t="s">
        <v>418</v>
      </c>
      <c r="B23" s="8" t="s">
        <v>419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9"/>
      <c r="T23" s="9"/>
    </row>
    <row r="24" spans="1:20">
      <c r="A24" s="10" t="s">
        <v>416</v>
      </c>
      <c r="B24" s="8" t="s">
        <v>417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9"/>
      <c r="T24" s="9"/>
    </row>
    <row r="25" spans="1:20">
      <c r="A25" s="10" t="s">
        <v>414</v>
      </c>
      <c r="B25" s="8" t="s">
        <v>415</v>
      </c>
      <c r="C25" s="7"/>
      <c r="D25" s="7">
        <v>0.26944444444444443</v>
      </c>
      <c r="E25" s="7"/>
      <c r="F25" s="7">
        <v>0.3527777777777778</v>
      </c>
      <c r="G25" s="7"/>
      <c r="H25" s="7">
        <v>0.72777777777777775</v>
      </c>
      <c r="I25" s="7"/>
      <c r="J25" s="7">
        <v>0.81111111111111112</v>
      </c>
      <c r="K25" s="7"/>
      <c r="L25" s="7"/>
      <c r="M25" s="7"/>
      <c r="N25" s="7"/>
      <c r="O25" s="7"/>
      <c r="S25" s="9"/>
      <c r="T25" s="9"/>
    </row>
    <row r="26" spans="1:20">
      <c r="A26" s="10" t="s">
        <v>412</v>
      </c>
      <c r="B26" s="8" t="s">
        <v>413</v>
      </c>
      <c r="C26" s="7"/>
      <c r="D26" s="7">
        <v>0.27291666666666664</v>
      </c>
      <c r="E26" s="7"/>
      <c r="F26" s="7">
        <v>0.35625000000000001</v>
      </c>
      <c r="G26" s="7"/>
      <c r="H26" s="7">
        <v>0.73124999999999996</v>
      </c>
      <c r="I26" s="7"/>
      <c r="J26" s="7">
        <v>0.81458333333333333</v>
      </c>
      <c r="K26" s="7"/>
      <c r="L26" s="7"/>
      <c r="M26" s="7"/>
      <c r="N26" s="7"/>
      <c r="O26" s="7"/>
      <c r="S26" s="9"/>
      <c r="T26" s="9"/>
    </row>
    <row r="27" spans="1:20">
      <c r="A27" s="10" t="s">
        <v>410</v>
      </c>
      <c r="B27" s="8" t="s">
        <v>411</v>
      </c>
      <c r="C27" s="7"/>
      <c r="D27" s="7">
        <v>0.27569444444444446</v>
      </c>
      <c r="E27" s="7"/>
      <c r="F27" s="7">
        <v>0.35902777777777778</v>
      </c>
      <c r="G27" s="7"/>
      <c r="H27" s="7">
        <v>0.73402777777777772</v>
      </c>
      <c r="I27" s="7"/>
      <c r="J27" s="7">
        <v>0.81736111111111109</v>
      </c>
      <c r="K27" s="7"/>
      <c r="L27" s="7"/>
      <c r="M27" s="7"/>
      <c r="N27" s="7"/>
      <c r="O27" s="7"/>
      <c r="S27" s="9"/>
      <c r="T27" s="9"/>
    </row>
    <row r="28" spans="1:20">
      <c r="A28" s="10" t="s">
        <v>408</v>
      </c>
      <c r="B28" s="8" t="s">
        <v>409</v>
      </c>
      <c r="C28" s="7"/>
      <c r="D28" s="7">
        <v>0.27916666666666667</v>
      </c>
      <c r="E28" s="7"/>
      <c r="F28" s="7">
        <v>0.36249999999999999</v>
      </c>
      <c r="G28" s="7"/>
      <c r="H28" s="7">
        <v>0.73750000000000004</v>
      </c>
      <c r="I28" s="7"/>
      <c r="J28" s="7">
        <v>0.8208333333333333</v>
      </c>
      <c r="K28" s="7"/>
      <c r="L28" s="7"/>
      <c r="M28" s="7"/>
      <c r="N28" s="7"/>
      <c r="O28" s="7"/>
      <c r="S28" s="9"/>
      <c r="T28" s="9"/>
    </row>
    <row r="29" spans="1:20">
      <c r="A29" s="10" t="s">
        <v>209</v>
      </c>
      <c r="B29" s="8" t="s">
        <v>407</v>
      </c>
      <c r="C29" s="7"/>
      <c r="D29" s="7">
        <v>0.28472222222222221</v>
      </c>
      <c r="E29" s="7"/>
      <c r="F29" s="7">
        <v>0.36805555555555558</v>
      </c>
      <c r="G29" s="7"/>
      <c r="H29" s="7">
        <v>0.74305555555555558</v>
      </c>
      <c r="I29" s="7"/>
      <c r="J29" s="7">
        <v>0.82638888888888884</v>
      </c>
      <c r="K29" s="7"/>
      <c r="L29" s="7"/>
      <c r="M29" s="7"/>
      <c r="N29" s="7"/>
      <c r="O29" s="7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11"/>
      <c r="C38" s="8"/>
      <c r="D38" s="11"/>
      <c r="E38" s="8"/>
      <c r="F38" s="11"/>
      <c r="G38" s="8"/>
      <c r="H38" s="11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  <row r="46" spans="1:10">
      <c r="A46" s="10"/>
      <c r="B46" s="11"/>
      <c r="C46" s="8"/>
      <c r="D46" s="11"/>
      <c r="E46" s="8"/>
      <c r="F46" s="11"/>
      <c r="G46" s="8"/>
      <c r="H46" s="11"/>
      <c r="I46" s="8"/>
    </row>
    <row r="47" spans="1:10">
      <c r="A47" s="10"/>
      <c r="B47" s="8"/>
      <c r="C47" s="8"/>
      <c r="D47" s="8"/>
      <c r="E47" s="8"/>
      <c r="F47" s="8"/>
      <c r="G47" s="8"/>
      <c r="H47" s="8"/>
      <c r="I47" s="8"/>
    </row>
    <row r="48" spans="1:10">
      <c r="A48" s="10"/>
      <c r="B48" s="8"/>
      <c r="C48" s="8"/>
      <c r="D48" s="8"/>
      <c r="E48" s="8"/>
      <c r="F48" s="8"/>
      <c r="G48" s="8"/>
      <c r="H48" s="8"/>
      <c r="I48" s="8"/>
    </row>
    <row r="49" spans="1:9">
      <c r="A49" s="10"/>
      <c r="B49" s="8"/>
      <c r="C49" s="8"/>
      <c r="D49" s="8"/>
      <c r="E49" s="8"/>
      <c r="F49" s="8"/>
      <c r="G49" s="8"/>
      <c r="H49" s="8"/>
      <c r="I49" s="8"/>
    </row>
    <row r="50" spans="1:9">
      <c r="A50" s="10"/>
      <c r="B50" s="11"/>
      <c r="C50" s="11"/>
      <c r="D50" s="11"/>
      <c r="E50" s="11"/>
      <c r="F50" s="11"/>
      <c r="G50" s="11"/>
      <c r="H50" s="11"/>
      <c r="I50" s="11"/>
    </row>
    <row r="51" spans="1:9">
      <c r="A51" s="10"/>
      <c r="B51" s="8"/>
      <c r="C51" s="8"/>
      <c r="D51" s="8"/>
      <c r="E51" s="8"/>
      <c r="F51" s="8"/>
      <c r="G51" s="8"/>
      <c r="H51" s="8"/>
      <c r="I51" s="8"/>
    </row>
    <row r="52" spans="1:9">
      <c r="A52" s="10"/>
      <c r="B52" s="8"/>
      <c r="C52" s="11"/>
      <c r="D52" s="8"/>
      <c r="E52" s="11"/>
      <c r="F52" s="8"/>
      <c r="G52" s="11"/>
      <c r="H52" s="8"/>
      <c r="I52" s="11"/>
    </row>
    <row r="53" spans="1:9">
      <c r="A53" s="10"/>
      <c r="B53" s="8"/>
      <c r="C53" s="11"/>
      <c r="D53" s="8"/>
      <c r="E53" s="11"/>
      <c r="F53" s="8"/>
      <c r="G53" s="11"/>
      <c r="H53" s="8"/>
      <c r="I53" s="11"/>
    </row>
    <row r="54" spans="1:9">
      <c r="A54" s="10"/>
      <c r="B54" s="8"/>
      <c r="C54" s="11"/>
      <c r="D54" s="8"/>
      <c r="E54" s="11"/>
      <c r="F54" s="8"/>
      <c r="G54" s="11"/>
      <c r="H54" s="8"/>
      <c r="I54" s="11"/>
    </row>
    <row r="55" spans="1:9">
      <c r="A55" s="10"/>
      <c r="B55" s="8"/>
      <c r="C55" s="8"/>
      <c r="D55" s="8"/>
      <c r="E55" s="8"/>
      <c r="F55" s="8"/>
      <c r="G55" s="8"/>
      <c r="H55" s="8"/>
      <c r="I55" s="8"/>
    </row>
    <row r="56" spans="1:9">
      <c r="A56" s="10"/>
      <c r="B56" s="8"/>
      <c r="C56" s="11"/>
      <c r="D56" s="8"/>
      <c r="E56" s="11"/>
      <c r="F56" s="8"/>
      <c r="G56" s="11"/>
      <c r="H56" s="8"/>
      <c r="I56" s="11"/>
    </row>
    <row r="57" spans="1:9">
      <c r="A57" s="10"/>
      <c r="B57" s="8"/>
      <c r="C57" s="8"/>
      <c r="D57" s="8"/>
      <c r="E57" s="8"/>
      <c r="F57" s="8"/>
      <c r="G57" s="8"/>
      <c r="H57" s="8"/>
      <c r="I57" s="8"/>
    </row>
    <row r="58" spans="1:9">
      <c r="A58" s="10"/>
      <c r="B58" s="8"/>
      <c r="C58" s="8"/>
      <c r="D58" s="8"/>
      <c r="E58" s="8"/>
      <c r="F58" s="8"/>
      <c r="G58" s="8"/>
      <c r="H58" s="8"/>
      <c r="I58" s="8"/>
    </row>
    <row r="59" spans="1:9">
      <c r="A59" s="10"/>
      <c r="B59" s="8"/>
      <c r="C59" s="8"/>
      <c r="D59" s="8"/>
      <c r="E59" s="8"/>
      <c r="F59" s="8"/>
      <c r="G59" s="8"/>
      <c r="H59" s="8"/>
      <c r="I59" s="8"/>
    </row>
    <row r="60" spans="1:9">
      <c r="A60" s="10"/>
      <c r="B60" s="8"/>
      <c r="C60" s="11"/>
      <c r="D60" s="8"/>
      <c r="E60" s="11"/>
      <c r="F60" s="8"/>
      <c r="G60" s="11"/>
      <c r="H60" s="8"/>
      <c r="I60" s="11"/>
    </row>
    <row r="61" spans="1:9">
      <c r="A61" s="10"/>
      <c r="B61" s="8"/>
      <c r="C61" s="11"/>
      <c r="D61" s="8"/>
      <c r="E61" s="11"/>
      <c r="F61" s="8"/>
      <c r="G61" s="11"/>
      <c r="H61" s="8"/>
      <c r="I61" s="11"/>
    </row>
    <row r="62" spans="1:9">
      <c r="A62" s="10"/>
      <c r="B62" s="8"/>
      <c r="C62" s="11"/>
      <c r="D62" s="8"/>
      <c r="E62" s="11"/>
      <c r="F62" s="8"/>
      <c r="G62" s="11"/>
      <c r="H62" s="8"/>
      <c r="I62" s="11"/>
    </row>
    <row r="63" spans="1:9">
      <c r="A63" s="10"/>
      <c r="B63" s="8"/>
      <c r="C63" s="11"/>
      <c r="D63" s="8"/>
      <c r="E63" s="11"/>
      <c r="F63" s="8"/>
      <c r="G63" s="11"/>
      <c r="H63" s="8"/>
      <c r="I63" s="11"/>
    </row>
    <row r="64" spans="1:9">
      <c r="A64" s="10"/>
      <c r="B64" s="8"/>
      <c r="C64" s="11"/>
      <c r="D64" s="8"/>
      <c r="E64" s="11"/>
      <c r="F64" s="8"/>
      <c r="G64" s="11"/>
      <c r="H64" s="8"/>
      <c r="I64" s="1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5DEE60"/>
    <outlinePr summaryBelow="0" summaryRight="0"/>
  </sheetPr>
  <dimension ref="A1:AA52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45813</v>
      </c>
      <c r="C1" s="83" t="s">
        <v>125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9306</v>
      </c>
      <c r="D2" s="1">
        <v>9308</v>
      </c>
      <c r="E2" s="1">
        <v>9310</v>
      </c>
      <c r="F2" s="1">
        <v>9312</v>
      </c>
      <c r="G2" s="1">
        <v>9314</v>
      </c>
      <c r="H2" s="1">
        <v>9316</v>
      </c>
      <c r="I2" s="1">
        <v>9318</v>
      </c>
      <c r="J2" s="1">
        <v>9322</v>
      </c>
      <c r="K2" s="1">
        <v>9324</v>
      </c>
      <c r="L2" s="1">
        <v>9326</v>
      </c>
      <c r="M2" s="1">
        <v>9328</v>
      </c>
      <c r="N2" s="1">
        <v>9332</v>
      </c>
      <c r="O2" s="1">
        <v>9334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>
        <v>0.27083333333333331</v>
      </c>
      <c r="D3" s="5">
        <v>0.3125</v>
      </c>
      <c r="E3" s="5">
        <v>0.36805555555555558</v>
      </c>
      <c r="F3" s="5">
        <v>0.40972222222222221</v>
      </c>
      <c r="G3" s="5">
        <v>0.4513888888888889</v>
      </c>
      <c r="H3" s="5">
        <v>0.49305555555555558</v>
      </c>
      <c r="I3" s="5">
        <v>0.53472222222222221</v>
      </c>
      <c r="J3" s="5">
        <v>0.57638888888888884</v>
      </c>
      <c r="K3" s="5">
        <v>0.63194444444444442</v>
      </c>
      <c r="L3" s="5">
        <v>0.6875</v>
      </c>
      <c r="M3" s="5">
        <v>0.72916666666666663</v>
      </c>
      <c r="N3" s="5">
        <v>0.77083333333333337</v>
      </c>
      <c r="O3" s="5">
        <v>0.80555555555555558</v>
      </c>
      <c r="P3" s="5"/>
      <c r="Q3" s="5"/>
      <c r="R3" s="5"/>
      <c r="S3" s="5"/>
      <c r="T3" s="5"/>
    </row>
    <row r="4" spans="1:27">
      <c r="A4" s="1" t="s">
        <v>408</v>
      </c>
      <c r="B4" s="6" t="s">
        <v>409</v>
      </c>
      <c r="C4" s="7">
        <v>0.27361111111111114</v>
      </c>
      <c r="D4" s="7">
        <v>0.31527777777777777</v>
      </c>
      <c r="E4" s="7">
        <v>0.37083333333333335</v>
      </c>
      <c r="F4" s="7">
        <v>0.41249999999999998</v>
      </c>
      <c r="G4" s="7">
        <v>0.45416666666666666</v>
      </c>
      <c r="H4" s="7">
        <v>0.49583333333333335</v>
      </c>
      <c r="I4" s="7">
        <v>0.53749999999999998</v>
      </c>
      <c r="J4" s="7">
        <v>0.57916666666666672</v>
      </c>
      <c r="K4" s="7">
        <v>0.63472222222222219</v>
      </c>
      <c r="L4" s="7">
        <v>0.69027777777777777</v>
      </c>
      <c r="M4" s="7">
        <v>0.7319444444444444</v>
      </c>
      <c r="N4" s="7">
        <v>0.77361111111111114</v>
      </c>
      <c r="O4" s="7">
        <v>0.80833333333333335</v>
      </c>
      <c r="P4" s="7"/>
      <c r="Q4" s="7"/>
      <c r="R4" s="7"/>
      <c r="S4" s="7"/>
      <c r="T4" s="7"/>
    </row>
    <row r="5" spans="1:27">
      <c r="A5" s="1" t="s">
        <v>410</v>
      </c>
      <c r="B5" s="6" t="s">
        <v>411</v>
      </c>
      <c r="C5" s="7">
        <v>0.27638888888888891</v>
      </c>
      <c r="D5" s="7">
        <v>0.31805555555555554</v>
      </c>
      <c r="E5" s="7">
        <v>0.37361111111111112</v>
      </c>
      <c r="F5" s="7">
        <v>0.4152777777777778</v>
      </c>
      <c r="G5" s="7">
        <v>0.45694444444444443</v>
      </c>
      <c r="H5" s="7">
        <v>0.49861111111111112</v>
      </c>
      <c r="I5" s="7">
        <v>0.54027777777777775</v>
      </c>
      <c r="J5" s="7">
        <v>0.58194444444444449</v>
      </c>
      <c r="K5" s="7">
        <v>0.63749999999999996</v>
      </c>
      <c r="L5" s="7">
        <v>0.69305555555555554</v>
      </c>
      <c r="M5" s="7">
        <v>0.73472222222222228</v>
      </c>
      <c r="N5" s="7">
        <v>0.77638888888888891</v>
      </c>
      <c r="O5" s="7">
        <v>0.81111111111111112</v>
      </c>
      <c r="P5" s="7"/>
      <c r="Q5" s="7"/>
      <c r="R5" s="7"/>
      <c r="S5" s="7"/>
      <c r="T5" s="7"/>
    </row>
    <row r="6" spans="1:27">
      <c r="A6" s="6" t="s">
        <v>412</v>
      </c>
      <c r="B6" s="6" t="s">
        <v>413</v>
      </c>
      <c r="C6" s="7">
        <v>0.27777777777777779</v>
      </c>
      <c r="D6" s="7">
        <v>0.31944444444444442</v>
      </c>
      <c r="E6" s="7">
        <v>0.375</v>
      </c>
      <c r="F6" s="7">
        <v>0.41666666666666669</v>
      </c>
      <c r="G6" s="7">
        <v>0.45833333333333331</v>
      </c>
      <c r="H6" s="7">
        <v>0.5</v>
      </c>
      <c r="I6" s="7">
        <v>0.54166666666666663</v>
      </c>
      <c r="J6" s="7">
        <v>0.58333333333333337</v>
      </c>
      <c r="K6" s="7">
        <v>0.63888888888888884</v>
      </c>
      <c r="L6" s="7">
        <v>0.69444444444444442</v>
      </c>
      <c r="M6" s="7">
        <v>0.73611111111111116</v>
      </c>
      <c r="N6" s="7">
        <v>0.77777777777777779</v>
      </c>
      <c r="O6" s="7">
        <v>0.8125</v>
      </c>
      <c r="P6" s="7"/>
      <c r="Q6" s="7"/>
      <c r="R6" s="7"/>
      <c r="S6" s="7"/>
      <c r="T6" s="7"/>
    </row>
    <row r="7" spans="1:27">
      <c r="A7" s="6" t="s">
        <v>414</v>
      </c>
      <c r="B7" s="6" t="s">
        <v>415</v>
      </c>
      <c r="C7" s="7">
        <v>0.27986111111111112</v>
      </c>
      <c r="D7" s="7">
        <v>0.3215277777777778</v>
      </c>
      <c r="E7" s="7">
        <v>0.37708333333333333</v>
      </c>
      <c r="F7" s="7">
        <v>0.41875000000000001</v>
      </c>
      <c r="G7" s="7">
        <v>0.46041666666666664</v>
      </c>
      <c r="H7" s="7">
        <v>0.50208333333333333</v>
      </c>
      <c r="I7" s="7">
        <v>0.54374999999999996</v>
      </c>
      <c r="J7" s="7">
        <v>0.5854166666666667</v>
      </c>
      <c r="K7" s="7">
        <v>0.64097222222222228</v>
      </c>
      <c r="L7" s="7">
        <v>0.69652777777777775</v>
      </c>
      <c r="M7" s="7">
        <v>0.73819444444444449</v>
      </c>
      <c r="N7" s="7">
        <v>0.77986111111111112</v>
      </c>
      <c r="O7" s="7">
        <v>0.81458333333333333</v>
      </c>
      <c r="P7" s="7"/>
      <c r="Q7" s="7"/>
      <c r="R7" s="7"/>
      <c r="S7" s="7"/>
      <c r="T7" s="7"/>
    </row>
    <row r="8" spans="1:27">
      <c r="A8" s="6" t="s">
        <v>481</v>
      </c>
      <c r="B8" s="6" t="s">
        <v>482</v>
      </c>
      <c r="C8" s="7">
        <v>0.28194444444444444</v>
      </c>
      <c r="D8" s="7">
        <v>0.32361111111111113</v>
      </c>
      <c r="E8" s="7">
        <v>0.37916666666666665</v>
      </c>
      <c r="F8" s="7">
        <v>0.42083333333333334</v>
      </c>
      <c r="G8" s="7">
        <v>0.46250000000000002</v>
      </c>
      <c r="H8" s="7">
        <v>0.50416666666666665</v>
      </c>
      <c r="I8" s="7">
        <v>0.54583333333333328</v>
      </c>
      <c r="J8" s="7">
        <v>0.58750000000000002</v>
      </c>
      <c r="K8" s="7">
        <v>0.6430555555555556</v>
      </c>
      <c r="L8" s="7">
        <v>0.69861111111111107</v>
      </c>
      <c r="M8" s="7">
        <v>0.74027777777777781</v>
      </c>
      <c r="N8" s="7">
        <v>0.78194444444444444</v>
      </c>
      <c r="O8" s="7">
        <v>0.81666666666666665</v>
      </c>
      <c r="P8" s="7"/>
      <c r="Q8" s="7"/>
      <c r="R8" s="7"/>
      <c r="S8" s="7"/>
      <c r="T8" s="7"/>
    </row>
    <row r="9" spans="1:27">
      <c r="A9" s="1" t="s">
        <v>483</v>
      </c>
      <c r="B9" s="6" t="s">
        <v>484</v>
      </c>
      <c r="C9" s="7">
        <v>0.28333333333333333</v>
      </c>
      <c r="D9" s="7">
        <v>0.32500000000000001</v>
      </c>
      <c r="E9" s="7">
        <v>0.38055555555555554</v>
      </c>
      <c r="F9" s="7">
        <v>0.42222222222222222</v>
      </c>
      <c r="G9" s="7">
        <v>0.46388888888888891</v>
      </c>
      <c r="H9" s="7">
        <v>0.50555555555555554</v>
      </c>
      <c r="I9" s="7">
        <v>0.54722222222222228</v>
      </c>
      <c r="J9" s="7">
        <v>0.58888888888888891</v>
      </c>
      <c r="K9" s="7">
        <v>0.64444444444444449</v>
      </c>
      <c r="L9" s="7">
        <v>0.7</v>
      </c>
      <c r="M9" s="7">
        <v>0.7416666666666667</v>
      </c>
      <c r="N9" s="7">
        <v>0.78333333333333333</v>
      </c>
      <c r="O9" s="7">
        <v>0.81805555555555554</v>
      </c>
      <c r="P9" s="7"/>
      <c r="Q9" s="7"/>
      <c r="R9" s="7"/>
      <c r="S9" s="7"/>
      <c r="T9" s="7"/>
    </row>
    <row r="10" spans="1:27">
      <c r="A10" s="1" t="s">
        <v>485</v>
      </c>
      <c r="B10" s="6" t="s">
        <v>486</v>
      </c>
      <c r="C10" s="7">
        <v>0.28680555555555554</v>
      </c>
      <c r="D10" s="7">
        <v>0.32847222222222222</v>
      </c>
      <c r="E10" s="7">
        <v>0.3840277777777778</v>
      </c>
      <c r="F10" s="7">
        <v>0.42569444444444443</v>
      </c>
      <c r="G10" s="7">
        <v>0.46736111111111112</v>
      </c>
      <c r="H10" s="7">
        <v>0.50902777777777775</v>
      </c>
      <c r="I10" s="7">
        <v>0.55069444444444449</v>
      </c>
      <c r="J10" s="7">
        <v>0.59236111111111112</v>
      </c>
      <c r="K10" s="7">
        <v>0.6479166666666667</v>
      </c>
      <c r="L10" s="7">
        <v>0.70347222222222228</v>
      </c>
      <c r="M10" s="7">
        <v>0.74513888888888891</v>
      </c>
      <c r="N10" s="7">
        <v>0.78680555555555554</v>
      </c>
      <c r="O10" s="7">
        <v>0.82152777777777775</v>
      </c>
      <c r="P10" s="7"/>
      <c r="Q10" s="7"/>
      <c r="R10" s="7"/>
      <c r="S10" s="7"/>
      <c r="T10" s="7"/>
    </row>
    <row r="11" spans="1:27">
      <c r="A11" s="6" t="s">
        <v>487</v>
      </c>
      <c r="B11" s="6" t="s">
        <v>488</v>
      </c>
      <c r="C11" s="7">
        <v>0.28888888888888886</v>
      </c>
      <c r="D11" s="7">
        <v>0.33055555555555555</v>
      </c>
      <c r="E11" s="7">
        <v>0.38611111111111113</v>
      </c>
      <c r="F11" s="7">
        <v>0.42777777777777776</v>
      </c>
      <c r="G11" s="7">
        <v>0.46944444444444444</v>
      </c>
      <c r="H11" s="7">
        <v>0.51111111111111107</v>
      </c>
      <c r="I11" s="7">
        <v>0.55277777777777781</v>
      </c>
      <c r="J11" s="7">
        <v>0.59444444444444444</v>
      </c>
      <c r="K11" s="7">
        <v>0.65</v>
      </c>
      <c r="L11" s="7">
        <v>0.7055555555555556</v>
      </c>
      <c r="M11" s="7">
        <v>0.74722222222222223</v>
      </c>
      <c r="N11" s="7">
        <v>0.78888888888888886</v>
      </c>
      <c r="O11" s="7">
        <v>0.82361111111111107</v>
      </c>
      <c r="P11" s="7"/>
      <c r="Q11" s="7"/>
      <c r="R11" s="7"/>
      <c r="S11" s="7"/>
      <c r="T11" s="7"/>
    </row>
    <row r="12" spans="1:27">
      <c r="A12" s="6" t="s">
        <v>489</v>
      </c>
      <c r="B12" s="6" t="s">
        <v>490</v>
      </c>
      <c r="C12" s="7">
        <v>0.29097222222222224</v>
      </c>
      <c r="D12" s="7">
        <v>0.33263888888888887</v>
      </c>
      <c r="E12" s="7">
        <v>0.38819444444444445</v>
      </c>
      <c r="F12" s="7">
        <v>0.42986111111111114</v>
      </c>
      <c r="G12" s="7">
        <v>0.47152777777777777</v>
      </c>
      <c r="H12" s="7">
        <v>0.5131944444444444</v>
      </c>
      <c r="I12" s="7">
        <v>0.55486111111111114</v>
      </c>
      <c r="J12" s="7">
        <v>0.59652777777777777</v>
      </c>
      <c r="K12" s="7">
        <v>0.65208333333333335</v>
      </c>
      <c r="L12" s="7">
        <v>0.70763888888888893</v>
      </c>
      <c r="M12" s="7">
        <v>0.74930555555555556</v>
      </c>
      <c r="N12" s="7">
        <v>0.79097222222222219</v>
      </c>
      <c r="O12" s="7">
        <v>0.8256944444444444</v>
      </c>
      <c r="P12" s="7"/>
      <c r="Q12" s="7"/>
      <c r="R12" s="7"/>
      <c r="S12" s="7"/>
      <c r="T12" s="7"/>
    </row>
    <row r="13" spans="1:27">
      <c r="A13" s="1" t="s">
        <v>491</v>
      </c>
      <c r="B13" s="6" t="s">
        <v>492</v>
      </c>
      <c r="C13" s="7">
        <v>0.29236111111111113</v>
      </c>
      <c r="D13" s="7">
        <v>0.33402777777777776</v>
      </c>
      <c r="E13" s="7">
        <v>0.38958333333333334</v>
      </c>
      <c r="F13" s="7">
        <v>0.43125000000000002</v>
      </c>
      <c r="G13" s="7">
        <v>0.47291666666666665</v>
      </c>
      <c r="H13" s="7">
        <v>0.51458333333333328</v>
      </c>
      <c r="I13" s="7">
        <v>0.55625000000000002</v>
      </c>
      <c r="J13" s="7">
        <v>0.59791666666666665</v>
      </c>
      <c r="K13" s="7">
        <v>0.65347222222222223</v>
      </c>
      <c r="L13" s="7">
        <v>0.70902777777777781</v>
      </c>
      <c r="M13" s="7">
        <v>0.75069444444444444</v>
      </c>
      <c r="N13" s="7">
        <v>0.79236111111111107</v>
      </c>
      <c r="O13" s="7">
        <v>0.82708333333333328</v>
      </c>
      <c r="P13" s="7"/>
      <c r="Q13" s="7"/>
      <c r="R13" s="7"/>
      <c r="S13" s="7"/>
      <c r="T13" s="7"/>
    </row>
    <row r="14" spans="1:27">
      <c r="A14" s="6" t="s">
        <v>493</v>
      </c>
      <c r="B14" s="6" t="s">
        <v>494</v>
      </c>
      <c r="C14" s="7">
        <v>0.29375000000000001</v>
      </c>
      <c r="D14" s="7">
        <v>0.33541666666666664</v>
      </c>
      <c r="E14" s="7">
        <v>0.39097222222222222</v>
      </c>
      <c r="F14" s="7">
        <v>0.43263888888888891</v>
      </c>
      <c r="G14" s="7">
        <v>0.47430555555555554</v>
      </c>
      <c r="H14" s="7">
        <v>0.51597222222222228</v>
      </c>
      <c r="I14" s="7">
        <v>0.55763888888888891</v>
      </c>
      <c r="J14" s="7">
        <v>0.59930555555555554</v>
      </c>
      <c r="K14" s="7">
        <v>0.65486111111111112</v>
      </c>
      <c r="L14" s="7">
        <v>0.7104166666666667</v>
      </c>
      <c r="M14" s="7">
        <v>0.75208333333333333</v>
      </c>
      <c r="N14" s="7">
        <v>0.79374999999999996</v>
      </c>
      <c r="O14" s="7">
        <v>0.82847222222222228</v>
      </c>
    </row>
    <row r="15" spans="1:27">
      <c r="A15" s="1" t="s">
        <v>495</v>
      </c>
      <c r="B15" s="6" t="s">
        <v>496</v>
      </c>
      <c r="C15" s="7">
        <v>0.29652777777777778</v>
      </c>
      <c r="D15" s="7">
        <v>0.33819444444444446</v>
      </c>
      <c r="E15" s="7">
        <v>0.39374999999999999</v>
      </c>
      <c r="F15" s="7">
        <v>0.43541666666666667</v>
      </c>
      <c r="G15" s="7">
        <v>0.47708333333333336</v>
      </c>
      <c r="H15" s="7">
        <v>0.51875000000000004</v>
      </c>
      <c r="I15" s="7">
        <v>0.56041666666666667</v>
      </c>
      <c r="J15" s="7">
        <v>0.6020833333333333</v>
      </c>
      <c r="K15" s="7">
        <v>0.65763888888888888</v>
      </c>
      <c r="L15" s="7">
        <v>0.71319444444444446</v>
      </c>
      <c r="M15" s="7">
        <v>0.75486111111111109</v>
      </c>
      <c r="N15" s="7">
        <v>0.79652777777777772</v>
      </c>
      <c r="O15" s="7">
        <v>0.83125000000000004</v>
      </c>
    </row>
    <row r="16" spans="1:27">
      <c r="A16" s="6" t="s">
        <v>497</v>
      </c>
      <c r="B16" s="6" t="s">
        <v>498</v>
      </c>
      <c r="C16" s="7">
        <v>0.29930555555555555</v>
      </c>
      <c r="D16" s="7">
        <v>0.34097222222222223</v>
      </c>
      <c r="E16" s="7">
        <v>0.39652777777777776</v>
      </c>
      <c r="F16" s="7">
        <v>0.43819444444444444</v>
      </c>
      <c r="G16" s="7">
        <v>0.47986111111111113</v>
      </c>
      <c r="H16" s="7">
        <v>0.52152777777777781</v>
      </c>
      <c r="I16" s="7">
        <v>0.56319444444444444</v>
      </c>
      <c r="J16" s="7">
        <v>0.60486111111111107</v>
      </c>
      <c r="K16" s="7">
        <v>0.66041666666666665</v>
      </c>
      <c r="L16" s="7">
        <v>0.71597222222222223</v>
      </c>
      <c r="M16" s="7">
        <v>0.75763888888888886</v>
      </c>
      <c r="N16" s="7">
        <v>0.7993055555555556</v>
      </c>
      <c r="O16" s="7">
        <v>0.83402777777777781</v>
      </c>
      <c r="P16" s="7"/>
      <c r="Q16" s="7"/>
      <c r="R16" s="7"/>
      <c r="S16" s="7"/>
      <c r="T16" s="7"/>
    </row>
    <row r="17" spans="1:20">
      <c r="A17" s="6" t="s">
        <v>499</v>
      </c>
      <c r="B17" s="6" t="s">
        <v>500</v>
      </c>
      <c r="C17" s="7">
        <v>0.30277777777777776</v>
      </c>
      <c r="D17" s="7">
        <v>0.34444444444444444</v>
      </c>
      <c r="E17" s="7">
        <v>0.4</v>
      </c>
      <c r="F17" s="7">
        <v>0.44166666666666665</v>
      </c>
      <c r="G17" s="7">
        <v>0.48333333333333334</v>
      </c>
      <c r="H17" s="7">
        <v>0.52500000000000002</v>
      </c>
      <c r="I17" s="7">
        <v>0.56666666666666665</v>
      </c>
      <c r="J17" s="7">
        <v>0.60833333333333328</v>
      </c>
      <c r="K17" s="7">
        <v>0.66388888888888886</v>
      </c>
      <c r="L17" s="7">
        <v>0.71944444444444444</v>
      </c>
      <c r="M17" s="7">
        <v>0.76111111111111107</v>
      </c>
      <c r="N17" s="7">
        <v>0.80277777777777781</v>
      </c>
      <c r="O17" s="7">
        <v>0.83750000000000002</v>
      </c>
      <c r="P17" s="7"/>
      <c r="Q17" s="7"/>
      <c r="R17" s="7"/>
      <c r="S17" s="7"/>
      <c r="T17" s="7"/>
    </row>
    <row r="18" spans="1:20">
      <c r="A18" s="6" t="s">
        <v>501</v>
      </c>
      <c r="B18" s="6" t="s">
        <v>502</v>
      </c>
      <c r="C18" s="7">
        <v>0.30555555555555558</v>
      </c>
      <c r="D18" s="7">
        <v>0.34722222222222221</v>
      </c>
      <c r="E18" s="7">
        <v>0.40277777777777779</v>
      </c>
      <c r="F18" s="7">
        <v>0.44444444444444442</v>
      </c>
      <c r="G18" s="7">
        <v>0.4861111111111111</v>
      </c>
      <c r="H18" s="7">
        <v>0.52777777777777779</v>
      </c>
      <c r="I18" s="7">
        <v>0.56944444444444442</v>
      </c>
      <c r="J18" s="7">
        <v>0.61111111111111116</v>
      </c>
      <c r="K18" s="7">
        <v>0.66666666666666663</v>
      </c>
      <c r="L18" s="7">
        <v>0.72222222222222221</v>
      </c>
      <c r="M18" s="7">
        <v>0.76388888888888884</v>
      </c>
      <c r="N18" s="7">
        <v>0.80555555555555558</v>
      </c>
      <c r="O18" s="7">
        <v>0.84027777777777779</v>
      </c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3"/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"/>
      <c r="B32" s="1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A34" s="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5DEE60"/>
    <outlinePr summaryBelow="0" summaryRight="0"/>
  </sheetPr>
  <dimension ref="A1:AA54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9301</v>
      </c>
      <c r="D2" s="1">
        <v>9303</v>
      </c>
      <c r="E2" s="1">
        <v>9305</v>
      </c>
      <c r="F2" s="1">
        <v>9307</v>
      </c>
      <c r="G2" s="1">
        <v>9309</v>
      </c>
      <c r="H2" s="1">
        <v>9311</v>
      </c>
      <c r="I2" s="1">
        <v>9313</v>
      </c>
      <c r="J2" s="1">
        <v>9315</v>
      </c>
      <c r="K2" s="1">
        <v>9317</v>
      </c>
      <c r="L2" s="1">
        <v>9321</v>
      </c>
      <c r="M2" s="1">
        <v>9323</v>
      </c>
      <c r="N2" s="1">
        <v>9325</v>
      </c>
      <c r="O2" s="1">
        <v>9327</v>
      </c>
      <c r="P2" s="1">
        <v>9329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501</v>
      </c>
      <c r="B3" s="4" t="s">
        <v>502</v>
      </c>
      <c r="C3" s="5">
        <v>0.18055555555555555</v>
      </c>
      <c r="D3" s="5">
        <v>0.20833333333333334</v>
      </c>
      <c r="E3" s="5">
        <v>0.22916666666666666</v>
      </c>
      <c r="F3" s="5">
        <v>0.26041666666666669</v>
      </c>
      <c r="G3" s="5">
        <v>0.3125</v>
      </c>
      <c r="H3" s="5">
        <v>0.36805555555555558</v>
      </c>
      <c r="I3" s="5">
        <v>0.40972222222222221</v>
      </c>
      <c r="J3" s="5">
        <v>0.4513888888888889</v>
      </c>
      <c r="K3" s="5">
        <v>0.49305555555555558</v>
      </c>
      <c r="L3" s="5">
        <v>0.53472222222222221</v>
      </c>
      <c r="M3" s="5">
        <v>0.57638888888888884</v>
      </c>
      <c r="N3" s="5">
        <v>0.61805555555555558</v>
      </c>
      <c r="O3" s="5">
        <v>0.67361111111111116</v>
      </c>
      <c r="P3" s="5">
        <v>0.75</v>
      </c>
      <c r="Q3" s="5"/>
      <c r="R3" s="5"/>
      <c r="S3" s="5"/>
      <c r="T3" s="5"/>
    </row>
    <row r="4" spans="1:27">
      <c r="A4" s="1" t="s">
        <v>499</v>
      </c>
      <c r="B4" s="71" t="s">
        <v>500</v>
      </c>
      <c r="C4" s="7">
        <v>0.18263888888888888</v>
      </c>
      <c r="D4" s="7">
        <v>0.21041666666666667</v>
      </c>
      <c r="E4" s="7">
        <v>0.23125000000000001</v>
      </c>
      <c r="F4" s="7">
        <v>0.26250000000000001</v>
      </c>
      <c r="G4" s="7">
        <v>0.31458333333333333</v>
      </c>
      <c r="H4" s="7">
        <v>0.37013888888888891</v>
      </c>
      <c r="I4" s="7">
        <v>0.41180555555555554</v>
      </c>
      <c r="J4" s="7">
        <v>0.45347222222222222</v>
      </c>
      <c r="K4" s="7">
        <v>0.49513888888888891</v>
      </c>
      <c r="L4" s="7">
        <v>0.53680555555555554</v>
      </c>
      <c r="M4" s="7">
        <v>0.57847222222222228</v>
      </c>
      <c r="N4" s="7">
        <v>0.62013888888888891</v>
      </c>
      <c r="O4" s="7">
        <v>0.67569444444444449</v>
      </c>
      <c r="P4" s="7">
        <v>0.75208333333333333</v>
      </c>
      <c r="Q4" s="7"/>
      <c r="R4" s="7"/>
      <c r="S4" s="7"/>
      <c r="T4" s="7"/>
    </row>
    <row r="5" spans="1:27">
      <c r="A5" s="1" t="s">
        <v>497</v>
      </c>
      <c r="B5" s="71" t="s">
        <v>498</v>
      </c>
      <c r="C5" s="7">
        <v>0.18611111111111112</v>
      </c>
      <c r="D5" s="7">
        <v>0.21388888888888888</v>
      </c>
      <c r="E5" s="7">
        <v>0.23472222222222222</v>
      </c>
      <c r="F5" s="7">
        <v>0.26597222222222222</v>
      </c>
      <c r="G5" s="7">
        <v>0.31805555555555554</v>
      </c>
      <c r="H5" s="7">
        <v>0.37361111111111112</v>
      </c>
      <c r="I5" s="7">
        <v>0.4152777777777778</v>
      </c>
      <c r="J5" s="7">
        <v>0.45694444444444443</v>
      </c>
      <c r="K5" s="7">
        <v>0.49861111111111112</v>
      </c>
      <c r="L5" s="7">
        <v>0.54027777777777775</v>
      </c>
      <c r="M5" s="7">
        <v>0.58194444444444449</v>
      </c>
      <c r="N5" s="7">
        <v>0.62361111111111112</v>
      </c>
      <c r="O5" s="7">
        <v>0.6791666666666667</v>
      </c>
      <c r="P5" s="7">
        <v>0.75555555555555554</v>
      </c>
      <c r="Q5" s="7"/>
      <c r="R5" s="7"/>
      <c r="S5" s="7"/>
      <c r="T5" s="7"/>
    </row>
    <row r="6" spans="1:27">
      <c r="A6" s="6" t="s">
        <v>495</v>
      </c>
      <c r="B6" s="71" t="s">
        <v>496</v>
      </c>
      <c r="C6" s="7">
        <v>0.18958333333333333</v>
      </c>
      <c r="D6" s="7">
        <v>0.21736111111111112</v>
      </c>
      <c r="E6" s="7">
        <v>0.23819444444444443</v>
      </c>
      <c r="F6" s="7">
        <v>0.26944444444444443</v>
      </c>
      <c r="G6" s="7">
        <v>0.3215277777777778</v>
      </c>
      <c r="H6" s="7">
        <v>0.37708333333333333</v>
      </c>
      <c r="I6" s="7">
        <v>0.41875000000000001</v>
      </c>
      <c r="J6" s="7">
        <v>0.46041666666666664</v>
      </c>
      <c r="K6" s="7">
        <v>0.50208333333333333</v>
      </c>
      <c r="L6" s="7">
        <v>0.54374999999999996</v>
      </c>
      <c r="M6" s="7">
        <v>0.5854166666666667</v>
      </c>
      <c r="N6" s="7">
        <v>0.62708333333333333</v>
      </c>
      <c r="O6" s="7">
        <v>0.68263888888888891</v>
      </c>
      <c r="P6" s="7">
        <v>0.75902777777777775</v>
      </c>
      <c r="Q6" s="7"/>
      <c r="R6" s="7"/>
      <c r="S6" s="7"/>
      <c r="T6" s="7"/>
    </row>
    <row r="7" spans="1:27">
      <c r="A7" s="6" t="s">
        <v>493</v>
      </c>
      <c r="B7" s="71" t="s">
        <v>494</v>
      </c>
      <c r="C7" s="7">
        <v>0.19236111111111112</v>
      </c>
      <c r="D7" s="7">
        <v>0.22013888888888888</v>
      </c>
      <c r="E7" s="7">
        <v>0.24097222222222223</v>
      </c>
      <c r="F7" s="7">
        <v>0.2722222222222222</v>
      </c>
      <c r="G7" s="7">
        <v>0.32430555555555557</v>
      </c>
      <c r="H7" s="7">
        <v>0.37986111111111109</v>
      </c>
      <c r="I7" s="7">
        <v>0.42152777777777778</v>
      </c>
      <c r="J7" s="7">
        <v>0.46319444444444446</v>
      </c>
      <c r="K7" s="7">
        <v>0.50486111111111109</v>
      </c>
      <c r="L7" s="7">
        <v>0.54652777777777772</v>
      </c>
      <c r="M7" s="7">
        <v>0.58819444444444446</v>
      </c>
      <c r="N7" s="7">
        <v>0.62986111111111109</v>
      </c>
      <c r="O7" s="7">
        <v>0.68541666666666667</v>
      </c>
      <c r="P7" s="7">
        <v>0.76180555555555551</v>
      </c>
      <c r="Q7" s="7"/>
      <c r="R7" s="7"/>
      <c r="S7" s="7"/>
      <c r="T7" s="7"/>
    </row>
    <row r="8" spans="1:27">
      <c r="A8" s="6" t="s">
        <v>491</v>
      </c>
      <c r="B8" s="71" t="s">
        <v>492</v>
      </c>
      <c r="C8" s="7">
        <v>0.19375000000000001</v>
      </c>
      <c r="D8" s="7">
        <v>0.22152777777777777</v>
      </c>
      <c r="E8" s="7">
        <v>0.24236111111111111</v>
      </c>
      <c r="F8" s="7">
        <v>0.27361111111111114</v>
      </c>
      <c r="G8" s="7">
        <v>0.32569444444444445</v>
      </c>
      <c r="H8" s="7">
        <v>0.38124999999999998</v>
      </c>
      <c r="I8" s="7">
        <v>0.42291666666666666</v>
      </c>
      <c r="J8" s="7">
        <v>0.46458333333333335</v>
      </c>
      <c r="K8" s="7">
        <v>0.50624999999999998</v>
      </c>
      <c r="L8" s="7">
        <v>0.54791666666666672</v>
      </c>
      <c r="M8" s="7">
        <v>0.58958333333333335</v>
      </c>
      <c r="N8" s="7">
        <v>0.63124999999999998</v>
      </c>
      <c r="O8" s="7">
        <v>0.68680555555555556</v>
      </c>
      <c r="P8" s="7">
        <v>0.7631944444444444</v>
      </c>
      <c r="Q8" s="7"/>
      <c r="R8" s="7"/>
      <c r="S8" s="7"/>
      <c r="T8" s="7"/>
    </row>
    <row r="9" spans="1:27">
      <c r="A9" s="1" t="s">
        <v>489</v>
      </c>
      <c r="B9" s="71" t="s">
        <v>490</v>
      </c>
      <c r="C9" s="7">
        <v>0.19513888888888889</v>
      </c>
      <c r="D9" s="7">
        <v>0.22291666666666668</v>
      </c>
      <c r="E9" s="7">
        <v>0.24374999999999999</v>
      </c>
      <c r="F9" s="7">
        <v>0.27500000000000002</v>
      </c>
      <c r="G9" s="7">
        <v>0.32708333333333334</v>
      </c>
      <c r="H9" s="7">
        <v>0.38263888888888886</v>
      </c>
      <c r="I9" s="7">
        <v>0.42430555555555555</v>
      </c>
      <c r="J9" s="7">
        <v>0.46597222222222223</v>
      </c>
      <c r="K9" s="7">
        <v>0.50763888888888886</v>
      </c>
      <c r="L9" s="7">
        <v>0.5493055555555556</v>
      </c>
      <c r="M9" s="7">
        <v>0.59097222222222223</v>
      </c>
      <c r="N9" s="7">
        <v>0.63263888888888886</v>
      </c>
      <c r="O9" s="7">
        <v>0.68819444444444444</v>
      </c>
      <c r="P9" s="7">
        <v>0.76458333333333328</v>
      </c>
      <c r="Q9" s="7"/>
      <c r="R9" s="7"/>
      <c r="S9" s="7"/>
      <c r="T9" s="7"/>
    </row>
    <row r="10" spans="1:27">
      <c r="A10" s="1" t="s">
        <v>487</v>
      </c>
      <c r="B10" s="71" t="s">
        <v>488</v>
      </c>
      <c r="C10" s="7">
        <v>0.19652777777777777</v>
      </c>
      <c r="D10" s="7">
        <v>0.22430555555555556</v>
      </c>
      <c r="E10" s="7">
        <v>0.24513888888888888</v>
      </c>
      <c r="F10" s="7">
        <v>0.27638888888888891</v>
      </c>
      <c r="G10" s="7">
        <v>0.32847222222222222</v>
      </c>
      <c r="H10" s="7">
        <v>0.3840277777777778</v>
      </c>
      <c r="I10" s="7">
        <v>0.42569444444444443</v>
      </c>
      <c r="J10" s="7">
        <v>0.46736111111111112</v>
      </c>
      <c r="K10" s="7">
        <v>0.50902777777777775</v>
      </c>
      <c r="L10" s="7">
        <v>0.55069444444444449</v>
      </c>
      <c r="M10" s="7">
        <v>0.59236111111111112</v>
      </c>
      <c r="N10" s="7">
        <v>0.63402777777777775</v>
      </c>
      <c r="O10" s="7">
        <v>0.68958333333333333</v>
      </c>
      <c r="P10" s="7">
        <v>0.76597222222222228</v>
      </c>
      <c r="Q10" s="7"/>
      <c r="R10" s="7"/>
      <c r="S10" s="7"/>
      <c r="T10" s="7"/>
    </row>
    <row r="11" spans="1:27">
      <c r="A11" s="6" t="s">
        <v>485</v>
      </c>
      <c r="B11" s="71" t="s">
        <v>486</v>
      </c>
      <c r="C11" s="7">
        <v>0.1986111111111111</v>
      </c>
      <c r="D11" s="7">
        <v>0.22638888888888889</v>
      </c>
      <c r="E11" s="7">
        <v>0.24722222222222223</v>
      </c>
      <c r="F11" s="7">
        <v>0.27847222222222223</v>
      </c>
      <c r="G11" s="7">
        <v>0.33055555555555555</v>
      </c>
      <c r="H11" s="7">
        <v>0.38611111111111113</v>
      </c>
      <c r="I11" s="7">
        <v>0.42777777777777776</v>
      </c>
      <c r="J11" s="7">
        <v>0.46944444444444444</v>
      </c>
      <c r="K11" s="7">
        <v>0.51111111111111107</v>
      </c>
      <c r="L11" s="7">
        <v>0.55277777777777781</v>
      </c>
      <c r="M11" s="7">
        <v>0.59444444444444444</v>
      </c>
      <c r="N11" s="7">
        <v>0.63611111111111107</v>
      </c>
      <c r="O11" s="7">
        <v>0.69166666666666665</v>
      </c>
      <c r="P11" s="7">
        <v>0.7680555555555556</v>
      </c>
      <c r="Q11" s="7"/>
      <c r="R11" s="7"/>
      <c r="S11" s="7"/>
      <c r="T11" s="7"/>
    </row>
    <row r="12" spans="1:27">
      <c r="A12" s="6" t="s">
        <v>483</v>
      </c>
      <c r="B12" s="71" t="s">
        <v>484</v>
      </c>
      <c r="C12" s="7">
        <v>0.20208333333333334</v>
      </c>
      <c r="D12" s="7">
        <v>0.2298611111111111</v>
      </c>
      <c r="E12" s="7">
        <v>0.25069444444444444</v>
      </c>
      <c r="F12" s="7">
        <v>0.28194444444444444</v>
      </c>
      <c r="G12" s="7">
        <v>0.33402777777777776</v>
      </c>
      <c r="H12" s="7">
        <v>0.38958333333333334</v>
      </c>
      <c r="I12" s="7">
        <v>0.43125000000000002</v>
      </c>
      <c r="J12" s="7">
        <v>0.47291666666666665</v>
      </c>
      <c r="K12" s="7">
        <v>0.51458333333333328</v>
      </c>
      <c r="L12" s="7">
        <v>0.55625000000000002</v>
      </c>
      <c r="M12" s="7">
        <v>0.59791666666666665</v>
      </c>
      <c r="N12" s="7">
        <v>0.63958333333333328</v>
      </c>
      <c r="O12" s="7">
        <v>0.69513888888888886</v>
      </c>
      <c r="P12" s="7">
        <v>0.77152777777777781</v>
      </c>
      <c r="Q12" s="7"/>
      <c r="R12" s="7"/>
      <c r="S12" s="7"/>
      <c r="T12" s="7"/>
    </row>
    <row r="13" spans="1:27">
      <c r="A13" s="1" t="s">
        <v>481</v>
      </c>
      <c r="B13" s="71" t="s">
        <v>482</v>
      </c>
      <c r="C13" s="7">
        <v>0.20347222222222222</v>
      </c>
      <c r="D13" s="7">
        <v>0.23125000000000001</v>
      </c>
      <c r="E13" s="7">
        <v>0.25208333333333333</v>
      </c>
      <c r="F13" s="7">
        <v>0.28333333333333333</v>
      </c>
      <c r="G13" s="7">
        <v>0.33541666666666664</v>
      </c>
      <c r="H13" s="7">
        <v>0.39097222222222222</v>
      </c>
      <c r="I13" s="7">
        <v>0.43263888888888891</v>
      </c>
      <c r="J13" s="7">
        <v>0.47430555555555554</v>
      </c>
      <c r="K13" s="7">
        <v>0.51597222222222228</v>
      </c>
      <c r="L13" s="7">
        <v>0.55763888888888891</v>
      </c>
      <c r="M13" s="7">
        <v>0.59930555555555554</v>
      </c>
      <c r="N13" s="7">
        <v>0.64097222222222228</v>
      </c>
      <c r="O13" s="7">
        <v>0.69652777777777775</v>
      </c>
      <c r="P13" s="7">
        <v>0.7729166666666667</v>
      </c>
      <c r="Q13" s="7"/>
      <c r="R13" s="7"/>
      <c r="S13" s="7"/>
      <c r="T13" s="7"/>
    </row>
    <row r="14" spans="1:27">
      <c r="A14" s="6" t="s">
        <v>414</v>
      </c>
      <c r="B14" s="71" t="s">
        <v>415</v>
      </c>
      <c r="C14" s="7">
        <v>0.20624999999999999</v>
      </c>
      <c r="D14" s="7">
        <v>0.23402777777777778</v>
      </c>
      <c r="E14" s="7">
        <v>0.25486111111111109</v>
      </c>
      <c r="F14" s="7">
        <v>0.28611111111111109</v>
      </c>
      <c r="G14" s="7">
        <v>0.33819444444444446</v>
      </c>
      <c r="H14" s="7">
        <v>0.39374999999999999</v>
      </c>
      <c r="I14" s="7">
        <v>0.43541666666666667</v>
      </c>
      <c r="J14" s="7">
        <v>0.47708333333333336</v>
      </c>
      <c r="K14" s="7">
        <v>0.51875000000000004</v>
      </c>
      <c r="L14" s="7">
        <v>0.56041666666666667</v>
      </c>
      <c r="M14" s="7">
        <v>0.6020833333333333</v>
      </c>
      <c r="N14" s="7">
        <v>0.64375000000000004</v>
      </c>
      <c r="O14" s="7">
        <v>0.69930555555555551</v>
      </c>
      <c r="P14" s="7">
        <v>0.77569444444444446</v>
      </c>
    </row>
    <row r="15" spans="1:27">
      <c r="A15" s="1" t="s">
        <v>412</v>
      </c>
      <c r="B15" s="6" t="s">
        <v>413</v>
      </c>
      <c r="C15" s="7">
        <v>0.20833333333333334</v>
      </c>
      <c r="D15" s="7">
        <v>0.2361111111111111</v>
      </c>
      <c r="E15" s="7">
        <v>0.25694444444444442</v>
      </c>
      <c r="F15" s="7">
        <v>0.28819444444444442</v>
      </c>
      <c r="G15" s="7">
        <v>0.34027777777777779</v>
      </c>
      <c r="H15" s="7">
        <v>0.39583333333333331</v>
      </c>
      <c r="I15" s="7">
        <v>0.4375</v>
      </c>
      <c r="J15" s="7">
        <v>0.47916666666666669</v>
      </c>
      <c r="K15" s="7">
        <v>0.52083333333333337</v>
      </c>
      <c r="L15" s="7">
        <v>0.5625</v>
      </c>
      <c r="M15" s="7">
        <v>0.60416666666666663</v>
      </c>
      <c r="N15" s="7">
        <v>0.64583333333333337</v>
      </c>
      <c r="O15" s="7">
        <v>0.70138888888888884</v>
      </c>
      <c r="P15" s="7">
        <v>0.77777777777777779</v>
      </c>
    </row>
    <row r="16" spans="1:27">
      <c r="A16" s="6" t="s">
        <v>410</v>
      </c>
      <c r="B16" s="6" t="s">
        <v>411</v>
      </c>
      <c r="C16" s="7">
        <v>0.20972222222222223</v>
      </c>
      <c r="D16" s="7">
        <v>0.23749999999999999</v>
      </c>
      <c r="E16" s="7">
        <v>0.25833333333333336</v>
      </c>
      <c r="F16" s="7">
        <v>0.28958333333333336</v>
      </c>
      <c r="G16" s="7">
        <v>0.34166666666666667</v>
      </c>
      <c r="H16" s="7">
        <v>0.3972222222222222</v>
      </c>
      <c r="I16" s="7">
        <v>0.43888888888888888</v>
      </c>
      <c r="J16" s="7">
        <v>0.48055555555555557</v>
      </c>
      <c r="K16" s="7">
        <v>0.52222222222222225</v>
      </c>
      <c r="L16" s="7">
        <v>0.56388888888888888</v>
      </c>
      <c r="M16" s="7">
        <v>0.60555555555555551</v>
      </c>
      <c r="N16" s="7">
        <v>0.64722222222222225</v>
      </c>
      <c r="O16" s="7">
        <v>0.70277777777777772</v>
      </c>
      <c r="P16" s="7">
        <v>0.77916666666666667</v>
      </c>
      <c r="Q16" s="7"/>
      <c r="R16" s="7"/>
      <c r="S16" s="7"/>
      <c r="T16" s="7"/>
    </row>
    <row r="17" spans="1:20">
      <c r="A17" s="6" t="s">
        <v>408</v>
      </c>
      <c r="B17" s="6" t="s">
        <v>409</v>
      </c>
      <c r="C17" s="7">
        <v>0.21180555555555555</v>
      </c>
      <c r="D17" s="7">
        <v>0.23958333333333334</v>
      </c>
      <c r="E17" s="7">
        <v>0.26041666666666669</v>
      </c>
      <c r="F17" s="7">
        <v>0.29166666666666669</v>
      </c>
      <c r="G17" s="7">
        <v>0.34375</v>
      </c>
      <c r="H17" s="7">
        <v>0.39930555555555558</v>
      </c>
      <c r="I17" s="7">
        <v>0.44097222222222221</v>
      </c>
      <c r="J17" s="7">
        <v>0.4826388888888889</v>
      </c>
      <c r="K17" s="7">
        <v>0.52430555555555558</v>
      </c>
      <c r="L17" s="7">
        <v>0.56597222222222221</v>
      </c>
      <c r="M17" s="7">
        <v>0.60763888888888884</v>
      </c>
      <c r="N17" s="7">
        <v>0.64930555555555558</v>
      </c>
      <c r="O17" s="7">
        <v>0.70486111111111116</v>
      </c>
      <c r="P17" s="7">
        <v>0.78125</v>
      </c>
      <c r="Q17" s="7"/>
      <c r="R17" s="7"/>
      <c r="S17" s="7"/>
      <c r="T17" s="7"/>
    </row>
    <row r="18" spans="1:20">
      <c r="A18" s="6" t="s">
        <v>209</v>
      </c>
      <c r="B18" s="6" t="s">
        <v>407</v>
      </c>
      <c r="C18" s="7">
        <v>0.21527777777777779</v>
      </c>
      <c r="D18" s="7">
        <v>0.24305555555555555</v>
      </c>
      <c r="E18" s="7">
        <v>0.2638888888888889</v>
      </c>
      <c r="F18" s="7">
        <v>0.2951388888888889</v>
      </c>
      <c r="G18" s="7">
        <v>0.34722222222222221</v>
      </c>
      <c r="H18" s="7">
        <v>0.40277777777777779</v>
      </c>
      <c r="I18" s="7">
        <v>0.44444444444444442</v>
      </c>
      <c r="J18" s="7">
        <v>0.4861111111111111</v>
      </c>
      <c r="K18" s="7">
        <v>0.52777777777777779</v>
      </c>
      <c r="L18" s="7">
        <v>0.56944444444444442</v>
      </c>
      <c r="M18" s="7">
        <v>0.61111111111111116</v>
      </c>
      <c r="N18" s="7">
        <v>0.65277777777777779</v>
      </c>
      <c r="O18" s="7">
        <v>0.70833333333333337</v>
      </c>
      <c r="P18" s="7">
        <v>0.78472222222222221</v>
      </c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9"/>
      <c r="D32" s="11"/>
      <c r="E32" s="8"/>
      <c r="F32" s="8"/>
      <c r="G32" s="8"/>
      <c r="H32" s="8"/>
      <c r="I32" s="8"/>
      <c r="J32" s="8"/>
    </row>
    <row r="33" spans="1:15">
      <c r="A33" s="4"/>
      <c r="C33" s="9"/>
      <c r="D33" s="11"/>
      <c r="E33" s="11"/>
      <c r="F33" s="11"/>
      <c r="G33" s="11"/>
      <c r="H33" s="11"/>
      <c r="I33" s="11"/>
      <c r="J33" s="11"/>
    </row>
    <row r="34" spans="1:15">
      <c r="C34" s="9"/>
      <c r="D34" s="11"/>
      <c r="E34" s="11"/>
      <c r="F34" s="11"/>
      <c r="G34" s="11"/>
      <c r="H34" s="11"/>
      <c r="I34" s="11"/>
      <c r="J34" s="11"/>
    </row>
    <row r="35" spans="1:15">
      <c r="C35" s="9"/>
      <c r="D35" s="11"/>
      <c r="E35" s="11"/>
      <c r="F35" s="11"/>
      <c r="G35" s="11"/>
      <c r="H35" s="11"/>
      <c r="I35" s="11"/>
      <c r="J35" s="11"/>
    </row>
    <row r="36" spans="1:15">
      <c r="B36" s="7"/>
      <c r="C36" s="9"/>
      <c r="D36" s="8"/>
      <c r="E36" s="8"/>
      <c r="F36" s="8"/>
      <c r="G36" s="8"/>
      <c r="H36" s="8"/>
      <c r="I36" s="8"/>
      <c r="J36" s="8"/>
    </row>
    <row r="37" spans="1:15">
      <c r="A37" s="10"/>
      <c r="B37" s="8"/>
      <c r="C37" s="9"/>
      <c r="D37" s="8"/>
      <c r="E37" s="8"/>
      <c r="F37" s="8"/>
      <c r="G37" s="8"/>
      <c r="H37" s="8"/>
      <c r="I37" s="8"/>
      <c r="J37" s="8"/>
    </row>
    <row r="38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5DEE6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129" t="s">
        <v>135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9302</v>
      </c>
      <c r="D2" s="1">
        <v>9304</v>
      </c>
      <c r="E2" s="1">
        <v>9312</v>
      </c>
      <c r="F2" s="1">
        <v>9314</v>
      </c>
      <c r="G2" s="1">
        <v>9316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>
        <v>0.29166666666666669</v>
      </c>
      <c r="D3" s="5">
        <v>0.375</v>
      </c>
      <c r="E3" s="5">
        <v>0.625</v>
      </c>
      <c r="F3" s="5">
        <v>0.70833333333333337</v>
      </c>
      <c r="G3" s="5">
        <v>0.79166666666666663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408</v>
      </c>
      <c r="B4" s="6" t="s">
        <v>409</v>
      </c>
      <c r="C4" s="7">
        <v>0.29444444444444451</v>
      </c>
      <c r="D4" s="7">
        <v>0.37777777777777782</v>
      </c>
      <c r="E4" s="7">
        <v>0.62777777777777777</v>
      </c>
      <c r="F4" s="7">
        <v>0.71111111111111125</v>
      </c>
      <c r="G4" s="7">
        <v>0.79444444444444451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410</v>
      </c>
      <c r="B5" s="6" t="s">
        <v>411</v>
      </c>
      <c r="C5" s="7">
        <v>0.29722222222222228</v>
      </c>
      <c r="D5" s="7">
        <v>0.38055555555555559</v>
      </c>
      <c r="E5" s="7">
        <v>0.63055555555555554</v>
      </c>
      <c r="F5" s="7">
        <v>0.71388888888888902</v>
      </c>
      <c r="G5" s="7">
        <v>0.79722222222222228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412</v>
      </c>
      <c r="B6" s="6" t="s">
        <v>413</v>
      </c>
      <c r="C6" s="7">
        <v>0.29861111111111116</v>
      </c>
      <c r="D6" s="7">
        <v>0.38194444444444448</v>
      </c>
      <c r="E6" s="7">
        <v>0.63194444444444442</v>
      </c>
      <c r="F6" s="7">
        <v>0.7152777777777779</v>
      </c>
      <c r="G6" s="7">
        <v>0.79861111111111116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414</v>
      </c>
      <c r="B7" s="6" t="s">
        <v>415</v>
      </c>
      <c r="C7" s="7">
        <v>0.30069444444444449</v>
      </c>
      <c r="D7" s="7">
        <v>0.3840277777777778</v>
      </c>
      <c r="E7" s="7">
        <v>0.63402777777777775</v>
      </c>
      <c r="F7" s="7">
        <v>0.71736111111111123</v>
      </c>
      <c r="G7" s="7">
        <v>0.80069444444444449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481</v>
      </c>
      <c r="B8" s="6" t="s">
        <v>482</v>
      </c>
      <c r="C8" s="7">
        <v>0.30277777777777781</v>
      </c>
      <c r="D8" s="7">
        <v>0.38611111111111113</v>
      </c>
      <c r="E8" s="7">
        <v>0.63611111111111107</v>
      </c>
      <c r="F8" s="7">
        <v>0.71944444444444455</v>
      </c>
      <c r="G8" s="7">
        <v>0.80277777777777781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483</v>
      </c>
      <c r="B9" s="6" t="s">
        <v>484</v>
      </c>
      <c r="C9" s="7">
        <v>0.3041666666666667</v>
      </c>
      <c r="D9" s="7">
        <v>0.38750000000000001</v>
      </c>
      <c r="E9" s="7">
        <v>0.63749999999999996</v>
      </c>
      <c r="F9" s="7">
        <v>0.72083333333333344</v>
      </c>
      <c r="G9" s="7">
        <v>0.8041666666666667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485</v>
      </c>
      <c r="B10" s="6" t="s">
        <v>486</v>
      </c>
      <c r="C10" s="7">
        <v>0.30763888888888891</v>
      </c>
      <c r="D10" s="7">
        <v>0.39097222222222222</v>
      </c>
      <c r="E10" s="7">
        <v>0.64097222222222217</v>
      </c>
      <c r="F10" s="7">
        <v>0.72430555555555565</v>
      </c>
      <c r="G10" s="7">
        <v>0.80763888888888891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487</v>
      </c>
      <c r="B11" s="6" t="s">
        <v>488</v>
      </c>
      <c r="C11" s="7">
        <v>0.30972222222222223</v>
      </c>
      <c r="D11" s="7">
        <v>0.39305555555555555</v>
      </c>
      <c r="E11" s="7">
        <v>0.64305555555555549</v>
      </c>
      <c r="F11" s="7">
        <v>0.72638888888888897</v>
      </c>
      <c r="G11" s="7">
        <v>0.80972222222222223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489</v>
      </c>
      <c r="B12" s="6" t="s">
        <v>490</v>
      </c>
      <c r="C12" s="7">
        <v>0.31180555555555561</v>
      </c>
      <c r="D12" s="7">
        <v>0.39513888888888893</v>
      </c>
      <c r="E12" s="7">
        <v>0.64513888888888893</v>
      </c>
      <c r="F12" s="7">
        <v>0.72847222222222241</v>
      </c>
      <c r="G12" s="7">
        <v>0.81180555555555567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491</v>
      </c>
      <c r="B13" s="6" t="s">
        <v>492</v>
      </c>
      <c r="C13" s="7">
        <v>0.3131944444444445</v>
      </c>
      <c r="D13" s="7">
        <v>0.39652777777777781</v>
      </c>
      <c r="E13" s="7">
        <v>0.64652777777777781</v>
      </c>
      <c r="F13" s="7">
        <v>0.72986111111111129</v>
      </c>
      <c r="G13" s="7">
        <v>0.81319444444444455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493</v>
      </c>
      <c r="B14" s="6" t="s">
        <v>494</v>
      </c>
      <c r="C14" s="7">
        <v>0.31458333333333338</v>
      </c>
      <c r="D14" s="7">
        <v>0.3979166666666667</v>
      </c>
      <c r="E14" s="7">
        <v>0.6479166666666667</v>
      </c>
      <c r="F14" s="7">
        <v>0.73125000000000018</v>
      </c>
      <c r="G14" s="7">
        <v>0.81458333333333344</v>
      </c>
      <c r="H14" s="7"/>
      <c r="I14" s="7"/>
      <c r="J14" s="7"/>
      <c r="K14" s="7"/>
      <c r="L14" s="7"/>
      <c r="M14" s="7"/>
      <c r="N14" s="7"/>
    </row>
    <row r="15" spans="1:27">
      <c r="A15" s="1" t="s">
        <v>495</v>
      </c>
      <c r="B15" s="6" t="s">
        <v>496</v>
      </c>
      <c r="C15" s="7">
        <v>0.31736111111111115</v>
      </c>
      <c r="D15" s="7">
        <v>0.40069444444444446</v>
      </c>
      <c r="E15" s="7">
        <v>0.65069444444444446</v>
      </c>
      <c r="F15" s="7">
        <v>0.73402777777777795</v>
      </c>
      <c r="G15" s="7">
        <v>0.8173611111111112</v>
      </c>
      <c r="H15" s="7"/>
      <c r="I15" s="7"/>
      <c r="J15" s="7"/>
      <c r="K15" s="7"/>
      <c r="L15" s="7"/>
      <c r="M15" s="7"/>
      <c r="N15" s="7"/>
    </row>
    <row r="16" spans="1:27">
      <c r="A16" s="6" t="s">
        <v>497</v>
      </c>
      <c r="B16" s="6" t="s">
        <v>498</v>
      </c>
      <c r="C16" s="7">
        <v>0.32013888888888892</v>
      </c>
      <c r="D16" s="7">
        <v>0.40347222222222223</v>
      </c>
      <c r="E16" s="7">
        <v>0.65347222222222223</v>
      </c>
      <c r="F16" s="7">
        <v>0.73680555555555571</v>
      </c>
      <c r="G16" s="7">
        <v>0.82013888888888897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499</v>
      </c>
      <c r="B17" s="6" t="s">
        <v>500</v>
      </c>
      <c r="C17" s="7">
        <v>0.32361111111111113</v>
      </c>
      <c r="D17" s="7">
        <v>0.40694444444444444</v>
      </c>
      <c r="E17" s="7">
        <v>0.65694444444444444</v>
      </c>
      <c r="F17" s="7">
        <v>0.74027777777777792</v>
      </c>
      <c r="G17" s="7">
        <v>0.82361111111111118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6" t="s">
        <v>501</v>
      </c>
      <c r="B18" s="6" t="s">
        <v>502</v>
      </c>
      <c r="C18" s="7">
        <v>0.32638888888888895</v>
      </c>
      <c r="D18" s="7">
        <v>0.40972222222222227</v>
      </c>
      <c r="E18" s="7">
        <v>0.65972222222222232</v>
      </c>
      <c r="F18" s="7">
        <v>0.7430555555555558</v>
      </c>
      <c r="G18" s="7">
        <v>0.82638888888888906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9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9"/>
      <c r="C32" s="11"/>
      <c r="D32" s="11"/>
      <c r="E32" s="8"/>
      <c r="F32" s="8"/>
      <c r="G32" s="8"/>
      <c r="H32" s="8"/>
      <c r="I32" s="8"/>
      <c r="J32" s="8"/>
    </row>
    <row r="33" spans="1:10">
      <c r="A33" s="4"/>
      <c r="B33" s="7"/>
      <c r="C33" s="11"/>
      <c r="D33" s="11"/>
      <c r="E33" s="11"/>
      <c r="F33" s="11"/>
      <c r="G33" s="11"/>
      <c r="H33" s="11"/>
      <c r="I33" s="11"/>
      <c r="J33" s="11"/>
    </row>
    <row r="34" spans="1:10">
      <c r="B34" s="7"/>
      <c r="C34" s="11"/>
      <c r="D34" s="11"/>
      <c r="E34" s="11"/>
      <c r="F34" s="11"/>
      <c r="G34" s="11"/>
      <c r="H34" s="11"/>
      <c r="I34" s="11"/>
      <c r="J34" s="11"/>
    </row>
    <row r="35" spans="1:10">
      <c r="B35" s="7"/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5DEE6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'JHB-to-NALD_Sat'!B1</f>
        <v>Unspecified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9301</v>
      </c>
      <c r="D2" s="1">
        <v>9303</v>
      </c>
      <c r="E2" s="1">
        <v>9305</v>
      </c>
      <c r="F2" s="1">
        <v>9313</v>
      </c>
      <c r="G2" s="1">
        <v>9315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501</v>
      </c>
      <c r="B3" s="4" t="s">
        <v>502</v>
      </c>
      <c r="C3" s="5">
        <v>0.20833333333333334</v>
      </c>
      <c r="D3" s="5">
        <v>0.25</v>
      </c>
      <c r="E3" s="5">
        <v>0.33333333333333331</v>
      </c>
      <c r="F3" s="5">
        <v>0.66666666666666663</v>
      </c>
      <c r="G3" s="5">
        <v>0.75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499</v>
      </c>
      <c r="B4" s="71" t="s">
        <v>500</v>
      </c>
      <c r="C4" s="7">
        <v>0.21041666666666667</v>
      </c>
      <c r="D4" s="7">
        <v>0.25208333333333333</v>
      </c>
      <c r="E4" s="7">
        <v>0.33541666666666664</v>
      </c>
      <c r="F4" s="7">
        <v>0.66874999999999996</v>
      </c>
      <c r="G4" s="7">
        <v>0.75208333333333333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497</v>
      </c>
      <c r="B5" s="71" t="s">
        <v>498</v>
      </c>
      <c r="C5" s="7">
        <v>0.21388888888888891</v>
      </c>
      <c r="D5" s="7">
        <v>0.25555555555555554</v>
      </c>
      <c r="E5" s="7">
        <v>0.33888888888888891</v>
      </c>
      <c r="F5" s="7">
        <v>0.67222222222222217</v>
      </c>
      <c r="G5" s="7">
        <v>0.75555555555555554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495</v>
      </c>
      <c r="B6" s="71" t="s">
        <v>496</v>
      </c>
      <c r="C6" s="7">
        <v>0.21736111111111112</v>
      </c>
      <c r="D6" s="7">
        <v>0.25902777777777775</v>
      </c>
      <c r="E6" s="7">
        <v>0.34236111111111112</v>
      </c>
      <c r="F6" s="7">
        <v>0.67569444444444438</v>
      </c>
      <c r="G6" s="7">
        <v>0.75902777777777775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493</v>
      </c>
      <c r="B7" s="71" t="s">
        <v>494</v>
      </c>
      <c r="C7" s="7">
        <v>0.22013888888888891</v>
      </c>
      <c r="D7" s="7">
        <v>0.26180555555555551</v>
      </c>
      <c r="E7" s="7">
        <v>0.34513888888888888</v>
      </c>
      <c r="F7" s="7">
        <v>0.67847222222222214</v>
      </c>
      <c r="G7" s="7">
        <v>0.76180555555555551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491</v>
      </c>
      <c r="B8" s="71" t="s">
        <v>492</v>
      </c>
      <c r="C8" s="7">
        <v>0.2215277777777778</v>
      </c>
      <c r="D8" s="7">
        <v>0.2631944444444444</v>
      </c>
      <c r="E8" s="7">
        <v>0.34652777777777777</v>
      </c>
      <c r="F8" s="7">
        <v>0.67986111111111103</v>
      </c>
      <c r="G8" s="7">
        <v>0.7631944444444444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489</v>
      </c>
      <c r="B9" s="71" t="s">
        <v>490</v>
      </c>
      <c r="C9" s="7">
        <v>0.22291666666666668</v>
      </c>
      <c r="D9" s="7">
        <v>0.26458333333333328</v>
      </c>
      <c r="E9" s="7">
        <v>0.34791666666666665</v>
      </c>
      <c r="F9" s="7">
        <v>0.68124999999999991</v>
      </c>
      <c r="G9" s="7">
        <v>0.76458333333333328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487</v>
      </c>
      <c r="B10" s="71" t="s">
        <v>488</v>
      </c>
      <c r="C10" s="7">
        <v>0.22430555555555556</v>
      </c>
      <c r="D10" s="7">
        <v>0.26597222222222217</v>
      </c>
      <c r="E10" s="7">
        <v>0.34930555555555554</v>
      </c>
      <c r="F10" s="7">
        <v>0.6826388888888888</v>
      </c>
      <c r="G10" s="7">
        <v>0.76597222222222217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485</v>
      </c>
      <c r="B11" s="71" t="s">
        <v>486</v>
      </c>
      <c r="C11" s="7">
        <v>0.22638888888888889</v>
      </c>
      <c r="D11" s="7">
        <v>0.26805555555555549</v>
      </c>
      <c r="E11" s="7">
        <v>0.35138888888888886</v>
      </c>
      <c r="F11" s="7">
        <v>0.68472222222222212</v>
      </c>
      <c r="G11" s="7">
        <v>0.76805555555555549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483</v>
      </c>
      <c r="B12" s="71" t="s">
        <v>484</v>
      </c>
      <c r="C12" s="7">
        <v>0.22986111111111113</v>
      </c>
      <c r="D12" s="7">
        <v>0.2715277777777777</v>
      </c>
      <c r="E12" s="7">
        <v>0.35486111111111107</v>
      </c>
      <c r="F12" s="7">
        <v>0.68819444444444433</v>
      </c>
      <c r="G12" s="7">
        <v>0.7715277777777777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481</v>
      </c>
      <c r="B13" s="71" t="s">
        <v>482</v>
      </c>
      <c r="C13" s="7">
        <v>0.23125000000000001</v>
      </c>
      <c r="D13" s="7">
        <v>0.27291666666666659</v>
      </c>
      <c r="E13" s="7">
        <v>0.35624999999999996</v>
      </c>
      <c r="F13" s="7">
        <v>0.68958333333333321</v>
      </c>
      <c r="G13" s="7">
        <v>0.77291666666666659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414</v>
      </c>
      <c r="B14" s="71" t="s">
        <v>415</v>
      </c>
      <c r="C14" s="7">
        <v>0.23402777777777778</v>
      </c>
      <c r="D14" s="7">
        <v>0.27569444444444435</v>
      </c>
      <c r="E14" s="7">
        <v>0.35902777777777772</v>
      </c>
      <c r="F14" s="7">
        <v>0.69236111111111098</v>
      </c>
      <c r="G14" s="7">
        <v>0.77569444444444435</v>
      </c>
      <c r="H14" s="7"/>
      <c r="I14" s="7"/>
      <c r="J14" s="7"/>
      <c r="K14" s="7"/>
      <c r="L14" s="7"/>
      <c r="M14" s="7"/>
      <c r="N14" s="7"/>
    </row>
    <row r="15" spans="1:27">
      <c r="A15" s="1" t="s">
        <v>412</v>
      </c>
      <c r="B15" s="6" t="s">
        <v>413</v>
      </c>
      <c r="C15" s="7">
        <v>0.23611111111111113</v>
      </c>
      <c r="D15" s="7">
        <v>0.27777777777777768</v>
      </c>
      <c r="E15" s="7">
        <v>0.36111111111111105</v>
      </c>
      <c r="F15" s="7">
        <v>0.69444444444444431</v>
      </c>
      <c r="G15" s="7">
        <v>0.77777777777777768</v>
      </c>
      <c r="H15" s="7"/>
      <c r="I15" s="7"/>
      <c r="J15" s="7"/>
      <c r="K15" s="7"/>
      <c r="L15" s="7"/>
      <c r="M15" s="7"/>
      <c r="N15" s="7"/>
    </row>
    <row r="16" spans="1:27">
      <c r="A16" s="6" t="s">
        <v>410</v>
      </c>
      <c r="B16" s="6" t="s">
        <v>411</v>
      </c>
      <c r="C16" s="7">
        <v>0.23750000000000002</v>
      </c>
      <c r="D16" s="7">
        <v>0.27916666666666656</v>
      </c>
      <c r="E16" s="7">
        <v>0.36249999999999993</v>
      </c>
      <c r="F16" s="7">
        <v>0.69583333333333319</v>
      </c>
      <c r="G16" s="7">
        <v>0.77916666666666656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6" t="s">
        <v>408</v>
      </c>
      <c r="B17" s="6" t="s">
        <v>409</v>
      </c>
      <c r="C17" s="7">
        <v>0.23958333333333334</v>
      </c>
      <c r="D17" s="7">
        <v>0.28124999999999989</v>
      </c>
      <c r="E17" s="7">
        <v>0.36458333333333326</v>
      </c>
      <c r="F17" s="7">
        <v>0.69791666666666652</v>
      </c>
      <c r="G17" s="7">
        <v>0.78124999999999989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6" t="s">
        <v>209</v>
      </c>
      <c r="B18" s="6" t="s">
        <v>407</v>
      </c>
      <c r="C18" s="7">
        <v>0.24305555555555558</v>
      </c>
      <c r="D18" s="7">
        <v>0.2847222222222221</v>
      </c>
      <c r="E18" s="7">
        <v>0.36805555555555547</v>
      </c>
      <c r="F18" s="7">
        <v>0.70138888888888873</v>
      </c>
      <c r="G18" s="7">
        <v>0.7847222222222221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9"/>
      <c r="C32" s="11"/>
      <c r="D32" s="11"/>
      <c r="E32" s="8"/>
      <c r="F32" s="8"/>
      <c r="G32" s="8"/>
      <c r="H32" s="8"/>
      <c r="I32" s="8"/>
      <c r="J32" s="8"/>
    </row>
    <row r="33" spans="1:10">
      <c r="A33" s="10"/>
      <c r="B33" s="7"/>
      <c r="C33" s="11"/>
      <c r="D33" s="11"/>
      <c r="E33" s="11"/>
      <c r="F33" s="11"/>
      <c r="G33" s="11"/>
      <c r="H33" s="11"/>
      <c r="I33" s="11"/>
      <c r="J33" s="11"/>
    </row>
    <row r="34" spans="1:10">
      <c r="A34" s="10"/>
      <c r="B34" s="7"/>
      <c r="C34" s="11"/>
      <c r="D34" s="11"/>
      <c r="E34" s="11"/>
      <c r="F34" s="11"/>
      <c r="G34" s="11"/>
      <c r="H34" s="11"/>
      <c r="I34" s="11"/>
      <c r="J34" s="11"/>
    </row>
    <row r="35" spans="1:10">
      <c r="A35" s="10"/>
      <c r="B35" s="7"/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9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52E1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v>45840</v>
      </c>
      <c r="C1" s="8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9004</v>
      </c>
      <c r="D2" s="1">
        <v>9006</v>
      </c>
      <c r="E2" s="1">
        <v>9008</v>
      </c>
      <c r="F2" s="1">
        <v>9010</v>
      </c>
      <c r="G2" s="1">
        <v>9012</v>
      </c>
      <c r="H2" s="1">
        <v>9014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>
        <v>0.23958333333333334</v>
      </c>
      <c r="D3" s="5">
        <v>0.34375</v>
      </c>
      <c r="E3" s="5">
        <v>0.45833333333333331</v>
      </c>
      <c r="F3" s="5">
        <v>0.58333333333333337</v>
      </c>
      <c r="G3" s="5">
        <v>0.6875</v>
      </c>
      <c r="H3" s="5">
        <v>0.79861111111111116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408</v>
      </c>
      <c r="B4" s="6" t="s">
        <v>409</v>
      </c>
      <c r="C4" s="7">
        <v>0.24513888888888888</v>
      </c>
      <c r="D4" s="7">
        <v>0.34930555555555554</v>
      </c>
      <c r="E4" s="7">
        <v>0.46388888888888891</v>
      </c>
      <c r="F4" s="7">
        <v>0.58888888888888891</v>
      </c>
      <c r="G4" s="7">
        <v>0.69305555555555554</v>
      </c>
      <c r="H4" s="7">
        <v>0.8041666666666667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410</v>
      </c>
      <c r="B5" s="6" t="s">
        <v>411</v>
      </c>
      <c r="C5" s="7">
        <v>0.24930555555555556</v>
      </c>
      <c r="D5" s="7">
        <v>0.35347222222222224</v>
      </c>
      <c r="E5" s="7">
        <v>0.46805555555555556</v>
      </c>
      <c r="F5" s="7">
        <v>0.59305555555555556</v>
      </c>
      <c r="G5" s="7">
        <v>0.69722222222222219</v>
      </c>
      <c r="H5" s="7">
        <v>0.80833333333333335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412</v>
      </c>
      <c r="B6" s="6" t="s">
        <v>413</v>
      </c>
      <c r="C6" s="7">
        <v>0.25138888888888888</v>
      </c>
      <c r="D6" s="7">
        <v>0.35555555555555557</v>
      </c>
      <c r="E6" s="7">
        <v>0.47013888888888888</v>
      </c>
      <c r="F6" s="7">
        <v>0.59513888888888888</v>
      </c>
      <c r="G6" s="7">
        <v>0.69930555555555551</v>
      </c>
      <c r="H6" s="7">
        <v>0.81041666666666667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414</v>
      </c>
      <c r="B7" s="6" t="s">
        <v>415</v>
      </c>
      <c r="C7" s="7">
        <v>0.25416666666666665</v>
      </c>
      <c r="D7" s="7">
        <v>0.35833333333333334</v>
      </c>
      <c r="E7" s="7">
        <v>0.47291666666666665</v>
      </c>
      <c r="F7" s="7">
        <v>0.59791666666666665</v>
      </c>
      <c r="G7" s="7">
        <v>0.70208333333333328</v>
      </c>
      <c r="H7" s="7">
        <v>0.81319444444444444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481</v>
      </c>
      <c r="B8" s="6" t="s">
        <v>482</v>
      </c>
      <c r="C8" s="7">
        <v>0.25763888888888886</v>
      </c>
      <c r="D8" s="7">
        <v>0.36180555555555555</v>
      </c>
      <c r="E8" s="7">
        <v>0.47638888888888886</v>
      </c>
      <c r="F8" s="7">
        <v>0.60138888888888886</v>
      </c>
      <c r="G8" s="7">
        <v>0.7055555555555556</v>
      </c>
      <c r="H8" s="7">
        <v>0.81666666666666665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483</v>
      </c>
      <c r="B9" s="6" t="s">
        <v>484</v>
      </c>
      <c r="C9" s="7">
        <v>0.25972222222222224</v>
      </c>
      <c r="D9" s="7">
        <v>0.36388888888888887</v>
      </c>
      <c r="E9" s="7">
        <v>0.47847222222222224</v>
      </c>
      <c r="F9" s="7">
        <v>0.60347222222222219</v>
      </c>
      <c r="G9" s="7">
        <v>0.70763888888888893</v>
      </c>
      <c r="H9" s="7">
        <v>0.81874999999999998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485</v>
      </c>
      <c r="B10" s="6" t="s">
        <v>486</v>
      </c>
      <c r="C10" s="7">
        <v>0.26458333333333334</v>
      </c>
      <c r="D10" s="7">
        <v>0.36875000000000002</v>
      </c>
      <c r="E10" s="7">
        <v>0.48333333333333334</v>
      </c>
      <c r="F10" s="7">
        <v>0.60833333333333328</v>
      </c>
      <c r="G10" s="7">
        <v>0.71250000000000002</v>
      </c>
      <c r="H10" s="7">
        <v>0.82361111111111107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503</v>
      </c>
      <c r="B11" s="6" t="s">
        <v>504</v>
      </c>
      <c r="C11" s="7">
        <v>0.2673611111111111</v>
      </c>
      <c r="D11" s="7">
        <v>0.37152777777777779</v>
      </c>
      <c r="E11" s="7">
        <v>0.4861111111111111</v>
      </c>
      <c r="F11" s="7">
        <v>0.61111111111111116</v>
      </c>
      <c r="G11" s="7">
        <v>0.71527777777777779</v>
      </c>
      <c r="H11" s="7">
        <v>0.82638888888888884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505</v>
      </c>
      <c r="B12" s="6" t="s">
        <v>506</v>
      </c>
      <c r="C12" s="7">
        <v>0.27083333333333331</v>
      </c>
      <c r="D12" s="7">
        <v>0.375</v>
      </c>
      <c r="E12" s="7">
        <v>0.48958333333333331</v>
      </c>
      <c r="F12" s="7">
        <v>0.61458333333333337</v>
      </c>
      <c r="G12" s="7">
        <v>0.71875</v>
      </c>
      <c r="H12" s="7">
        <v>0.82986111111111116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507</v>
      </c>
      <c r="B13" s="6" t="s">
        <v>508</v>
      </c>
      <c r="C13" s="7">
        <v>0.27430555555555558</v>
      </c>
      <c r="D13" s="7">
        <v>0.37847222222222221</v>
      </c>
      <c r="E13" s="7">
        <v>0.49305555555555558</v>
      </c>
      <c r="F13" s="7">
        <v>0.61805555555555558</v>
      </c>
      <c r="G13" s="7">
        <v>0.72222222222222221</v>
      </c>
      <c r="H13" s="7">
        <v>0.83333333333333337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509</v>
      </c>
      <c r="B14" s="6" t="s">
        <v>510</v>
      </c>
      <c r="C14" s="7">
        <v>0.27847222222222223</v>
      </c>
      <c r="D14" s="7">
        <v>0.38263888888888886</v>
      </c>
      <c r="E14" s="7">
        <v>0.49722222222222223</v>
      </c>
      <c r="F14" s="7">
        <v>0.62222222222222223</v>
      </c>
      <c r="G14" s="7">
        <v>0.72638888888888886</v>
      </c>
      <c r="H14" s="7">
        <v>0.83750000000000002</v>
      </c>
      <c r="I14" s="7"/>
      <c r="J14" s="7"/>
      <c r="K14" s="7"/>
      <c r="L14" s="7"/>
      <c r="M14" s="7"/>
      <c r="N14" s="7"/>
      <c r="O14" s="7"/>
    </row>
    <row r="15" spans="1:27">
      <c r="A15" s="1" t="s">
        <v>511</v>
      </c>
      <c r="B15" s="6" t="s">
        <v>512</v>
      </c>
      <c r="C15" s="7">
        <v>0.28194444444444444</v>
      </c>
      <c r="D15" s="7">
        <v>0.38611111111111113</v>
      </c>
      <c r="E15" s="7">
        <v>0.50069444444444444</v>
      </c>
      <c r="F15" s="7">
        <v>0.62569444444444444</v>
      </c>
      <c r="G15" s="7">
        <v>0.72986111111111107</v>
      </c>
      <c r="H15" s="7">
        <v>0.84097222222222223</v>
      </c>
      <c r="I15" s="7"/>
      <c r="J15" s="7"/>
      <c r="K15" s="7"/>
      <c r="L15" s="7"/>
      <c r="M15" s="7"/>
      <c r="N15" s="7"/>
      <c r="O15" s="7"/>
    </row>
    <row r="16" spans="1:27">
      <c r="A16" s="6" t="s">
        <v>513</v>
      </c>
      <c r="B16" s="6" t="s">
        <v>514</v>
      </c>
      <c r="C16" s="7">
        <v>0.28472222222222221</v>
      </c>
      <c r="D16" s="7">
        <v>0.3888888888888889</v>
      </c>
      <c r="E16" s="7">
        <v>0.50347222222222221</v>
      </c>
      <c r="F16" s="7">
        <v>0.62847222222222221</v>
      </c>
      <c r="G16" s="7">
        <v>0.73263888888888884</v>
      </c>
      <c r="H16" s="7">
        <v>0.84375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1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52E10"/>
    <outlinePr summaryBelow="0" summaryRight="0"/>
  </sheetPr>
  <dimension ref="A1:AA51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9003</v>
      </c>
      <c r="D2" s="1">
        <v>9005</v>
      </c>
      <c r="E2" s="1">
        <v>9007</v>
      </c>
      <c r="F2" s="1">
        <v>9009</v>
      </c>
      <c r="G2" s="1">
        <v>9011</v>
      </c>
      <c r="H2" s="1">
        <v>9013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513</v>
      </c>
      <c r="B3" s="4" t="s">
        <v>514</v>
      </c>
      <c r="C3" s="5">
        <v>0.1875</v>
      </c>
      <c r="D3" s="5">
        <v>0.29166666666666669</v>
      </c>
      <c r="E3" s="5">
        <v>0.39583333333333331</v>
      </c>
      <c r="F3" s="5">
        <v>0.52083333333333337</v>
      </c>
      <c r="G3" s="5">
        <v>0.63541666666666663</v>
      </c>
      <c r="H3" s="5">
        <v>0.73958333333333337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511</v>
      </c>
      <c r="B4" s="7" t="s">
        <v>512</v>
      </c>
      <c r="C4" s="7">
        <v>0.19097222222222221</v>
      </c>
      <c r="D4" s="7">
        <v>0.2951388888888889</v>
      </c>
      <c r="E4" s="7">
        <v>0.39930555555555558</v>
      </c>
      <c r="F4" s="7">
        <v>0.52430555555555558</v>
      </c>
      <c r="G4" s="7">
        <v>0.63888888888888884</v>
      </c>
      <c r="H4" s="7">
        <v>0.74305555555555558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509</v>
      </c>
      <c r="B5" s="7" t="s">
        <v>510</v>
      </c>
      <c r="C5" s="7">
        <v>0.19583333333333333</v>
      </c>
      <c r="D5" s="7">
        <v>0.3</v>
      </c>
      <c r="E5" s="7">
        <v>0.40416666666666667</v>
      </c>
      <c r="F5" s="7">
        <v>0.52916666666666667</v>
      </c>
      <c r="G5" s="7">
        <v>0.64375000000000004</v>
      </c>
      <c r="H5" s="7">
        <v>0.74722222222222223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507</v>
      </c>
      <c r="B6" s="7" t="s">
        <v>508</v>
      </c>
      <c r="C6" s="7">
        <v>0.2</v>
      </c>
      <c r="D6" s="7">
        <v>0.30416666666666664</v>
      </c>
      <c r="E6" s="7">
        <v>0.40833333333333333</v>
      </c>
      <c r="F6" s="7">
        <v>0.53333333333333333</v>
      </c>
      <c r="G6" s="7">
        <v>0.6479166666666667</v>
      </c>
      <c r="H6" s="7">
        <v>0.75138888888888888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505</v>
      </c>
      <c r="B7" s="6" t="s">
        <v>506</v>
      </c>
      <c r="C7" s="7">
        <v>0.20347222222222222</v>
      </c>
      <c r="D7" s="7">
        <v>0.30763888888888891</v>
      </c>
      <c r="E7" s="7">
        <v>0.41180555555555554</v>
      </c>
      <c r="F7" s="7">
        <v>0.53680555555555554</v>
      </c>
      <c r="G7" s="7">
        <v>0.65138888888888891</v>
      </c>
      <c r="H7" s="7">
        <v>0.75416666666666665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503</v>
      </c>
      <c r="B8" s="7" t="s">
        <v>504</v>
      </c>
      <c r="C8" s="7">
        <v>0.20555555555555555</v>
      </c>
      <c r="D8" s="7">
        <v>0.30972222222222223</v>
      </c>
      <c r="E8" s="7">
        <v>0.41388888888888886</v>
      </c>
      <c r="F8" s="7">
        <v>0.53888888888888886</v>
      </c>
      <c r="G8" s="7">
        <v>0.65347222222222223</v>
      </c>
      <c r="H8" s="7">
        <v>0.75624999999999998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485</v>
      </c>
      <c r="B9" s="7" t="s">
        <v>486</v>
      </c>
      <c r="C9" s="7">
        <v>0.20902777777777778</v>
      </c>
      <c r="D9" s="7">
        <v>0.31319444444444444</v>
      </c>
      <c r="E9" s="7">
        <v>0.41736111111111113</v>
      </c>
      <c r="F9" s="7">
        <v>0.54236111111111107</v>
      </c>
      <c r="G9" s="7">
        <v>0.65694444444444444</v>
      </c>
      <c r="H9" s="7">
        <v>0.75902777777777775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483</v>
      </c>
      <c r="B10" s="7" t="s">
        <v>484</v>
      </c>
      <c r="C10" s="7">
        <v>0.21319444444444444</v>
      </c>
      <c r="D10" s="7">
        <v>0.31736111111111109</v>
      </c>
      <c r="E10" s="7">
        <v>0.42152777777777778</v>
      </c>
      <c r="F10" s="7">
        <v>0.54652777777777772</v>
      </c>
      <c r="G10" s="7">
        <v>0.66111111111111109</v>
      </c>
      <c r="H10" s="7">
        <v>0.76388888888888884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481</v>
      </c>
      <c r="B11" s="7" t="s">
        <v>482</v>
      </c>
      <c r="C11" s="7">
        <v>0.21527777777777779</v>
      </c>
      <c r="D11" s="7">
        <v>0.31944444444444442</v>
      </c>
      <c r="E11" s="7">
        <v>0.4236111111111111</v>
      </c>
      <c r="F11" s="7">
        <v>0.54861111111111116</v>
      </c>
      <c r="G11" s="7">
        <v>0.66319444444444442</v>
      </c>
      <c r="H11" s="7">
        <v>0.76527777777777772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414</v>
      </c>
      <c r="B12" s="7" t="s">
        <v>415</v>
      </c>
      <c r="C12" s="7">
        <v>0.21944444444444444</v>
      </c>
      <c r="D12" s="7">
        <v>0.32361111111111113</v>
      </c>
      <c r="E12" s="7">
        <v>0.42777777777777776</v>
      </c>
      <c r="F12" s="7">
        <v>0.55277777777777781</v>
      </c>
      <c r="G12" s="7">
        <v>0.66736111111111107</v>
      </c>
      <c r="H12" s="7">
        <v>0.76944444444444449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412</v>
      </c>
      <c r="B13" s="7" t="s">
        <v>413</v>
      </c>
      <c r="C13" s="7">
        <v>0.22291666666666668</v>
      </c>
      <c r="D13" s="7">
        <v>0.32708333333333334</v>
      </c>
      <c r="E13" s="7">
        <v>0.43125000000000002</v>
      </c>
      <c r="F13" s="7">
        <v>0.55625000000000002</v>
      </c>
      <c r="G13" s="7">
        <v>0.67083333333333328</v>
      </c>
      <c r="H13" s="7">
        <v>0.77222222222222225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410</v>
      </c>
      <c r="B14" s="7" t="s">
        <v>411</v>
      </c>
      <c r="C14" s="7">
        <v>0.22500000000000001</v>
      </c>
      <c r="D14" s="7">
        <v>0.32916666666666666</v>
      </c>
      <c r="E14" s="7">
        <v>0.43333333333333335</v>
      </c>
      <c r="F14" s="7">
        <v>0.55833333333333335</v>
      </c>
      <c r="G14" s="7">
        <v>0.67291666666666672</v>
      </c>
      <c r="H14" s="7">
        <v>0.77430555555555558</v>
      </c>
      <c r="I14" s="7"/>
      <c r="J14" s="7"/>
      <c r="K14" s="7"/>
    </row>
    <row r="15" spans="1:27">
      <c r="A15" s="1" t="s">
        <v>408</v>
      </c>
      <c r="B15" s="7" t="s">
        <v>409</v>
      </c>
      <c r="C15" s="7">
        <v>0.22777777777777777</v>
      </c>
      <c r="D15" s="7">
        <v>0.33194444444444443</v>
      </c>
      <c r="E15" s="7">
        <v>0.43611111111111112</v>
      </c>
      <c r="F15" s="7">
        <v>0.56111111111111112</v>
      </c>
      <c r="G15" s="7">
        <v>0.67569444444444449</v>
      </c>
      <c r="H15" s="7">
        <v>0.77708333333333335</v>
      </c>
      <c r="I15" s="7"/>
      <c r="J15" s="7"/>
      <c r="K15" s="7"/>
    </row>
    <row r="16" spans="1:27">
      <c r="A16" s="6" t="s">
        <v>209</v>
      </c>
      <c r="B16" s="7" t="s">
        <v>407</v>
      </c>
      <c r="C16" s="7">
        <v>0.2326388888888889</v>
      </c>
      <c r="D16" s="7">
        <v>0.33680555555555558</v>
      </c>
      <c r="E16" s="7">
        <v>0.44097222222222221</v>
      </c>
      <c r="F16" s="7">
        <v>0.56597222222222221</v>
      </c>
      <c r="G16" s="7">
        <v>0.68055555555555558</v>
      </c>
      <c r="H16" s="7">
        <v>0.78125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8"/>
      <c r="B18" s="8"/>
      <c r="C18" s="8"/>
      <c r="D18" s="8"/>
      <c r="E18" s="8"/>
      <c r="F18" s="8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8"/>
      <c r="B19" s="11"/>
      <c r="C19" s="9"/>
      <c r="D19" s="9"/>
      <c r="E19" s="9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8"/>
      <c r="B20" s="11"/>
      <c r="C20" s="11"/>
      <c r="D20" s="11"/>
      <c r="E20" s="11"/>
      <c r="F20" s="11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11"/>
      <c r="C21" s="11"/>
      <c r="D21" s="1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8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8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8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8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8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8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8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8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8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8"/>
      <c r="B32" s="11"/>
      <c r="C32" s="11"/>
      <c r="D32" s="11"/>
      <c r="E32" s="11"/>
      <c r="F32" s="11"/>
      <c r="G32" s="11"/>
      <c r="H32" s="8"/>
      <c r="I32" s="8"/>
      <c r="J32" s="8"/>
    </row>
    <row r="33" spans="1:10">
      <c r="A33" s="4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11"/>
      <c r="C38" s="11"/>
      <c r="D38" s="11"/>
      <c r="E38" s="11"/>
      <c r="F38" s="11"/>
      <c r="G38" s="11"/>
      <c r="H38" s="8"/>
      <c r="I38" s="8"/>
      <c r="J38" s="8"/>
    </row>
    <row r="39" spans="1:10">
      <c r="A39" s="8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8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8"/>
      <c r="B41" s="11"/>
      <c r="C41" s="11"/>
      <c r="D41" s="11"/>
      <c r="E41" s="11"/>
      <c r="F41" s="11"/>
      <c r="G41" s="11"/>
      <c r="H41" s="8"/>
      <c r="I41" s="8"/>
      <c r="J41" s="8"/>
    </row>
    <row r="42" spans="1:10">
      <c r="A42" s="8"/>
      <c r="B42" s="11"/>
      <c r="C42" s="11"/>
      <c r="D42" s="11"/>
      <c r="E42" s="11"/>
      <c r="F42" s="11"/>
      <c r="G42" s="11"/>
      <c r="H42" s="8"/>
      <c r="I42" s="8"/>
      <c r="J42" s="8"/>
    </row>
    <row r="43" spans="1:10">
      <c r="A43" s="8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8"/>
      <c r="B44" s="11"/>
      <c r="C44" s="11"/>
      <c r="D44" s="11"/>
      <c r="E44" s="11"/>
      <c r="F44" s="11"/>
      <c r="G44" s="11"/>
      <c r="H44" s="8"/>
      <c r="I44" s="8"/>
      <c r="J44" s="8"/>
    </row>
    <row r="45" spans="1:10">
      <c r="A45" s="8"/>
      <c r="B45" s="11"/>
      <c r="C45" s="11"/>
      <c r="D45" s="11"/>
      <c r="E45" s="11"/>
      <c r="F45" s="11"/>
      <c r="G45" s="11"/>
      <c r="H45" s="11"/>
      <c r="I45" s="11"/>
      <c r="J45" s="11"/>
    </row>
    <row r="46" spans="1:10">
      <c r="A46" s="8"/>
      <c r="B46" s="11"/>
      <c r="C46" s="11"/>
      <c r="D46" s="11"/>
      <c r="E46" s="11"/>
      <c r="F46" s="11"/>
      <c r="G46" s="11"/>
    </row>
    <row r="47" spans="1:10">
      <c r="A47" s="8"/>
      <c r="B47" s="11"/>
      <c r="C47" s="11"/>
      <c r="D47" s="11"/>
      <c r="E47" s="11"/>
      <c r="F47" s="11"/>
      <c r="G47" s="11"/>
    </row>
    <row r="48" spans="1:10">
      <c r="A48" s="8"/>
      <c r="B48" s="11"/>
      <c r="C48" s="11"/>
      <c r="D48" s="11"/>
      <c r="E48" s="11"/>
      <c r="F48" s="11"/>
      <c r="G48" s="11"/>
    </row>
    <row r="49" spans="1:7">
      <c r="A49" s="8"/>
      <c r="B49" s="11"/>
      <c r="C49" s="11"/>
      <c r="D49" s="11"/>
      <c r="E49" s="11"/>
      <c r="F49" s="11"/>
      <c r="G49" s="11"/>
    </row>
    <row r="50" spans="1:7">
      <c r="A50" s="8"/>
      <c r="B50" s="11"/>
      <c r="C50" s="11"/>
      <c r="D50" s="11"/>
      <c r="E50" s="11"/>
      <c r="F50" s="11"/>
      <c r="G50" s="11"/>
    </row>
    <row r="51" spans="1:7">
      <c r="A51" s="8"/>
      <c r="B51" s="11"/>
      <c r="C51" s="11"/>
      <c r="D51" s="11"/>
      <c r="E51" s="11"/>
      <c r="F51" s="11"/>
      <c r="G51" s="1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52E1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129" t="s">
        <v>135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9004</v>
      </c>
      <c r="D2" s="1">
        <v>9012</v>
      </c>
      <c r="E2" s="1">
        <v>9014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209</v>
      </c>
      <c r="B3" s="4" t="s">
        <v>407</v>
      </c>
      <c r="C3" s="5">
        <v>0.31597222222222221</v>
      </c>
      <c r="D3" s="5">
        <v>0.64583333333333337</v>
      </c>
      <c r="E3" s="5">
        <v>0.75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408</v>
      </c>
      <c r="B4" s="6" t="s">
        <v>409</v>
      </c>
      <c r="C4" s="7">
        <v>0.32083333333333336</v>
      </c>
      <c r="D4" s="7">
        <v>0.65069444444444446</v>
      </c>
      <c r="E4" s="7">
        <v>0.75486111111111109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410</v>
      </c>
      <c r="B5" s="6" t="s">
        <v>411</v>
      </c>
      <c r="C5" s="7">
        <v>0.3256944444444444</v>
      </c>
      <c r="D5" s="7">
        <v>0.65555555555555556</v>
      </c>
      <c r="E5" s="7">
        <v>0.75972222222222219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412</v>
      </c>
      <c r="B6" s="6" t="s">
        <v>413</v>
      </c>
      <c r="C6" s="137">
        <v>0.32777777777777772</v>
      </c>
      <c r="D6" s="137">
        <v>0.65763888888888888</v>
      </c>
      <c r="E6" s="137">
        <v>0.76180555555555551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414</v>
      </c>
      <c r="B7" s="6" t="s">
        <v>415</v>
      </c>
      <c r="C7" s="7">
        <v>0.33055555555555549</v>
      </c>
      <c r="D7" s="7">
        <v>0.66041666666666665</v>
      </c>
      <c r="E7" s="7">
        <v>0.76458333333333328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481</v>
      </c>
      <c r="B8" s="6" t="s">
        <v>482</v>
      </c>
      <c r="C8" s="7">
        <v>0.3340277777777777</v>
      </c>
      <c r="D8" s="7">
        <v>0.66388888888888886</v>
      </c>
      <c r="E8" s="7">
        <v>0.76805555555555549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483</v>
      </c>
      <c r="B9" s="6" t="s">
        <v>484</v>
      </c>
      <c r="C9" s="7">
        <v>0.33611111111111108</v>
      </c>
      <c r="D9" s="7">
        <v>0.66597222222222219</v>
      </c>
      <c r="E9" s="7">
        <v>0.77013888888888893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485</v>
      </c>
      <c r="B10" s="6" t="s">
        <v>486</v>
      </c>
      <c r="C10" s="7">
        <v>0.34097222222222218</v>
      </c>
      <c r="D10" s="7">
        <v>0.67083333333333328</v>
      </c>
      <c r="E10" s="7">
        <v>0.77500000000000002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503</v>
      </c>
      <c r="B11" s="6" t="s">
        <v>504</v>
      </c>
      <c r="C11" s="7">
        <v>0.34374999999999994</v>
      </c>
      <c r="D11" s="7">
        <v>0.67361111111111105</v>
      </c>
      <c r="E11" s="7">
        <v>0.77777777777777779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505</v>
      </c>
      <c r="B12" s="6" t="s">
        <v>506</v>
      </c>
      <c r="C12" s="7">
        <v>0.34652777777777777</v>
      </c>
      <c r="D12" s="7">
        <v>0.67638888888888893</v>
      </c>
      <c r="E12" s="7">
        <v>0.78055555555555556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507</v>
      </c>
      <c r="B13" s="6" t="s">
        <v>508</v>
      </c>
      <c r="C13" s="7">
        <v>0.35069444444444442</v>
      </c>
      <c r="D13" s="7">
        <v>0.68055555555555558</v>
      </c>
      <c r="E13" s="7">
        <v>0.78472222222222232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509</v>
      </c>
      <c r="B14" s="6" t="s">
        <v>510</v>
      </c>
      <c r="C14" s="7">
        <v>0.35486111111111107</v>
      </c>
      <c r="D14" s="7">
        <v>0.68472222222222223</v>
      </c>
      <c r="E14" s="7">
        <v>0.78888888888888897</v>
      </c>
      <c r="F14" s="7"/>
      <c r="G14" s="7"/>
      <c r="H14" s="7"/>
      <c r="I14" s="7"/>
      <c r="J14" s="7"/>
      <c r="K14" s="7"/>
    </row>
    <row r="15" spans="1:27">
      <c r="A15" s="1" t="s">
        <v>511</v>
      </c>
      <c r="B15" s="6" t="s">
        <v>512</v>
      </c>
      <c r="C15" s="7">
        <v>0.35833333333333328</v>
      </c>
      <c r="D15" s="7">
        <v>0.68819444444444444</v>
      </c>
      <c r="E15" s="7">
        <v>0.79236111111111118</v>
      </c>
      <c r="F15" s="7"/>
      <c r="G15" s="7"/>
      <c r="H15" s="7"/>
      <c r="I15" s="7"/>
      <c r="J15" s="7"/>
      <c r="K15" s="7"/>
    </row>
    <row r="16" spans="1:27">
      <c r="A16" s="6" t="s">
        <v>513</v>
      </c>
      <c r="B16" s="6" t="s">
        <v>514</v>
      </c>
      <c r="C16" s="7">
        <v>0.36111111111111105</v>
      </c>
      <c r="D16" s="7">
        <v>0.69097222222222221</v>
      </c>
      <c r="E16" s="7">
        <v>0.79513888888888895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4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52E10"/>
    <outlinePr summaryBelow="0" summaryRight="0"/>
  </sheetPr>
  <dimension ref="A1:AA4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30.42578125" customWidth="1"/>
    <col min="2" max="2" width="35.7109375" customWidth="1"/>
  </cols>
  <sheetData>
    <row r="1" spans="1:27">
      <c r="A1" s="1" t="s">
        <v>0</v>
      </c>
      <c r="B1" s="2" t="str">
        <f>'JHB-to-MIDWY_Sat'!B1</f>
        <v>Unspecified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2</v>
      </c>
      <c r="B2" s="1" t="s">
        <v>3</v>
      </c>
      <c r="C2" s="1">
        <v>9003</v>
      </c>
      <c r="D2" s="1">
        <v>9005</v>
      </c>
      <c r="E2" s="1">
        <v>9013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3" t="s">
        <v>513</v>
      </c>
      <c r="B3" s="4" t="s">
        <v>514</v>
      </c>
      <c r="C3" s="5">
        <v>0.2638888888888889</v>
      </c>
      <c r="D3" s="5">
        <v>0.36805555555555558</v>
      </c>
      <c r="E3" s="5">
        <v>0.69791666666666663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7">
      <c r="A4" s="1" t="s">
        <v>511</v>
      </c>
      <c r="B4" s="7" t="s">
        <v>512</v>
      </c>
      <c r="C4" s="7">
        <v>0.2673611111111111</v>
      </c>
      <c r="D4" s="7">
        <v>0.37152777777777779</v>
      </c>
      <c r="E4" s="7">
        <v>0.70138888888888884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7">
      <c r="A5" s="1" t="s">
        <v>509</v>
      </c>
      <c r="B5" s="7" t="s">
        <v>510</v>
      </c>
      <c r="C5" s="7">
        <v>0.27222222222222225</v>
      </c>
      <c r="D5" s="7">
        <v>0.37638888888888888</v>
      </c>
      <c r="E5" s="7">
        <v>0.70624999999999993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7">
      <c r="A6" s="6" t="s">
        <v>507</v>
      </c>
      <c r="B6" s="7" t="s">
        <v>508</v>
      </c>
      <c r="C6" s="7">
        <v>0.27638888888888891</v>
      </c>
      <c r="D6" s="7">
        <v>0.38055555555555554</v>
      </c>
      <c r="E6" s="7">
        <v>0.71041666666666659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7">
      <c r="A7" s="6" t="s">
        <v>505</v>
      </c>
      <c r="B7" s="6" t="s">
        <v>506</v>
      </c>
      <c r="C7" s="7">
        <v>0.27986111111111112</v>
      </c>
      <c r="D7" s="7">
        <v>0.38402777777777775</v>
      </c>
      <c r="E7" s="7">
        <v>0.7138888888888888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7">
      <c r="A8" s="6" t="s">
        <v>503</v>
      </c>
      <c r="B8" s="7" t="s">
        <v>504</v>
      </c>
      <c r="C8" s="7">
        <v>0.28263888888888888</v>
      </c>
      <c r="D8" s="7">
        <v>0.38680555555555557</v>
      </c>
      <c r="E8" s="7">
        <v>0.71666666666666667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7">
      <c r="A9" s="1" t="s">
        <v>485</v>
      </c>
      <c r="B9" s="7" t="s">
        <v>486</v>
      </c>
      <c r="C9" s="7">
        <v>0.28541666666666665</v>
      </c>
      <c r="D9" s="7">
        <v>0.38958333333333328</v>
      </c>
      <c r="E9" s="7">
        <v>0.71944444444444433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7">
      <c r="A10" s="1" t="s">
        <v>483</v>
      </c>
      <c r="B10" s="7" t="s">
        <v>484</v>
      </c>
      <c r="C10" s="7">
        <v>0.2895833333333333</v>
      </c>
      <c r="D10" s="7">
        <v>0.39444444444444443</v>
      </c>
      <c r="E10" s="7">
        <v>0.72430555555555554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7">
      <c r="A11" s="6" t="s">
        <v>481</v>
      </c>
      <c r="B11" s="7" t="s">
        <v>482</v>
      </c>
      <c r="C11" s="7">
        <v>0.29236111111111113</v>
      </c>
      <c r="D11" s="7">
        <v>0.39652777777777776</v>
      </c>
      <c r="E11" s="7">
        <v>0.72638888888888886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7">
      <c r="A12" s="6" t="s">
        <v>414</v>
      </c>
      <c r="B12" s="7" t="s">
        <v>415</v>
      </c>
      <c r="C12" s="7">
        <v>0.29652777777777778</v>
      </c>
      <c r="D12" s="7">
        <v>0.40069444444444446</v>
      </c>
      <c r="E12" s="7">
        <v>0.73055555555555551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7">
      <c r="A13" s="1" t="s">
        <v>412</v>
      </c>
      <c r="B13" s="7" t="s">
        <v>413</v>
      </c>
      <c r="C13" s="137">
        <v>0.29930555555555549</v>
      </c>
      <c r="D13" s="137">
        <v>0.40347222222222212</v>
      </c>
      <c r="E13" s="137">
        <v>0.73333333333333317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7">
      <c r="A14" s="6" t="s">
        <v>410</v>
      </c>
      <c r="B14" s="7" t="s">
        <v>411</v>
      </c>
      <c r="C14" s="7">
        <v>0.30069444444444443</v>
      </c>
      <c r="D14" s="7">
        <v>0.40486111111111112</v>
      </c>
      <c r="E14" s="7">
        <v>0.73472222222222228</v>
      </c>
      <c r="F14" s="7"/>
      <c r="G14" s="7"/>
      <c r="H14" s="7"/>
      <c r="I14" s="7"/>
      <c r="J14" s="7"/>
      <c r="K14" s="7"/>
    </row>
    <row r="15" spans="1:27">
      <c r="A15" s="1" t="s">
        <v>408</v>
      </c>
      <c r="B15" s="7" t="s">
        <v>409</v>
      </c>
      <c r="C15" s="7">
        <v>0.30416666666666659</v>
      </c>
      <c r="D15" s="7">
        <v>0.40833333333333321</v>
      </c>
      <c r="E15" s="7">
        <v>0.73819444444444426</v>
      </c>
      <c r="F15" s="7"/>
      <c r="G15" s="7"/>
      <c r="H15" s="7"/>
      <c r="I15" s="7"/>
      <c r="J15" s="7"/>
      <c r="K15" s="7"/>
    </row>
    <row r="16" spans="1:27">
      <c r="A16" s="6" t="s">
        <v>209</v>
      </c>
      <c r="B16" s="7" t="s">
        <v>407</v>
      </c>
      <c r="C16" s="7">
        <v>0.30902777777777768</v>
      </c>
      <c r="D16" s="7">
        <v>0.41319444444444431</v>
      </c>
      <c r="E16" s="7">
        <v>0.74305555555555536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>
      <c r="A22" s="10"/>
      <c r="B22" s="1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>
      <c r="A23" s="10"/>
      <c r="B23" s="1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>
      <c r="A24" s="10"/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>
      <c r="A25" s="10"/>
      <c r="B25" s="1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10"/>
      <c r="B26" s="1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10"/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>
      <c r="A28" s="10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>
      <c r="A29" s="10"/>
      <c r="B29" s="1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>
      <c r="A30" s="10"/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10"/>
      <c r="B31" s="1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>
      <c r="A32" s="10"/>
      <c r="B32" s="11"/>
      <c r="C32" s="11"/>
      <c r="D32" s="11"/>
      <c r="E32" s="8"/>
      <c r="F32" s="8"/>
      <c r="G32" s="8"/>
      <c r="H32" s="8"/>
      <c r="I32" s="8"/>
      <c r="J32" s="8"/>
    </row>
    <row r="33" spans="1:10">
      <c r="A33" s="4"/>
      <c r="C33" s="11"/>
      <c r="D33" s="11"/>
      <c r="E33" s="11"/>
      <c r="F33" s="11"/>
      <c r="G33" s="11"/>
      <c r="H33" s="11"/>
      <c r="I33" s="11"/>
      <c r="J33" s="11"/>
    </row>
    <row r="34" spans="1:10">
      <c r="C34" s="11"/>
      <c r="D34" s="11"/>
      <c r="E34" s="11"/>
      <c r="F34" s="11"/>
      <c r="G34" s="11"/>
      <c r="H34" s="11"/>
      <c r="I34" s="11"/>
      <c r="J34" s="11"/>
    </row>
    <row r="35" spans="1:10">
      <c r="C35" s="11"/>
      <c r="D35" s="11"/>
      <c r="E35" s="11"/>
      <c r="F35" s="11"/>
      <c r="G35" s="11"/>
      <c r="H35" s="11"/>
      <c r="I35" s="11"/>
      <c r="J35" s="11"/>
    </row>
    <row r="36" spans="1:10">
      <c r="B36" s="7"/>
      <c r="C36" s="8"/>
      <c r="D36" s="8"/>
      <c r="E36" s="8"/>
      <c r="F36" s="8"/>
      <c r="G36" s="8"/>
      <c r="H36" s="8"/>
      <c r="I36" s="8"/>
      <c r="J36" s="8"/>
    </row>
    <row r="37" spans="1:10">
      <c r="A37" s="10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10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10"/>
      <c r="B39" s="11"/>
      <c r="C39" s="11"/>
      <c r="D39" s="11"/>
      <c r="E39" s="11"/>
      <c r="F39" s="11"/>
      <c r="G39" s="11"/>
      <c r="H39" s="11"/>
      <c r="I39" s="11"/>
      <c r="J39" s="11"/>
    </row>
    <row r="40" spans="1:10">
      <c r="A40" s="10"/>
      <c r="B40" s="11"/>
      <c r="C40" s="11"/>
      <c r="D40" s="11"/>
      <c r="E40" s="11"/>
      <c r="F40" s="11"/>
      <c r="G40" s="11"/>
      <c r="H40" s="11"/>
      <c r="I40" s="11"/>
      <c r="J40" s="11"/>
    </row>
    <row r="41" spans="1:10">
      <c r="A41" s="10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10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10"/>
      <c r="B43" s="11"/>
      <c r="C43" s="11"/>
      <c r="D43" s="11"/>
      <c r="E43" s="11"/>
      <c r="F43" s="11"/>
      <c r="G43" s="11"/>
      <c r="H43" s="11"/>
      <c r="I43" s="11"/>
      <c r="J43" s="11"/>
    </row>
    <row r="44" spans="1:10">
      <c r="A44" s="10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10"/>
      <c r="B45" s="11"/>
      <c r="C45" s="11"/>
      <c r="D45" s="11"/>
      <c r="E45" s="11"/>
      <c r="F45" s="11"/>
      <c r="G45" s="11"/>
      <c r="H45" s="11"/>
      <c r="I45" s="11"/>
      <c r="J4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ABC-to-ABC_Weekday</vt:lpstr>
      <vt:lpstr>PRETORIA - IRENE - KEMPTON PARK</vt:lpstr>
      <vt:lpstr>Archive_2025</vt:lpstr>
      <vt:lpstr>Config_GridOrder</vt:lpstr>
      <vt:lpstr>PTA-to-PIEN_Weekday</vt:lpstr>
      <vt:lpstr>PIEN-to-PTA_Weekday</vt:lpstr>
      <vt:lpstr>PTA-to-PIEN_Sat</vt:lpstr>
      <vt:lpstr>PIEN-to-PTA_Sat</vt:lpstr>
      <vt:lpstr>PTA-to-MAB_Weekday</vt:lpstr>
      <vt:lpstr>MAB-to-PTA_Weekday</vt:lpstr>
      <vt:lpstr>PTA-to-MAB_Sat</vt:lpstr>
      <vt:lpstr>MAB-to-PTA_Sat</vt:lpstr>
      <vt:lpstr>GERM-to-LERL_Weekday</vt:lpstr>
      <vt:lpstr>LERL-to-GERM_Weekday</vt:lpstr>
      <vt:lpstr>GERM-to-LERL_Sat</vt:lpstr>
      <vt:lpstr>LERL-to-GERM_Sat</vt:lpstr>
      <vt:lpstr>PTA-to-DEWIL_Weekday</vt:lpstr>
      <vt:lpstr>DEWIL-to-PTA_Weekday</vt:lpstr>
      <vt:lpstr>PTA-to-DEWIL_Sat</vt:lpstr>
      <vt:lpstr>DEWIL-to-PTA_Sat</vt:lpstr>
      <vt:lpstr>PTA-to-IRENE_Weekday</vt:lpstr>
      <vt:lpstr>IRENE-to-PTA_Weekday</vt:lpstr>
      <vt:lpstr>PTA-to-IRENE_Sat</vt:lpstr>
      <vt:lpstr>IRENE-to-PTA_Sat</vt:lpstr>
      <vt:lpstr>JHB-to-GERM_Weekday</vt:lpstr>
      <vt:lpstr>GERM-to-JHB_Weekday</vt:lpstr>
      <vt:lpstr>JHB-to-GERM_Sat</vt:lpstr>
      <vt:lpstr>GERM-to-JHB_Sat</vt:lpstr>
      <vt:lpstr>PTA-to-KEMP_Weekday</vt:lpstr>
      <vt:lpstr>KEMP-to-PTA_Weekday</vt:lpstr>
      <vt:lpstr>PTA-to-KEMP_Sat</vt:lpstr>
      <vt:lpstr>KEMP-to-PTA_Sat</vt:lpstr>
      <vt:lpstr>PTA-to-SAUL_Weekday</vt:lpstr>
      <vt:lpstr>SAUL-to-PTA_Weekday</vt:lpstr>
      <vt:lpstr>PTA-to-SAUL_Sat</vt:lpstr>
      <vt:lpstr>SAUL-to-PTA_Sat</vt:lpstr>
      <vt:lpstr>MAB-to-BELLE_Weekday</vt:lpstr>
      <vt:lpstr>BELLE-to-MAB_Weekday</vt:lpstr>
      <vt:lpstr>MAB-to-BELLE_Sat</vt:lpstr>
      <vt:lpstr>BELLE-to-MAB_Sat</vt:lpstr>
      <vt:lpstr>GERM-to-KWESI_Weekday</vt:lpstr>
      <vt:lpstr>KWESI-to-GERM_Weekday</vt:lpstr>
      <vt:lpstr>GERM-to-KWESI_Sat</vt:lpstr>
      <vt:lpstr>KWESI-to-GERM_Sat</vt:lpstr>
      <vt:lpstr>JHB-to-RAND_Weekday</vt:lpstr>
      <vt:lpstr>RAND-to-JHB_Weekday</vt:lpstr>
      <vt:lpstr>JHB-to-RAND_Sat</vt:lpstr>
      <vt:lpstr>RAND-to-JHB_Sat</vt:lpstr>
      <vt:lpstr>JHB-to-NALD_Weekday</vt:lpstr>
      <vt:lpstr>NALD-to-JHB_Weekday</vt:lpstr>
      <vt:lpstr>JHB-to-NALD_Sat</vt:lpstr>
      <vt:lpstr>NALD-to-JHB_Sat</vt:lpstr>
      <vt:lpstr>JHB-to-MIDWY_Weekday</vt:lpstr>
      <vt:lpstr>MIDWY-to-JHB_Weekday</vt:lpstr>
      <vt:lpstr>JHB-to-MIDWY_Sat</vt:lpstr>
      <vt:lpstr>MIDWY-to-JHB_Sat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Enock Kazembe</cp:lastModifiedBy>
  <dcterms:modified xsi:type="dcterms:W3CDTF">2026-02-02T17:42:13Z</dcterms:modified>
</cp:coreProperties>
</file>